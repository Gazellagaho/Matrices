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77A0309F-C088-4241-A55E-4B1CC0DCA0F9}" xr6:coauthVersionLast="47" xr6:coauthVersionMax="47" xr10:uidLastSave="{00000000-0000-0000-0000-000000000000}"/>
  <bookViews>
    <workbookView xWindow="-120" yWindow="-120" windowWidth="20730" windowHeight="11040" firstSheet="3" activeTab="4" xr2:uid="{2FB2480B-EF2B-43D5-879D-FA457C0551FB}"/>
  </bookViews>
  <sheets>
    <sheet name="CATALOGO y LISTAS" sheetId="1" state="hidden" r:id="rId1"/>
    <sheet name="BUSCADOR" sheetId="6" state="hidden" r:id="rId2"/>
    <sheet name="Cedula para utiles." sheetId="8" state="hidden" r:id="rId3"/>
    <sheet name="BASE DE DATOS" sheetId="2" r:id="rId4"/>
    <sheet name="PAGADO" sheetId="5" r:id="rId5"/>
    <sheet name="REPORTE" sheetId="3" r:id="rId6"/>
    <sheet name="ANALISIS" sheetId="4" r:id="rId7"/>
    <sheet name="compromisos" sheetId="7" state="hidden" r:id="rId8"/>
  </sheets>
  <definedNames>
    <definedName name="_xlnm.Print_Area" localSheetId="4">PAGADO!$B$2:$E$36</definedName>
  </definedNames>
  <calcPr calcId="191028"/>
  <pivotCaches>
    <pivotCache cacheId="30"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02" i="2" l="1"/>
  <c r="O202" i="2"/>
  <c r="T236" i="2"/>
  <c r="O232" i="2"/>
  <c r="O203" i="2"/>
  <c r="O250" i="2"/>
  <c r="O176" i="2"/>
  <c r="D180" i="2"/>
  <c r="E180" i="2"/>
  <c r="P180" i="2"/>
  <c r="D179" i="2"/>
  <c r="E179" i="2"/>
  <c r="P179" i="2"/>
  <c r="D181" i="2"/>
  <c r="E181" i="2"/>
  <c r="P181" i="2"/>
  <c r="O237"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K9" i="4"/>
  <c r="AK8" i="4"/>
  <c r="AK7" i="4"/>
  <c r="AK6" i="4"/>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L51" i="3"/>
  <c r="L52" i="3"/>
  <c r="L50" i="3"/>
  <c r="K50" i="3"/>
  <c r="K51" i="3"/>
  <c r="K52" i="3"/>
  <c r="A139" i="2"/>
  <c r="D139" i="2"/>
  <c r="E139" i="2"/>
  <c r="P139" i="2"/>
  <c r="A140" i="2"/>
  <c r="D140" i="2"/>
  <c r="E140" i="2"/>
  <c r="P140" i="2"/>
  <c r="A141" i="2"/>
  <c r="D141" i="2"/>
  <c r="E141" i="2"/>
  <c r="P141" i="2"/>
  <c r="A142" i="2"/>
  <c r="D142" i="2"/>
  <c r="E142" i="2"/>
  <c r="P142" i="2"/>
  <c r="O281" i="2"/>
  <c r="P281" i="2" s="1"/>
  <c r="O2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31" i="2"/>
  <c r="O230"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J76" i="8" l="1"/>
  <c r="AL10" i="4"/>
  <c r="AO10" i="4"/>
  <c r="AP6" i="4"/>
  <c r="AP8" i="4"/>
  <c r="AP7" i="4"/>
  <c r="AP9"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J66"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I8" i="3"/>
  <c r="I7" i="3"/>
  <c r="I6" i="3"/>
  <c r="I5" i="3"/>
  <c r="K64" i="3"/>
  <c r="L64"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180" i="2" l="1"/>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J5" i="3"/>
  <c r="J7" i="3"/>
  <c r="J6" i="3"/>
  <c r="J8" i="3"/>
  <c r="M7" i="4"/>
  <c r="K8" i="4"/>
  <c r="K7" i="4"/>
  <c r="C7" i="4"/>
  <c r="E7" i="4" s="1"/>
  <c r="C8" i="4"/>
  <c r="E8" i="4" s="1"/>
  <c r="N6" i="4"/>
  <c r="N9" i="4" s="1"/>
  <c r="L6" i="4"/>
  <c r="K6" i="4"/>
  <c r="C9" i="4"/>
  <c r="E9" i="4" s="1"/>
  <c r="M6" i="4"/>
  <c r="C6" i="4"/>
  <c r="E6" i="4" s="1"/>
  <c r="F9" i="4" l="1"/>
  <c r="F8" i="4"/>
  <c r="F7" i="4"/>
  <c r="F6"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<sst xmlns="http://schemas.openxmlformats.org/spreadsheetml/2006/main" count="2408" uniqueCount="943">
  <si>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</si>
  <si>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</si>
  <si>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</si>
  <si>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</si>
  <si>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</si>
  <si>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</si>
  <si>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</si>
  <si>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</si>
  <si>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</si>
  <si>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</si>
  <si>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</si>
  <si>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</si>
  <si>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</si>
  <si>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</si>
  <si>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</si>
  <si>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</si>
  <si>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</si>
  <si>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</si>
  <si>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</si>
  <si>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</si>
  <si>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</si>
  <si>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</si>
  <si>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</si>
  <si>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</si>
  <si>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</si>
  <si>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</si>
  <si>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</si>
  <si>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</si>
  <si>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</si>
  <si>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</si>
  <si>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</si>
  <si>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</si>
  <si>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</si>
  <si>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</si>
  <si>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</si>
  <si>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</si>
  <si>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</si>
  <si>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</si>
  <si>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</si>
  <si>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</si>
  <si>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</si>
  <si>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</si>
  <si>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</si>
  <si>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</si>
  <si>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</si>
  <si>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</si>
  <si>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</si>
  <si>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</si>
  <si>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</si>
  <si>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</si>
  <si>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</si>
  <si>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</si>
  <si>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</si>
  <si>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</si>
  <si>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</si>
  <si>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</si>
  <si>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</si>
  <si>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</si>
  <si>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</si>
  <si>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</si>
  <si>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</si>
  <si>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</si>
  <si>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</si>
  <si>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</si>
  <si>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</si>
  <si>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</si>
  <si>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</si>
  <si>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</si>
  <si>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</si>
  <si>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</si>
  <si>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</si>
  <si>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</si>
  <si>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</si>
  <si>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</si>
  <si>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</si>
  <si>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</si>
  <si>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</si>
  <si>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</si>
  <si>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</si>
  <si>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</si>
  <si>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</si>
  <si>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</si>
  <si>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</si>
  <si>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</si>
  <si>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</si>
  <si>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</si>
  <si>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</si>
  <si>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</si>
  <si>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</si>
  <si>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</si>
  <si>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</si>
  <si>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</si>
  <si>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</si>
  <si>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</si>
  <si>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</si>
  <si>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</si>
  <si>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</si>
  <si>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</si>
  <si>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</si>
  <si>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</si>
  <si>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</si>
  <si>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</si>
  <si>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</si>
  <si>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</si>
  <si>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</si>
  <si>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</si>
  <si>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</si>
  <si>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</si>
  <si>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</si>
  <si>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</si>
  <si>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</si>
  <si>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</si>
  <si>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</si>
  <si>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</si>
  <si>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</si>
  <si>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</si>
  <si>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</si>
  <si>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</si>
  <si>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</si>
  <si>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</si>
  <si>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</si>
  <si>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</si>
  <si>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</si>
  <si>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</si>
  <si>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</si>
  <si>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</si>
  <si>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</si>
  <si>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</si>
  <si>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</si>
  <si>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</si>
  <si>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</si>
  <si>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</si>
  <si>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</si>
  <si>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</si>
  <si>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</si>
  <si>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</si>
  <si>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</si>
  <si>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</si>
  <si>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</si>
  <si>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</si>
  <si>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</si>
  <si>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</si>
  <si>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</si>
  <si>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</si>
  <si>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</si>
  <si>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</si>
  <si>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</si>
  <si>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</si>
  <si>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</si>
  <si>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</si>
  <si>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</si>
  <si>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</si>
  <si>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</si>
  <si>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</si>
  <si>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</si>
  <si>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</si>
  <si>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</si>
  <si>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</si>
  <si>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</si>
  <si>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</si>
  <si>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</si>
  <si>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</si>
  <si>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</si>
  <si>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</si>
  <si>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</si>
  <si>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</si>
  <si>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</si>
  <si>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</si>
  <si>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</si>
  <si>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</si>
  <si>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</si>
  <si>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</si>
  <si>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</si>
  <si>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</si>
  <si>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</si>
  <si>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</si>
  <si>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</si>
  <si>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</si>
  <si>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</si>
  <si>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</si>
  <si>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</si>
  <si>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</si>
  <si>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</si>
  <si>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</si>
  <si>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</si>
  <si>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</si>
  <si>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</si>
  <si>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</si>
  <si>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</si>
  <si>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</si>
  <si>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</si>
  <si>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</si>
  <si>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</si>
  <si>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</si>
  <si>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</si>
  <si>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</si>
  <si>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</si>
  <si>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</si>
  <si>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</si>
  <si>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</si>
  <si>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</si>
  <si>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</si>
  <si>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</si>
  <si>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</si>
  <si>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</si>
  <si>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</si>
  <si>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</si>
  <si>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</si>
  <si>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</si>
  <si>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</si>
  <si>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</si>
  <si>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</si>
  <si>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</si>
  <si>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</si>
  <si>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</si>
  <si>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</si>
  <si>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</si>
  <si>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</si>
  <si>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</si>
  <si>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</si>
  <si>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</si>
  <si>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</si>
  <si>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</si>
  <si>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</si>
  <si>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</si>
  <si>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</si>
  <si>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</si>
  <si>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</si>
  <si>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</si>
  <si>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</si>
  <si>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</si>
  <si>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</si>
  <si>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</si>
  <si>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</si>
  <si>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</si>
  <si>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</si>
  <si>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</si>
  <si>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</si>
  <si>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</si>
  <si>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</si>
  <si>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</si>
  <si>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</si>
  <si>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</si>
  <si>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</si>
  <si>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</si>
  <si>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</si>
  <si>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</si>
  <si>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</si>
  <si>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</si>
  <si>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</si>
  <si>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</si>
  <si>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</si>
  <si>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</si>
  <si>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</si>
  <si>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</si>
  <si>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</si>
  <si>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</si>
  <si>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</si>
  <si>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</si>
  <si>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</si>
  <si>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</si>
  <si>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</si>
  <si>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</si>
  <si>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</si>
  <si>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</si>
  <si>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</si>
  <si>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</si>
  <si>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</si>
  <si>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</si>
  <si>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</si>
  <si>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</si>
  <si>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</si>
  <si>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</si>
  <si>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</si>
  <si>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</si>
  <si>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</si>
  <si>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</si>
  <si>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</si>
  <si>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</si>
  <si>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</si>
  <si>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</si>
  <si>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</si>
  <si>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</si>
  <si>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</si>
  <si>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</si>
  <si>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</si>
  <si>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</si>
  <si>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</si>
  <si>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</si>
  <si>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</si>
  <si>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</si>
  <si>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</si>
  <si>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</si>
  <si>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</si>
  <si>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</si>
  <si>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</si>
  <si>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</si>
  <si>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</si>
  <si>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</si>
  <si>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</si>
  <si>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</si>
  <si>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</si>
  <si>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</si>
  <si>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</si>
  <si>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</si>
  <si>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</si>
  <si>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</si>
  <si>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</si>
  <si>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</si>
  <si>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</si>
  <si>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</si>
  <si>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</si>
  <si>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</si>
  <si>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</si>
  <si>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</si>
  <si>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</si>
  <si>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</si>
  <si>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</si>
  <si>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</si>
  <si>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</si>
  <si>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</si>
  <si>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</si>
  <si>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</si>
  <si>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</si>
  <si>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</si>
  <si>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</si>
  <si>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</si>
  <si>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</si>
  <si>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</si>
  <si>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</si>
  <si>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</si>
  <si>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</si>
  <si>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</si>
  <si>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</si>
  <si>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</si>
  <si>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</si>
  <si>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</si>
  <si>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</si>
  <si>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</si>
  <si>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</si>
  <si>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</si>
  <si>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</si>
  <si>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</si>
  <si>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</si>
  <si>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</si>
  <si>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</si>
  <si>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</si>
  <si>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</si>
  <si>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</si>
  <si>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</si>
  <si>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</si>
  <si>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</si>
  <si>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</si>
  <si>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</si>
  <si>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</si>
  <si>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</si>
  <si>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</si>
  <si>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</si>
  <si>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</si>
  <si>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</si>
  <si>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</si>
  <si>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</si>
  <si>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</si>
  <si>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</si>
  <si>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</si>
  <si>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</si>
  <si>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</si>
  <si>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</si>
  <si>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</si>
  <si>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</si>
  <si>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</si>
  <si>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</si>
  <si>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</si>
  <si>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</si>
  <si>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</si>
  <si>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</si>
  <si>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</si>
  <si>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</si>
  <si>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</si>
  <si>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</si>
  <si>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</si>
  <si>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</si>
  <si>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</si>
  <si>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</si>
  <si>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</si>
  <si>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</si>
  <si>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</si>
  <si>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</si>
  <si>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</si>
  <si>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</si>
  <si>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</si>
  <si>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</si>
  <si>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</si>
  <si>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</si>
  <si>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</si>
  <si>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</si>
  <si>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</si>
  <si>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</si>
  <si>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</si>
  <si>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</si>
  <si>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</si>
  <si>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</si>
  <si>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</si>
  <si>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</si>
  <si>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</si>
  <si>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</si>
  <si>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</si>
  <si>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</si>
  <si>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</si>
  <si>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</si>
  <si>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</si>
  <si>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</si>
  <si>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</si>
  <si>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</si>
  <si>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</si>
  <si>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</si>
  <si>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</si>
  <si>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</si>
  <si>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</si>
  <si>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</si>
  <si>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</si>
  <si>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</si>
  <si>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</si>
  <si>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</si>
  <si>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</si>
  <si>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</si>
  <si>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</si>
  <si>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</si>
  <si>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</si>
  <si>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</si>
  <si>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</si>
  <si>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</si>
  <si>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</si>
  <si>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</si>
  <si>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</si>
  <si>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</si>
  <si>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</si>
  <si>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</si>
  <si>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</si>
  <si>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</si>
  <si>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</si>
  <si>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</si>
  <si>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</si>
  <si>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</si>
  <si>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</si>
  <si>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</si>
  <si>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</si>
  <si>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</si>
  <si>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</si>
  <si>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</si>
  <si>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</si>
  <si>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</si>
  <si>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</si>
  <si>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</si>
  <si>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</si>
  <si>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</si>
  <si>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</si>
  <si>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</si>
  <si>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</si>
  <si>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</si>
  <si>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</si>
  <si>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</si>
  <si>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</si>
  <si>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</si>
  <si>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</si>
  <si>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</si>
  <si>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</si>
  <si>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</si>
  <si>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</si>
  <si>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</si>
  <si>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</si>
  <si>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</si>
  <si>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</si>
  <si>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</si>
  <si>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</si>
  <si>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</si>
  <si>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</si>
  <si>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</si>
  <si>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</si>
  <si>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</si>
  <si>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</si>
  <si>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</si>
  <si>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</si>
  <si>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</si>
  <si>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</si>
  <si>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</si>
  <si>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</si>
  <si>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</si>
  <si>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</si>
  <si>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</si>
  <si>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</si>
  <si>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</si>
  <si>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</si>
  <si>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</si>
  <si>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</si>
  <si>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</si>
  <si>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</si>
  <si>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</si>
  <si>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</si>
  <si>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</si>
  <si>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</si>
  <si>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</si>
  <si>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</si>
  <si>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</si>
  <si>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</si>
  <si>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</si>
  <si>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</si>
  <si>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</si>
  <si>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</si>
  <si>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</si>
  <si>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</si>
  <si>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</si>
  <si>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</si>
  <si>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</si>
  <si>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</si>
  <si>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</si>
  <si>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</si>
  <si>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</si>
  <si>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</si>
  <si>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</si>
  <si>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</si>
  <si>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</si>
  <si>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</si>
  <si>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</si>
  <si>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</si>
  <si>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</si>
  <si>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</si>
  <si>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</si>
  <si>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</si>
  <si>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</si>
  <si>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</si>
  <si>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</si>
  <si>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</si>
  <si>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</si>
  <si>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</si>
  <si>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</si>
  <si>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</si>
  <si>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</si>
  <si>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</si>
  <si>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</si>
  <si>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</si>
  <si>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</si>
  <si>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</si>
  <si>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</si>
  <si>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</si>
  <si>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</si>
  <si>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</si>
  <si>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</si>
  <si>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</si>
  <si>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</si>
  <si>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</si>
  <si>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</si>
  <si>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</si>
  <si>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</si>
  <si>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</si>
  <si>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</si>
  <si>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</si>
  <si>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</si>
  <si>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</si>
  <si>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</si>
  <si>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</si>
  <si>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</si>
  <si>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</si>
  <si>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</si>
  <si>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</si>
  <si>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</si>
  <si>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</si>
  <si>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</si>
  <si>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</si>
  <si>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</si>
  <si>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</si>
  <si>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</si>
  <si>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</si>
  <si>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</si>
  <si>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</si>
  <si>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</si>
  <si>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</si>
  <si>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</si>
  <si>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</si>
  <si>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</si>
  <si>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</si>
  <si>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</si>
  <si>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</si>
  <si>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</si>
  <si>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</si>
  <si>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</si>
  <si>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</si>
  <si>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</si>
  <si>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</si>
  <si>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</si>
  <si>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</si>
  <si>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</si>
  <si>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</si>
  <si>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</si>
  <si>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</si>
  <si>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</si>
  <si>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</si>
  <si>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</si>
  <si>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</si>
  <si>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</si>
  <si>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</si>
  <si>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</si>
  <si>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</si>
  <si>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</si>
  <si>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</si>
  <si>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</si>
  <si>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</si>
  <si>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</si>
  <si>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</si>
  <si>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</si>
  <si>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</si>
  <si>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</si>
  <si>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</si>
  <si>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</si>
  <si>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</si>
  <si>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</si>
  <si>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</si>
  <si>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</si>
  <si>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</si>
  <si>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</si>
  <si>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</si>
  <si>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</si>
  <si>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</si>
  <si>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</si>
  <si>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</si>
  <si>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</si>
  <si>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</si>
  <si>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</si>
  <si>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</si>
  <si>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</si>
  <si>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</si>
  <si>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</si>
  <si>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</si>
  <si>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</si>
  <si>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</si>
  <si>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</si>
  <si>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</si>
  <si>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</si>
  <si>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</si>
  <si>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</si>
  <si>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</si>
  <si>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</si>
  <si>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</si>
  <si>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</si>
  <si>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</si>
  <si>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</si>
  <si>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</si>
  <si>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</si>
  <si>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</si>
  <si>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</si>
  <si>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</si>
  <si>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</si>
  <si>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</si>
  <si>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</si>
  <si>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</si>
  <si>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</si>
  <si>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</si>
  <si>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</si>
  <si>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</si>
  <si>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</si>
  <si>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</si>
  <si>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</si>
  <si>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</si>
  <si>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</si>
  <si>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</si>
  <si>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</si>
  <si>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</si>
  <si>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</si>
  <si>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</si>
  <si>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</si>
  <si>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</si>
  <si>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</si>
  <si>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</si>
  <si>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</si>
  <si>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</si>
  <si>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</si>
  <si>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</si>
  <si>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</si>
  <si>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</si>
  <si>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</si>
  <si>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</si>
  <si>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</si>
  <si>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</si>
  <si>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</si>
  <si>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</si>
  <si>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</si>
  <si>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</si>
  <si>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</si>
  <si>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</si>
  <si>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</si>
  <si>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</si>
  <si>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</si>
  <si>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</si>
  <si>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</si>
  <si>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</si>
  <si>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</si>
  <si>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</si>
  <si>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</si>
  <si>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</si>
  <si>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</si>
  <si>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</si>
  <si>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</si>
  <si>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</si>
  <si>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</si>
  <si>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</si>
  <si>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</si>
  <si>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</si>
  <si>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</si>
  <si>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</si>
  <si>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</si>
  <si>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</si>
  <si>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</si>
  <si>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</si>
  <si>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</si>
  <si>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</si>
  <si>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</si>
  <si>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</si>
  <si>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</si>
  <si>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</si>
  <si>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</si>
  <si>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</si>
  <si>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</si>
  <si>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</si>
  <si>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</si>
  <si>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</si>
  <si>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</si>
  <si>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</si>
  <si>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</si>
  <si>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</si>
  <si>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</si>
  <si>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</si>
  <si>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</si>
  <si>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</si>
  <si>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</si>
  <si>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</si>
  <si>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</si>
  <si>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</si>
  <si>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</si>
  <si>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</si>
  <si>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</si>
  <si>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</si>
  <si>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</si>
  <si>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</si>
  <si>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</si>
  <si>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</si>
  <si>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</si>
  <si>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</si>
  <si>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</si>
  <si>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</si>
  <si>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</si>
  <si>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</si>
  <si>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</si>
  <si>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</si>
  <si>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</si>
  <si>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</si>
  <si>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</si>
  <si>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</si>
  <si>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</si>
  <si>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</si>
  <si>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</si>
  <si>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</si>
  <si>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</si>
  <si>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</si>
  <si>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</si>
  <si>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</si>
  <si>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</si>
  <si>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</si>
  <si>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</si>
  <si>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</si>
  <si>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</si>
  <si>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</si>
  <si>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</si>
  <si>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</si>
  <si>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</si>
  <si>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</si>
  <si>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</si>
  <si>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</si>
  <si>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</si>
  <si>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</si>
  <si>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</si>
  <si>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</si>
  <si>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</si>
  <si>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Total Grupo 40000 Bienes Capitalizables</t>
  </si>
  <si>
    <t>Total Grupo 10000 Servicios Personales</t>
  </si>
  <si>
    <t>Total Grupo 20000 Servicios No Personales</t>
  </si>
  <si>
    <t>35800 Productos De Material Plastico</t>
  </si>
  <si>
    <t>Total Grupo 30000 Materiales y Suministros</t>
  </si>
  <si>
    <t>O/C. No. 60-1-53-2746 -2024, No. 60-1-53-2727-2024, No. 60-1-53-2747-2024</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</si>
  <si>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</si>
  <si>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</si>
  <si>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</si>
  <si>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</si>
  <si>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</si>
  <si>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</si>
  <si>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</si>
  <si>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</si>
  <si>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</si>
  <si>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</si>
  <si>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</si>
  <si>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</si>
  <si>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</si>
  <si>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</si>
  <si>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</si>
  <si>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</si>
  <si>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</si>
  <si>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</si>
  <si>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</si>
  <si>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</si>
  <si>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</si>
  <si>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</si>
  <si>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</si>
  <si>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</si>
  <si>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</si>
  <si>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</si>
  <si>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</si>
  <si>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</si>
  <si>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</si>
  <si>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</si>
  <si>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</si>
  <si>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</si>
  <si>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</si>
  <si>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</si>
  <si>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</si>
  <si>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</si>
  <si>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</si>
  <si>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</si>
  <si>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</si>
  <si>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</si>
  <si>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</si>
  <si>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</si>
  <si>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</si>
  <si>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</si>
  <si>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</si>
  <si>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</si>
  <si>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</si>
  <si>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</si>
  <si>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</si>
  <si>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</si>
  <si>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</si>
  <si>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</si>
  <si>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</si>
  <si>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</si>
  <si>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</si>
  <si>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</si>
  <si>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</si>
  <si>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</si>
  <si>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</si>
  <si>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</si>
  <si>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</si>
  <si>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</si>
  <si>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</si>
  <si>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</si>
  <si>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</si>
  <si>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</si>
  <si>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</si>
  <si>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</si>
  <si>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</si>
  <si>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</si>
  <si>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</si>
  <si>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</si>
  <si>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</si>
  <si>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</si>
  <si>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</si>
  <si>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</si>
  <si>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</si>
  <si>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</si>
  <si>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</si>
  <si>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</si>
  <si>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</si>
  <si>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</si>
  <si>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</si>
  <si>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</si>
  <si>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</si>
  <si>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</si>
  <si>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</si>
  <si>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</si>
  <si>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</si>
  <si>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</si>
  <si>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</si>
  <si>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</si>
  <si>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</si>
  <si>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</si>
  <si>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</si>
  <si>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</si>
  <si>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</si>
  <si>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</si>
  <si>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</si>
  <si>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</si>
  <si>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</si>
  <si>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</si>
  <si>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</si>
  <si>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</si>
  <si>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</si>
  <si>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</si>
  <si>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</si>
  <si>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</si>
  <si>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</si>
  <si>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</si>
  <si>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</si>
  <si>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</si>
  <si>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</si>
  <si>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</si>
  <si>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</si>
  <si>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</si>
  <si>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</si>
  <si>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</si>
  <si>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</si>
  <si>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</si>
  <si>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</si>
  <si>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</si>
  <si>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</si>
  <si>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</si>
  <si>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</si>
  <si>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</si>
  <si>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</si>
  <si>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</si>
  <si>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</si>
  <si>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</si>
  <si>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</si>
  <si>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</si>
  <si>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</si>
  <si>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</si>
  <si>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</si>
  <si>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</si>
  <si>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</si>
  <si>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</si>
  <si>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</si>
  <si>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</si>
  <si>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</si>
  <si>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Orden de Compra No.60-1-53-2629-2024 y Orden de Compra No.60-1-53-2631-2024</t>
  </si>
  <si>
    <t>Laptop avanzada para la coordinación nacional de subvenciones</t>
  </si>
  <si>
    <t>Orden de Compra No.60-1-53-2681-2024 y Orden de Compra No.60-1-53-2697-2024</t>
  </si>
  <si>
    <t>Orden de Compra No.60-1-53-2631-2024</t>
  </si>
  <si>
    <t>Orden de Compra No.60-1-53-2629-2024 y Orden de Compra No.60-1-53-2631-2024 (+ L 15,482.50 para completar la compra de computadora para la coordinación + 42,859.10 para completar computadora de VIH)</t>
  </si>
  <si>
    <t>Orden de Compra No.60-1-53-2595-2024</t>
  </si>
  <si>
    <t xml:space="preserve">Orden de Compra N° 60-1-53-2693-2024 </t>
  </si>
  <si>
    <t>Of. 83-2024-ULMI</t>
  </si>
  <si>
    <t>Of. 74-2024-ULMI</t>
  </si>
  <si>
    <t>Compra de medicamentos para TB atraves de OPS por L 59742.57 y la diferencia destinado para comprar medicamentos de malaria</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</si>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</sst>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4"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ont>
    <font>
      <sz val="12"/>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6">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0" fillId="6" borderId="1" xfId="0" applyFill="1" applyBorder="1"/>
    <xf numFmtId="44" fontId="0" fillId="6" borderId="1" xfId="1" applyFont="1" applyFill="1" applyBorder="1"/>
    <xf numFmtId="9" fontId="2" fillId="6" borderId="1" xfId="2" applyFont="1" applyFill="1" applyBorder="1" applyAlignment="1">
      <alignment horizontal="center"/>
    </xf>
    <xf numFmtId="43" fontId="0" fillId="6" borderId="1" xfId="0" applyNumberFormat="1" applyFill="1" applyBorder="1"/>
    <xf numFmtId="0" fontId="2" fillId="3" borderId="3" xfId="0" applyFont="1" applyFill="1" applyBorder="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4" xfId="0" applyFont="1" applyFill="1" applyBorder="1" applyAlignment="1">
      <alignment horizontal="center"/>
    </xf>
    <xf numFmtId="44" fontId="8" fillId="3" borderId="4" xfId="1" applyFont="1" applyFill="1" applyBorder="1" applyAlignment="1">
      <alignment horizontal="center"/>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9" fillId="7" borderId="8" xfId="0" applyFont="1" applyFill="1" applyBorder="1" applyAlignment="1">
      <alignment horizontal="center" vertical="center" wrapText="1"/>
    </xf>
    <xf numFmtId="0" fontId="9" fillId="7" borderId="9" xfId="0" applyFont="1" applyFill="1" applyBorder="1" applyAlignment="1">
      <alignment horizontal="center" vertical="center" wrapText="1"/>
    </xf>
    <xf numFmtId="14" fontId="9" fillId="7" borderId="9" xfId="0" applyNumberFormat="1" applyFont="1" applyFill="1" applyBorder="1" applyAlignment="1">
      <alignment horizontal="center" vertical="center" wrapText="1"/>
    </xf>
    <xf numFmtId="44" fontId="9" fillId="7" borderId="9" xfId="1" applyFont="1" applyFill="1" applyBorder="1" applyAlignment="1">
      <alignment horizontal="center" vertical="center" wrapText="1"/>
    </xf>
    <xf numFmtId="44" fontId="9"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9" fillId="8" borderId="3" xfId="0" applyFont="1" applyFill="1" applyBorder="1" applyAlignment="1">
      <alignment horizontal="center"/>
    </xf>
    <xf numFmtId="0" fontId="9" fillId="8" borderId="4" xfId="0" applyFont="1" applyFill="1" applyBorder="1" applyAlignment="1">
      <alignment horizontal="center"/>
    </xf>
    <xf numFmtId="10" fontId="2" fillId="4" borderId="12" xfId="2" applyNumberFormat="1" applyFont="1" applyFill="1" applyBorder="1" applyAlignment="1">
      <alignment horizontal="center"/>
    </xf>
    <xf numFmtId="0" fontId="9"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44" fontId="11" fillId="0" borderId="0" xfId="0" applyNumberFormat="1" applyFont="1"/>
    <xf numFmtId="0" fontId="12" fillId="0" borderId="21" xfId="0" applyFont="1" applyBorder="1" applyAlignment="1">
      <alignment horizontal="left" indent="2"/>
    </xf>
    <xf numFmtId="44" fontId="12"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3" fillId="0" borderId="0" xfId="0" applyFont="1" applyAlignment="1">
      <alignment horizontal="center"/>
    </xf>
    <xf numFmtId="44" fontId="11" fillId="4" borderId="22" xfId="0" applyNumberFormat="1" applyFont="1" applyFill="1" applyBorder="1"/>
    <xf numFmtId="165" fontId="0" fillId="0" borderId="0" xfId="0" applyNumberFormat="1" applyAlignment="1">
      <alignment horizontal="center"/>
    </xf>
    <xf numFmtId="10" fontId="2" fillId="0" borderId="0" xfId="0" applyNumberFormat="1" applyFont="1"/>
    <xf numFmtId="10" fontId="0" fillId="0" borderId="0" xfId="0" applyNumberFormat="1"/>
    <xf numFmtId="44" fontId="14" fillId="0" borderId="0" xfId="0" applyNumberFormat="1" applyFont="1" applyAlignment="1">
      <alignment vertical="center" wrapText="1"/>
    </xf>
    <xf numFmtId="166" fontId="0" fillId="0" borderId="0" xfId="0" applyNumberFormat="1"/>
    <xf numFmtId="167" fontId="0" fillId="0" borderId="0" xfId="0" applyNumberFormat="1"/>
    <xf numFmtId="0" fontId="14" fillId="0" borderId="0" xfId="0" applyFont="1" applyAlignment="1">
      <alignment horizontal="center" vertical="center" wrapText="1"/>
    </xf>
    <xf numFmtId="44" fontId="14" fillId="0" borderId="0" xfId="1" applyFont="1" applyFill="1" applyBorder="1" applyAlignment="1">
      <alignment horizontal="center" vertical="center" wrapText="1"/>
    </xf>
    <xf numFmtId="0" fontId="14" fillId="0" borderId="0" xfId="0" applyFont="1" applyAlignment="1">
      <alignment vertical="center" wrapText="1"/>
    </xf>
    <xf numFmtId="166" fontId="14" fillId="0" borderId="0" xfId="0" applyNumberFormat="1" applyFont="1" applyAlignment="1">
      <alignment horizontal="left"/>
    </xf>
    <xf numFmtId="44" fontId="14" fillId="0" borderId="0" xfId="1" applyFont="1" applyBorder="1"/>
    <xf numFmtId="168" fontId="14" fillId="0" borderId="0" xfId="0" applyNumberFormat="1" applyFont="1" applyAlignment="1">
      <alignment horizontal="left" vertical="center" wrapText="1"/>
    </xf>
    <xf numFmtId="167" fontId="14" fillId="0" borderId="0" xfId="0" applyNumberFormat="1" applyFont="1" applyAlignment="1">
      <alignment horizontal="left"/>
    </xf>
    <xf numFmtId="0" fontId="14" fillId="0" borderId="0" xfId="0" applyFont="1"/>
    <xf numFmtId="44" fontId="14" fillId="0" borderId="0" xfId="1" applyFont="1"/>
    <xf numFmtId="0" fontId="16"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12" fillId="0" borderId="0" xfId="0" applyFont="1"/>
    <xf numFmtId="0" fontId="12" fillId="0" borderId="0" xfId="0" pivotButton="1" applyFont="1"/>
    <xf numFmtId="0" fontId="12" fillId="0" borderId="0" xfId="0" pivotButton="1" applyFont="1" applyAlignment="1">
      <alignment horizontal="center"/>
    </xf>
    <xf numFmtId="0" fontId="12" fillId="0" borderId="0" xfId="0" applyFont="1" applyAlignment="1">
      <alignment horizontal="center"/>
    </xf>
    <xf numFmtId="0" fontId="12" fillId="0" borderId="0" xfId="0" applyFont="1" applyAlignment="1">
      <alignment horizontal="left"/>
    </xf>
    <xf numFmtId="44" fontId="12" fillId="0" borderId="0" xfId="0" applyNumberFormat="1" applyFont="1"/>
    <xf numFmtId="0" fontId="17" fillId="0" borderId="0" xfId="0" applyFont="1" applyAlignment="1">
      <alignment horizontal="left" indent="1"/>
    </xf>
    <xf numFmtId="0" fontId="18" fillId="0" borderId="0" xfId="0" applyFont="1" applyAlignment="1">
      <alignment horizontal="centerContinuous"/>
    </xf>
    <xf numFmtId="0" fontId="12" fillId="0" borderId="0" xfId="0" applyFont="1" applyAlignment="1">
      <alignment horizontal="left" indent="1"/>
    </xf>
    <xf numFmtId="0" fontId="19" fillId="5" borderId="0" xfId="0" applyFont="1" applyFill="1" applyAlignment="1">
      <alignment horizontal="center" vertical="center"/>
    </xf>
    <xf numFmtId="44" fontId="19" fillId="5" borderId="0" xfId="0" applyNumberFormat="1" applyFont="1" applyFill="1"/>
    <xf numFmtId="44" fontId="20" fillId="10" borderId="0" xfId="0" applyNumberFormat="1" applyFont="1" applyFill="1" applyAlignment="1">
      <alignment horizontal="center" vertical="center"/>
    </xf>
    <xf numFmtId="0" fontId="21" fillId="10" borderId="11" xfId="0" applyFont="1" applyFill="1" applyBorder="1"/>
    <xf numFmtId="0" fontId="23" fillId="0" borderId="0" xfId="0" applyFont="1" applyAlignment="1">
      <alignment horizontal="left"/>
    </xf>
    <xf numFmtId="0" fontId="22" fillId="4" borderId="22" xfId="0" applyFont="1" applyFill="1" applyBorder="1" applyAlignment="1">
      <alignment horizontal="left"/>
    </xf>
  </cellXfs>
  <cellStyles count="4">
    <cellStyle name="Millares" xfId="3" builtinId="3"/>
    <cellStyle name="Moneda" xfId="1" builtinId="4"/>
    <cellStyle name="Normal" xfId="0" builtinId="0"/>
    <cellStyle name="Porcentaje" xfId="2" builtinId="5"/>
  </cellStyles>
  <dxfs count="367">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66"/>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49460710.533175506</c:v>
                </c:pt>
                <c:pt idx="1">
                  <c:v>32517909.523426622</c:v>
                </c:pt>
                <c:pt idx="2">
                  <c:v>21141339.859793156</c:v>
                </c:pt>
                <c:pt idx="3">
                  <c:v>72826968.703604698</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27538071.245835107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67002152.561742321</c:v>
                </c:pt>
                <c:pt idx="1">
                  <c:v>21799435.800738264</c:v>
                </c:pt>
                <c:pt idx="2">
                  <c:v>18648324.931124132</c:v>
                </c:pt>
                <c:pt idx="3">
                  <c:v>118996299.61639529</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ANALISIS!$K$6:$M$6</c:f>
              <c:numCache>
                <c:formatCode>_("L"* #,##0.00_);_("L"* \(#,##0.00\);_("L"* "-"??_);_(@_)</c:formatCode>
                <c:ptCount val="3"/>
                <c:pt idx="0">
                  <c:v>183420751.31</c:v>
                </c:pt>
                <c:pt idx="1">
                  <c:v>81855416.569999993</c:v>
                </c:pt>
                <c:pt idx="2">
                  <c:v>52589448.799999997</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ANALISIS!$K$7:$M$7</c:f>
              <c:numCache>
                <c:formatCode>_("L"* #,##0.00_);_("L"* \(#,##0.00\);_("L"* "-"??_);_(@_)</c:formatCode>
                <c:ptCount val="3"/>
                <c:pt idx="0">
                  <c:v>49460710.533175506</c:v>
                </c:pt>
                <c:pt idx="1">
                  <c:v>32517909.523426622</c:v>
                </c:pt>
                <c:pt idx="2">
                  <c:v>21141339.859793156</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ANALISIS!$AB$6:$AF$6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ANALISIS!$AB$7:$AF$7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ANALISIS!$AB$8:$AF$8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ANALISIS!$AB$9:$AF$9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ANALISIS!$AB$10:$AF$10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14</c:v>
                </c:pt>
                <c:pt idx="1">
                  <c:v>26</c:v>
                </c:pt>
                <c:pt idx="2">
                  <c:v>13</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29</c:v>
                </c:pt>
                <c:pt idx="1">
                  <c:v>47</c:v>
                </c:pt>
                <c:pt idx="2">
                  <c:v>24</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6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61.469479513886" createdVersion="8" refreshedVersion="8" minRefreshableVersion="3" recordCount="281"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4">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s v="35210-TB"/>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1">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855900.66"/>
    <n v="-3855900.66"/>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m/>
    <m/>
    <n v="97745.126666666663"/>
  </r>
  <r>
    <n v="172"/>
    <m/>
    <x v="126"/>
    <n v="26"/>
    <x v="54"/>
    <m/>
    <s v="Pago de desaduanaje"/>
    <m/>
    <m/>
    <m/>
    <m/>
    <m/>
    <m/>
    <m/>
    <n v="97745.126666666663"/>
    <n v="-97745.126666666663"/>
    <x v="1"/>
    <m/>
    <m/>
    <n v="97745.126666666663"/>
  </r>
  <r>
    <n v="173"/>
    <m/>
    <x v="127"/>
    <n v="26"/>
    <x v="54"/>
    <m/>
    <s v="Pago de desaduanaje"/>
    <m/>
    <m/>
    <m/>
    <m/>
    <m/>
    <m/>
    <m/>
    <n v="97745.126666666663"/>
    <n v="-97745.126666666663"/>
    <x v="1"/>
    <m/>
    <m/>
    <n v="97745.126666666663"/>
  </r>
  <r>
    <n v="174"/>
    <m/>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m/>
    <x v="129"/>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30"/>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Licitación Públic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1"/>
    <n v="61"/>
    <x v="49"/>
    <s v="Lic. Josias"/>
    <s v="Vehiculos Gerencia administrativa"/>
    <m/>
    <m/>
    <m/>
    <m/>
    <m/>
    <m/>
    <m/>
    <m/>
    <n v="0"/>
    <x v="5"/>
    <m/>
    <m/>
    <m/>
  </r>
  <r>
    <n v="18"/>
    <s v="Catala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ago Electrónico"/>
    <x v="118"/>
    <n v="59"/>
    <x v="51"/>
    <s v="Lcda. Graciela"/>
    <s v="Computadoras de escritorio, computadora portatil, impresora"/>
    <s v="Of. 097-DGRP-2024"/>
    <d v="2024-01-29T00:00:00"/>
    <s v="Of. 060-CNS-SSRISS-2024"/>
    <d v="2024-02-23T00:00:00"/>
    <m/>
    <m/>
    <m/>
    <n v="2512300.9"/>
    <n v="-2512300.9"/>
    <x v="1"/>
    <m/>
    <s v="Orden de Compra No.60-1-53-2629-2024 y Orden de Compra 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4"/>
    <s v="Catalago Electrónico"/>
    <x v="119"/>
    <n v="59"/>
    <x v="51"/>
    <s v="Lcda. Graciela"/>
    <s v="Computadora Escritorrio, Computadora portatil, impresora multifuncional, mochila para laptops, protector para datashow"/>
    <s v="Of. 040-ETNEM-SS-2024"/>
    <d v="2024-02-05T00:00:00"/>
    <m/>
    <m/>
    <m/>
    <m/>
    <m/>
    <n v="393985"/>
    <n v="-393985"/>
    <x v="4"/>
    <m/>
    <m/>
    <m/>
  </r>
  <r>
    <n v="25"/>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n v="22942.5"/>
  </r>
  <r>
    <n v="26"/>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n v="20267.559999999998"/>
  </r>
  <r>
    <n v="27"/>
    <s v="Catalago Electrónico"/>
    <x v="62"/>
    <n v="33"/>
    <x v="26"/>
    <s v="Lic. Nimrod"/>
    <s v="Papel Bond Tamaño oficio, carta, Folder carta, Folder Oficio."/>
    <s v="Of. 042-ETNEM-SS-2024"/>
    <d v="2024-02-05T00:00:00"/>
    <s v="Of.056-CNS-SSRISS-2024"/>
    <d v="2024-02-23T00:00:00"/>
    <m/>
    <m/>
    <m/>
    <n v="10810.92"/>
    <n v="-10810.92"/>
    <x v="1"/>
    <m/>
    <s v="Orden de Compra No.60-1-53-2595-2024"/>
    <n v="10810.92"/>
  </r>
  <r>
    <n v="28"/>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m/>
    <m/>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ago Electrónico"/>
    <x v="119"/>
    <n v="59"/>
    <x v="51"/>
    <s v="Lcda. Graciela"/>
    <s v="Computadora Escritorrio, Computadora portatil, impresora multifuncional (flujo continuo)"/>
    <s v="Of. 040-ETNEM-SS-2024"/>
    <d v="2024-02-05T00:00:00"/>
    <s v="Of. 060-CNS-SSRISS-2024"/>
    <d v="2024-02-23T00:00:00"/>
    <m/>
    <m/>
    <m/>
    <n v="393985"/>
    <n v="-393985"/>
    <x v="1"/>
    <m/>
    <s v="Orden de Compra No.60-1-53-2629-2024 y Orden de Compra No.60-1-53-2631-2024"/>
    <m/>
  </r>
  <r>
    <n v="32"/>
    <s v="Catala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6"/>
    <s v="Catalago Electrónico"/>
    <x v="120"/>
    <n v="59"/>
    <x v="51"/>
    <s v="Lcda. Graciela"/>
    <s v="computadora de escritorio, computadora portatil, impresora multifuncional (flujo continuo)"/>
    <s v="Of. 311-DGRP-2024"/>
    <d v="2024-02-27T00:00:00"/>
    <s v="Of. 090-CNS-SSRISS-2024"/>
    <d v="2024-03-05T00:00:00"/>
    <m/>
    <m/>
    <m/>
    <n v="282353.11"/>
    <n v="-282353.11"/>
    <x v="1"/>
    <m/>
    <s v="Orden de Compra No.60-1-53-2681-2024 y Orden de Compra No.60-1-53-2697-2024"/>
    <m/>
  </r>
  <r>
    <n v="37"/>
    <s v="Catala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3"/>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4"/>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5"/>
    <s v="Catalago Electrónico"/>
    <x v="93"/>
    <n v="48"/>
    <x v="40"/>
    <s v="Lic. Nimrod"/>
    <s v="Opalina Lineal Blanco, Acetatos para laminar"/>
    <s v="Of. 107-ETNEM-SS-2024"/>
    <d v="2024-03-04T00:00:00"/>
    <m/>
    <m/>
    <m/>
    <m/>
    <m/>
    <n v="691300"/>
    <n v="-691300"/>
    <x v="4"/>
    <m/>
    <s v="regresarlos por incorrección de clasificación"/>
    <m/>
  </r>
  <r>
    <n v="46"/>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m/>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ago Electrónico"/>
    <x v="122"/>
    <n v="60"/>
    <x v="52"/>
    <s v="Lcda. Graciela"/>
    <s v="Licencias para OfficeMicrosoft 365, Antivirus"/>
    <s v="Of. 096-ETNEM-2024"/>
    <d v="2024-03-14T00:00:00"/>
    <s v="Of. 123-CNS-SSRISS-2024"/>
    <d v="2024-03-19T00:00:00"/>
    <m/>
    <m/>
    <m/>
    <n v="0"/>
    <n v="0"/>
    <x v="6"/>
    <m/>
    <s v="se envio adhesión para adquirir licrncias microsoft"/>
    <m/>
  </r>
  <r>
    <n v="53"/>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n v="24319.624999999996"/>
  </r>
  <r>
    <n v="54"/>
    <s v="Catalago Electrónico"/>
    <x v="60"/>
    <n v="33"/>
    <x v="26"/>
    <s v="Lic. Josias"/>
    <s v="papel y carton varios para la cooordinación"/>
    <m/>
    <m/>
    <s v="Of.115-CNS-SSRISS-2024"/>
    <d v="2024-03-18T00:00:00"/>
    <m/>
    <m/>
    <m/>
    <n v="29441.724999999999"/>
    <n v="-29441.724999999999"/>
    <x v="1"/>
    <m/>
    <s v="Según orden de compra N° 2686-2024"/>
    <n v="29441.724999999999"/>
  </r>
  <r>
    <n v="55"/>
    <s v="Catalago Electrónico"/>
    <x v="91"/>
    <n v="48"/>
    <x v="40"/>
    <s v="Lic. Nimrod"/>
    <s v="utiles varios de oficina para la cooordinación"/>
    <m/>
    <m/>
    <s v="Of.117-CNS-SSRISS-2024"/>
    <d v="2024-03-18T00:00:00"/>
    <m/>
    <m/>
    <m/>
    <n v="3759.73"/>
    <n v="-3759.73"/>
    <x v="1"/>
    <m/>
    <m/>
    <n v="3759.73"/>
  </r>
  <r>
    <n v="56"/>
    <s v="Catala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m/>
    <m/>
    <m/>
  </r>
  <r>
    <n v="58"/>
    <s v="Compra Menor"/>
    <x v="47"/>
    <n v="25"/>
    <x v="20"/>
    <s v="Lic. Josias"/>
    <m/>
    <m/>
    <m/>
    <m/>
    <m/>
    <m/>
    <m/>
    <m/>
    <n v="688200"/>
    <n v="-688200"/>
    <x v="4"/>
    <m/>
    <s v="Se devolvio por que habia muchas cosas por corregir"/>
    <m/>
  </r>
  <r>
    <n v="59"/>
    <s v="Catalago Electrónico"/>
    <x v="92"/>
    <n v="48"/>
    <x v="40"/>
    <s v="Lic. Nimrod"/>
    <s v="Lapices, marcadores, grapas, perforadoras, engrapadoras"/>
    <s v="Of. 564-DGRP-2024"/>
    <d v="2024-04-03T00:00:00"/>
    <s v="Of.141-CNS-SSRISS-2024"/>
    <d v="2024-04-04T00:00:00"/>
    <m/>
    <m/>
    <m/>
    <n v="227654.87"/>
    <n v="-227654.87"/>
    <x v="1"/>
    <m/>
    <m/>
    <n v="225683.8"/>
  </r>
  <r>
    <n v="60"/>
    <s v="Catalago Electrónico"/>
    <x v="63"/>
    <n v="33"/>
    <x v="26"/>
    <s v="Lic. Nimrod"/>
    <s v="Folders, cartoncillo, cartulina, papel bond, leitz"/>
    <s v="Of. 434-DGRP-2024"/>
    <d v="2024-04-03T00:00:00"/>
    <s v="Of.142-CNS-SSRISS-2024"/>
    <d v="2024-04-04T00:00:00"/>
    <m/>
    <m/>
    <m/>
    <n v="31274.78"/>
    <n v="-31274.78"/>
    <x v="1"/>
    <m/>
    <s v="Orden de Compra N° 60-1-53-2693-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No. 60-1-53-2746 -2024, No. 60-1-53-2727-2024, No. 60-1-53-2747-2024"/>
    <m/>
  </r>
  <r>
    <n v="64"/>
    <s v="Catalago Electrónico"/>
    <x v="106"/>
    <n v="52"/>
    <x v="45"/>
    <s v="Lcda. Graciela"/>
    <s v="tintas"/>
    <s v="Of. 436-DGRP-2024"/>
    <d v="2024-04-09T00:00:00"/>
    <s v="Of.151-CNS-SSRISS-2024"/>
    <d v="2024-04-12T00:00:00"/>
    <m/>
    <m/>
    <m/>
    <n v="0"/>
    <n v="0"/>
    <x v="5"/>
    <m/>
    <s v="O/C. No. 60-1-53-2746 -2024, No. 60-1-53-2727-2024, No. 60-1-53-2747-2024"/>
    <m/>
  </r>
  <r>
    <n v="65"/>
    <s v="Catalago Electrónico"/>
    <x v="94"/>
    <n v="48"/>
    <x v="40"/>
    <s v="Lic. Nimrod"/>
    <s v="utiles varios de oficina"/>
    <s v="Of. 435-DGRP-2024"/>
    <d v="2024-04-09T00:00:00"/>
    <s v="Of.155-CNS-SSRISS-2024"/>
    <d v="2024-04-12T00:00:00"/>
    <m/>
    <m/>
    <m/>
    <n v="9661.6"/>
    <n v="-9661.6"/>
    <x v="1"/>
    <m/>
    <m/>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m/>
    <s v="Se deja un solo valor por que ya hay una solicitud de compra de tintas "/>
    <m/>
  </r>
  <r>
    <n v="68"/>
    <s v="Catalago Electrónico"/>
    <x v="90"/>
    <n v="47"/>
    <x v="39"/>
    <s v="Lcda. Graciela"/>
    <s v="Cloro, detergente, cepillo, detergente liquido neutro PH7"/>
    <s v="Of. 628-DGRP-2024"/>
    <d v="2024-04-11T00:00:00"/>
    <s v="Of. 166-CNS-SSRISS-2024"/>
    <d v="2024-04-15T00:00:00"/>
    <m/>
    <m/>
    <m/>
    <n v="1950"/>
    <n v="-1950"/>
    <x v="1"/>
    <m/>
    <m/>
    <n v="1950"/>
  </r>
  <r>
    <n v="69"/>
    <s v="Compra Directa"/>
    <x v="99"/>
    <n v="50"/>
    <x v="43"/>
    <s v="Dra. Jessy"/>
    <s v="Jeringas"/>
    <s v="Of. 213-JLNV-2024"/>
    <d v="2024-04-11T00:00:00"/>
    <m/>
    <m/>
    <m/>
    <m/>
    <m/>
    <n v="48000"/>
    <n v="-48000"/>
    <x v="4"/>
    <m/>
    <s v="quedo sin valor y efecto"/>
    <m/>
  </r>
  <r>
    <n v="70"/>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5"/>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Jeringas"/>
    <s v="Of. 213-JLNV-2024"/>
    <d v="2024-04-24T00:00:00"/>
    <s v="Of. 185-CNS-SSRISS-2024"/>
    <d v="2024-04-24T00:00:00"/>
    <m/>
    <m/>
    <m/>
    <n v="48000"/>
    <n v="-48000"/>
    <x v="5"/>
    <m/>
    <m/>
    <m/>
  </r>
  <r>
    <n v="77"/>
    <s v="Compra Menor"/>
    <x v="88"/>
    <n v="47"/>
    <x v="39"/>
    <s v="Dra. Lucy"/>
    <s v="Detergente, paños para limpieza, papel toalla Interfoliada (KLEENEX), papel toalla"/>
    <s v="Of. 245-JLNV-2024"/>
    <d v="2024-04-24T00:00:00"/>
    <s v="Of. 186-CNS-SSRISS-2024"/>
    <d v="2024-04-29T00:00:00"/>
    <m/>
    <m/>
    <m/>
    <n v="1024.6500000000001"/>
    <n v="-1024.6500000000001"/>
    <x v="1"/>
    <m/>
    <s v="Pendiente de espera de resolución del proceso de febrero"/>
    <n v="1024.6500000000001"/>
  </r>
  <r>
    <n v="78"/>
    <s v="Compra Menor"/>
    <x v="88"/>
    <n v="47"/>
    <x v="39"/>
    <m/>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m/>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ago Electrónico"/>
    <x v="68"/>
    <n v="35"/>
    <x v="28"/>
    <s v="Lic. Josias"/>
    <s v="15 llantas para 3 Vehiculos"/>
    <s v="Of. 809-DGRP-2024"/>
    <d v="2024-05-09T00:00:00"/>
    <s v="Of. 235-CNS-SSRISS-2024"/>
    <d v="2024-05-29T00:00:00"/>
    <m/>
    <m/>
    <m/>
    <n v="100000"/>
    <n v="-100000"/>
    <x v="5"/>
    <m/>
    <m/>
    <m/>
  </r>
  <r>
    <n v="98"/>
    <s v="Catalago Electrónico"/>
    <x v="70"/>
    <n v="35"/>
    <x v="28"/>
    <s v="Lic. Josias"/>
    <s v="14 llantas para 3 Vehiculos"/>
    <s v="Of. 804-DGRP-2024"/>
    <d v="2024-05-09T00:00:00"/>
    <s v="Of. 235-CNS-SSRISS-2024"/>
    <d v="2024-05-29T00:00:00"/>
    <m/>
    <m/>
    <m/>
    <n v="80000"/>
    <n v="-80000"/>
    <x v="5"/>
    <m/>
    <m/>
    <m/>
  </r>
  <r>
    <n v="99"/>
    <s v="Catalago Electrónico"/>
    <x v="69"/>
    <n v="35"/>
    <x v="28"/>
    <s v="Lic. Josias"/>
    <s v="Llantas para malaria"/>
    <s v="Of. 244-ETNEM-SS-2024"/>
    <d v="2024-05-29T00:00:00"/>
    <s v="Of. 235-CNS-SSRISS-2024"/>
    <d v="2024-05-29T00:00:00"/>
    <m/>
    <m/>
    <m/>
    <n v="209293"/>
    <n v="-209293"/>
    <x v="5"/>
    <m/>
    <m/>
    <m/>
  </r>
  <r>
    <n v="100"/>
    <s v="Catalago Electrónico"/>
    <x v="67"/>
    <n v="35"/>
    <x v="28"/>
    <s v="Lic. Josias"/>
    <s v="Llantas para vehiculo de la coodinación"/>
    <m/>
    <m/>
    <s v="Of. 235-CNS-SSRISS-2024"/>
    <d v="2024-05-29T00:00:00"/>
    <m/>
    <m/>
    <m/>
    <n v="255000"/>
    <n v="-255000"/>
    <x v="5"/>
    <m/>
    <m/>
    <m/>
  </r>
  <r>
    <n v="101"/>
    <s v="Compra Menor"/>
    <x v="30"/>
    <n v="15"/>
    <x v="13"/>
    <s v="Lic. Josias"/>
    <s v="Mantenimiento"/>
    <s v="Of. 210-ETNEM-SS-2024"/>
    <d v="2024-05-03T00:00:00"/>
    <s v="Of. 236-CNS-SSRISS-2024"/>
    <d v="2024-05-23T00:00:00"/>
    <m/>
    <m/>
    <m/>
    <n v="49780"/>
    <n v="-49780"/>
    <x v="5"/>
    <m/>
    <m/>
    <m/>
  </r>
  <r>
    <n v="102"/>
    <s v="Catalago Electrónico"/>
    <x v="105"/>
    <n v="52"/>
    <x v="45"/>
    <s v="Lic. Josias"/>
    <s v="Tintas, mouse y USB"/>
    <m/>
    <m/>
    <s v="Of. 257-CNS-SSRISS-2024"/>
    <d v="2024-06-03T00:00:00"/>
    <m/>
    <m/>
    <m/>
    <n v="274186"/>
    <n v="-274186"/>
    <x v="5"/>
    <m/>
    <m/>
    <m/>
  </r>
  <r>
    <n v="103"/>
    <s v="Compra Menor"/>
    <x v="84"/>
    <n v="44"/>
    <x v="36"/>
    <s v="Lic. Josias"/>
    <s v="Aceite para motor 15W30 8 Galones"/>
    <s v="Of. 803-DGRP-2024"/>
    <d v="2024-05-09T00:00:00"/>
    <s v="Of. 233-CNS-SSRISS-2024"/>
    <d v="2024-05-21T00:00:00"/>
    <m/>
    <m/>
    <m/>
    <n v="38400"/>
    <n v="-38400"/>
    <x v="5"/>
    <m/>
    <m/>
    <m/>
  </r>
  <r>
    <n v="104"/>
    <s v="Catalago Electrónico"/>
    <x v="93"/>
    <n v="48"/>
    <x v="40"/>
    <s v="Lic. Nimrod"/>
    <s v="Compra de utiles para ETNEM y la coordinación nacional de subvenciones"/>
    <m/>
    <m/>
    <s v="Of. 282-CNS-SSRISS-2024"/>
    <d v="2024-06-14T00:00:00"/>
    <m/>
    <m/>
    <m/>
    <n v="671032.43999999994"/>
    <n v="-671032.43999999994"/>
    <x v="5"/>
    <m/>
    <m/>
    <m/>
  </r>
  <r>
    <n v="105"/>
    <s v="Catalago Electrónico"/>
    <x v="117"/>
    <n v="59"/>
    <x v="51"/>
    <s v="Lcda. Graciela"/>
    <s v="Laptop avanzada para la coordinación nacional de subvenciones"/>
    <m/>
    <m/>
    <s v="Of. 060-CNS-SSRISS-2024"/>
    <d v="2024-02-23T00:00:00"/>
    <m/>
    <m/>
    <m/>
    <n v="30000"/>
    <n v="-30000"/>
    <x v="1"/>
    <m/>
    <s v="Orden de Compra No.60-1-53-2631-202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30"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36" firstHeaderRow="1" firstDataRow="3" firstDataCol="1"/>
  <pivotFields count="23">
    <pivotField showAll="0"/>
    <pivotField showAll="0"/>
    <pivotField axis="axisRow" showAll="0">
      <items count="135">
        <item x="131"/>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30"/>
        <item m="1" x="132"/>
        <item x="128"/>
        <item m="1" x="133"/>
        <item x="125"/>
        <item x="126"/>
        <item x="127"/>
        <item x="129"/>
        <item t="default"/>
      </items>
    </pivotField>
    <pivotField showAll="0"/>
    <pivotField axis="axisRow"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x="55"/>
        <item sd="0" x="51"/>
        <item sd="0" x="52"/>
        <item sd="0" x="53"/>
        <item sd="0" x="56"/>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sortType="ascending">
      <items count="7">
        <item x="0"/>
        <item n="Grupo 100" x="2"/>
        <item n="Grupo 200" x="3"/>
        <item n="Grupo 300" x="4"/>
        <item n="Grupo 400" x="5"/>
        <item h="1" x="1"/>
        <item t="default"/>
      </items>
    </pivotField>
  </pivotFields>
  <rowFields count="3">
    <field x="22"/>
    <field x="4"/>
    <field x="2"/>
  </rowFields>
  <rowItems count="32">
    <i>
      <x v="1"/>
    </i>
    <i r="1">
      <x/>
    </i>
    <i r="1">
      <x v="1"/>
    </i>
    <i r="1">
      <x v="3"/>
    </i>
    <i r="1">
      <x v="4"/>
    </i>
    <i r="1">
      <x v="5"/>
    </i>
    <i r="1">
      <x v="6"/>
    </i>
    <i r="1">
      <x v="7"/>
    </i>
    <i r="1">
      <x v="9"/>
    </i>
    <i r="1">
      <x v="10"/>
    </i>
    <i r="1">
      <x v="11"/>
    </i>
    <i>
      <x v="2"/>
    </i>
    <i r="1">
      <x v="18"/>
    </i>
    <i r="1">
      <x v="20"/>
    </i>
    <i r="1">
      <x v="21"/>
    </i>
    <i r="1">
      <x v="22"/>
    </i>
    <i r="1">
      <x v="23"/>
    </i>
    <i>
      <x v="3"/>
    </i>
    <i r="1">
      <x v="27"/>
    </i>
    <i r="1">
      <x v="30"/>
    </i>
    <i r="1">
      <x v="32"/>
    </i>
    <i r="1">
      <x v="33"/>
    </i>
    <i r="1">
      <x v="34"/>
    </i>
    <i r="1">
      <x v="40"/>
    </i>
    <i r="1">
      <x v="41"/>
    </i>
    <i r="1">
      <x v="43"/>
    </i>
    <i r="1">
      <x v="45"/>
    </i>
    <i r="1">
      <x v="46"/>
    </i>
    <i>
      <x v="4"/>
    </i>
    <i r="1">
      <x v="51"/>
    </i>
    <i r="1">
      <x v="53"/>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311">
      <pivotArea outline="0" collapsedLevelsAreSubtotals="1" fieldPosition="0"/>
    </format>
    <format dxfId="310">
      <pivotArea dataOnly="0" labelOnly="1" fieldPosition="0">
        <references count="1">
          <reference field="4" count="0"/>
        </references>
      </pivotArea>
    </format>
    <format dxfId="309">
      <pivotArea dataOnly="0" labelOnly="1" outline="0" fieldPosition="0">
        <references count="2">
          <reference field="4294967294" count="3">
            <x v="0"/>
            <x v="1"/>
            <x v="2"/>
          </reference>
          <reference field="16" count="0" selected="0"/>
        </references>
      </pivotArea>
    </format>
    <format dxfId="308">
      <pivotArea field="4" type="button" dataOnly="0" labelOnly="1" outline="0" axis="axisRow" fieldPosition="1"/>
    </format>
    <format dxfId="307">
      <pivotArea type="all" dataOnly="0" outline="0" fieldPosition="0"/>
    </format>
    <format dxfId="306">
      <pivotArea dataOnly="0" labelOnly="1" fieldPosition="0">
        <references count="1">
          <reference field="16" count="0"/>
        </references>
      </pivotArea>
    </format>
    <format dxfId="305">
      <pivotArea dataOnly="0" labelOnly="1" fieldPosition="0">
        <references count="1">
          <reference field="16" count="0"/>
        </references>
      </pivotArea>
    </format>
    <format dxfId="304">
      <pivotArea collapsedLevelsAreSubtotals="1" fieldPosition="0">
        <references count="2">
          <reference field="4" count="1">
            <x v="0"/>
          </reference>
          <reference field="22" count="1" selected="0">
            <x v="1"/>
          </reference>
        </references>
      </pivotArea>
    </format>
    <format dxfId="303">
      <pivotArea collapsedLevelsAreSubtotals="1" fieldPosition="0">
        <references count="2">
          <reference field="4" count="1">
            <x v="1"/>
          </reference>
          <reference field="22" count="1" selected="0">
            <x v="1"/>
          </reference>
        </references>
      </pivotArea>
    </format>
    <format dxfId="302">
      <pivotArea collapsedLevelsAreSubtotals="1" fieldPosition="0">
        <references count="2">
          <reference field="4" count="1">
            <x v="4"/>
          </reference>
          <reference field="22" count="1" selected="0">
            <x v="1"/>
          </reference>
        </references>
      </pivotArea>
    </format>
    <format dxfId="301">
      <pivotArea collapsedLevelsAreSubtotals="1" fieldPosition="0">
        <references count="2">
          <reference field="4" count="1">
            <x v="5"/>
          </reference>
          <reference field="22" count="1" selected="0">
            <x v="1"/>
          </reference>
        </references>
      </pivotArea>
    </format>
    <format dxfId="300">
      <pivotArea collapsedLevelsAreSubtotals="1" fieldPosition="0">
        <references count="2">
          <reference field="4" count="1">
            <x v="6"/>
          </reference>
          <reference field="22" count="1" selected="0">
            <x v="1"/>
          </reference>
        </references>
      </pivotArea>
    </format>
    <format dxfId="299">
      <pivotArea collapsedLevelsAreSubtotals="1" fieldPosition="0">
        <references count="2">
          <reference field="4" count="1">
            <x v="7"/>
          </reference>
          <reference field="22" count="1" selected="0">
            <x v="1"/>
          </reference>
        </references>
      </pivotArea>
    </format>
    <format dxfId="298">
      <pivotArea collapsedLevelsAreSubtotals="1" fieldPosition="0">
        <references count="2">
          <reference field="4" count="1">
            <x v="10"/>
          </reference>
          <reference field="22" count="1" selected="0">
            <x v="1"/>
          </reference>
        </references>
      </pivotArea>
    </format>
    <format dxfId="297">
      <pivotArea collapsedLevelsAreSubtotals="1" fieldPosition="0">
        <references count="2">
          <reference field="4" count="1">
            <x v="11"/>
          </reference>
          <reference field="22" count="1" selected="0">
            <x v="1"/>
          </reference>
        </references>
      </pivotArea>
    </format>
    <format dxfId="296">
      <pivotArea collapsedLevelsAreSubtotals="1" fieldPosition="0">
        <references count="2">
          <reference field="4" count="1">
            <x v="27"/>
          </reference>
          <reference field="22" count="1" selected="0">
            <x v="3"/>
          </reference>
        </references>
      </pivotArea>
    </format>
    <format dxfId="295">
      <pivotArea collapsedLevelsAreSubtotals="1" fieldPosition="0">
        <references count="2">
          <reference field="4" count="1">
            <x v="32"/>
          </reference>
          <reference field="22" count="1" selected="0">
            <x v="3"/>
          </reference>
        </references>
      </pivotArea>
    </format>
    <format dxfId="294">
      <pivotArea collapsedLevelsAreSubtotals="1" fieldPosition="0">
        <references count="2">
          <reference field="4" count="1">
            <x v="33"/>
          </reference>
          <reference field="22" count="1" selected="0">
            <x v="3"/>
          </reference>
        </references>
      </pivotArea>
    </format>
    <format dxfId="293">
      <pivotArea collapsedLevelsAreSubtotals="1" fieldPosition="0">
        <references count="2">
          <reference field="4" count="1">
            <x v="34"/>
          </reference>
          <reference field="22" count="1" selected="0">
            <x v="3"/>
          </reference>
        </references>
      </pivotArea>
    </format>
    <format dxfId="292">
      <pivotArea collapsedLevelsAreSubtotals="1" fieldPosition="0">
        <references count="2">
          <reference field="4" count="1">
            <x v="40"/>
          </reference>
          <reference field="22" count="1" selected="0">
            <x v="3"/>
          </reference>
        </references>
      </pivotArea>
    </format>
    <format dxfId="291">
      <pivotArea collapsedLevelsAreSubtotals="1" fieldPosition="0">
        <references count="2">
          <reference field="4" count="1">
            <x v="41"/>
          </reference>
          <reference field="22" count="1" selected="0">
            <x v="3"/>
          </reference>
        </references>
      </pivotArea>
    </format>
    <format dxfId="290">
      <pivotArea collapsedLevelsAreSubtotals="1" fieldPosition="0">
        <references count="2">
          <reference field="4" count="1">
            <x v="43"/>
          </reference>
          <reference field="22" count="1" selected="0">
            <x v="3"/>
          </reference>
        </references>
      </pivotArea>
    </format>
    <format dxfId="289">
      <pivotArea collapsedLevelsAreSubtotals="1" fieldPosition="0">
        <references count="2">
          <reference field="4" count="1">
            <x v="45"/>
          </reference>
          <reference field="22" count="1" selected="0">
            <x v="3"/>
          </reference>
        </references>
      </pivotArea>
    </format>
    <format dxfId="288">
      <pivotArea collapsedLevelsAreSubtotals="1" fieldPosition="0">
        <references count="2">
          <reference field="4" count="1">
            <x v="46"/>
          </reference>
          <reference field="22" count="1" selected="0">
            <x v="3"/>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30"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68" firstHeaderRow="1" firstDataRow="2" firstDataCol="1"/>
  <pivotFields count="23">
    <pivotField subtotalTop="0" showAll="0"/>
    <pivotField subtotalTop="0" showAll="0"/>
    <pivotField axis="axisRow" subtotalTop="0" showAll="0">
      <items count="135">
        <item x="131"/>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30"/>
        <item m="1" x="132"/>
        <item x="128"/>
        <item m="1" x="133"/>
        <item x="125"/>
        <item x="126"/>
        <item x="127"/>
        <item x="129"/>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sd="0" x="0"/>
        <item h="1" sd="0" x="1"/>
        <item t="default" sd="0"/>
      </items>
    </pivotField>
  </pivotFields>
  <rowFields count="3">
    <field x="22"/>
    <field x="4"/>
    <field x="2"/>
  </rowFields>
  <rowItems count="65">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t="grand">
      <x/>
    </i>
  </rowItems>
  <colFields count="1">
    <field x="16"/>
  </colFields>
  <colItems count="5">
    <i>
      <x/>
    </i>
    <i>
      <x v="1"/>
    </i>
    <i>
      <x v="2"/>
    </i>
    <i>
      <x v="3"/>
    </i>
    <i t="grand">
      <x/>
    </i>
  </colItems>
  <dataFields count="1">
    <dataField name="Suma de Saldo" fld="15" baseField="0" baseItem="0"/>
  </dataFields>
  <formats count="221">
    <format dxfId="287">
      <pivotArea field="4" grandCol="1" collapsedLevelsAreSubtotals="1" axis="axisRow" fieldPosition="1">
        <references count="1">
          <reference field="4" count="1">
            <x v="0"/>
          </reference>
        </references>
      </pivotArea>
    </format>
    <format dxfId="286">
      <pivotArea field="4" grandCol="1" collapsedLevelsAreSubtotals="1" axis="axisRow" fieldPosition="1">
        <references count="1">
          <reference field="4" count="1">
            <x v="1"/>
          </reference>
        </references>
      </pivotArea>
    </format>
    <format dxfId="285">
      <pivotArea field="4" grandCol="1" collapsedLevelsAreSubtotals="1" axis="axisRow" fieldPosition="1">
        <references count="1">
          <reference field="4" count="1">
            <x v="2"/>
          </reference>
        </references>
      </pivotArea>
    </format>
    <format dxfId="284">
      <pivotArea field="4" grandCol="1" collapsedLevelsAreSubtotals="1" axis="axisRow" fieldPosition="1">
        <references count="1">
          <reference field="4" count="1">
            <x v="3"/>
          </reference>
        </references>
      </pivotArea>
    </format>
    <format dxfId="283">
      <pivotArea field="4" grandCol="1" collapsedLevelsAreSubtotals="1" axis="axisRow" fieldPosition="1">
        <references count="1">
          <reference field="4" count="1">
            <x v="4"/>
          </reference>
        </references>
      </pivotArea>
    </format>
    <format dxfId="282">
      <pivotArea field="4" grandCol="1" collapsedLevelsAreSubtotals="1" axis="axisRow" fieldPosition="1">
        <references count="1">
          <reference field="4" count="1">
            <x v="5"/>
          </reference>
        </references>
      </pivotArea>
    </format>
    <format dxfId="281">
      <pivotArea field="4" grandCol="1" collapsedLevelsAreSubtotals="1" axis="axisRow" fieldPosition="1">
        <references count="1">
          <reference field="4" count="1">
            <x v="6"/>
          </reference>
        </references>
      </pivotArea>
    </format>
    <format dxfId="280">
      <pivotArea field="4" grandCol="1" collapsedLevelsAreSubtotals="1" axis="axisRow" fieldPosition="1">
        <references count="1">
          <reference field="4" count="1">
            <x v="7"/>
          </reference>
        </references>
      </pivotArea>
    </format>
    <format dxfId="279">
      <pivotArea field="4" grandCol="1" collapsedLevelsAreSubtotals="1" axis="axisRow" fieldPosition="1">
        <references count="1">
          <reference field="4" count="1">
            <x v="8"/>
          </reference>
        </references>
      </pivotArea>
    </format>
    <format dxfId="278">
      <pivotArea field="4" grandCol="1" collapsedLevelsAreSubtotals="1" axis="axisRow" fieldPosition="1">
        <references count="1">
          <reference field="4" count="1">
            <x v="9"/>
          </reference>
        </references>
      </pivotArea>
    </format>
    <format dxfId="277">
      <pivotArea field="4" grandCol="1" collapsedLevelsAreSubtotals="1" axis="axisRow" fieldPosition="1">
        <references count="1">
          <reference field="4" count="1">
            <x v="10"/>
          </reference>
        </references>
      </pivotArea>
    </format>
    <format dxfId="276">
      <pivotArea field="4" grandCol="1" collapsedLevelsAreSubtotals="1" axis="axisRow" fieldPosition="1">
        <references count="1">
          <reference field="4" count="1">
            <x v="11"/>
          </reference>
        </references>
      </pivotArea>
    </format>
    <format dxfId="275">
      <pivotArea field="4" grandCol="1" collapsedLevelsAreSubtotals="1" axis="axisRow" fieldPosition="1">
        <references count="1">
          <reference field="4" count="1">
            <x v="12"/>
          </reference>
        </references>
      </pivotArea>
    </format>
    <format dxfId="274">
      <pivotArea field="4" grandCol="1" collapsedLevelsAreSubtotals="1" axis="axisRow" fieldPosition="1">
        <references count="1">
          <reference field="4" count="1">
            <x v="13"/>
          </reference>
        </references>
      </pivotArea>
    </format>
    <format dxfId="273">
      <pivotArea field="4" grandCol="1" collapsedLevelsAreSubtotals="1" axis="axisRow" fieldPosition="1">
        <references count="1">
          <reference field="4" count="1">
            <x v="14"/>
          </reference>
        </references>
      </pivotArea>
    </format>
    <format dxfId="272">
      <pivotArea field="4" grandCol="1" collapsedLevelsAreSubtotals="1" axis="axisRow" fieldPosition="1">
        <references count="1">
          <reference field="4" count="1">
            <x v="15"/>
          </reference>
        </references>
      </pivotArea>
    </format>
    <format dxfId="271">
      <pivotArea field="4" grandCol="1" collapsedLevelsAreSubtotals="1" axis="axisRow" fieldPosition="1">
        <references count="1">
          <reference field="4" count="1">
            <x v="16"/>
          </reference>
        </references>
      </pivotArea>
    </format>
    <format dxfId="270">
      <pivotArea field="4" grandCol="1" collapsedLevelsAreSubtotals="1" axis="axisRow" fieldPosition="1">
        <references count="1">
          <reference field="4" count="1">
            <x v="17"/>
          </reference>
        </references>
      </pivotArea>
    </format>
    <format dxfId="269">
      <pivotArea field="4" grandCol="1" collapsedLevelsAreSubtotals="1" axis="axisRow" fieldPosition="1">
        <references count="1">
          <reference field="4" count="1">
            <x v="18"/>
          </reference>
        </references>
      </pivotArea>
    </format>
    <format dxfId="268">
      <pivotArea field="4" grandCol="1" collapsedLevelsAreSubtotals="1" axis="axisRow" fieldPosition="1">
        <references count="1">
          <reference field="4" count="1">
            <x v="19"/>
          </reference>
        </references>
      </pivotArea>
    </format>
    <format dxfId="267">
      <pivotArea field="4" grandCol="1" collapsedLevelsAreSubtotals="1" axis="axisRow" fieldPosition="1">
        <references count="1">
          <reference field="4" count="1">
            <x v="20"/>
          </reference>
        </references>
      </pivotArea>
    </format>
    <format dxfId="266">
      <pivotArea field="4" grandCol="1" collapsedLevelsAreSubtotals="1" axis="axisRow" fieldPosition="1">
        <references count="1">
          <reference field="4" count="1">
            <x v="21"/>
          </reference>
        </references>
      </pivotArea>
    </format>
    <format dxfId="265">
      <pivotArea field="4" grandCol="1" collapsedLevelsAreSubtotals="1" axis="axisRow" fieldPosition="1">
        <references count="1">
          <reference field="4" count="1">
            <x v="23"/>
          </reference>
        </references>
      </pivotArea>
    </format>
    <format dxfId="264">
      <pivotArea field="4" grandCol="1" collapsedLevelsAreSubtotals="1" axis="axisRow" fieldPosition="1">
        <references count="1">
          <reference field="4" count="1">
            <x v="24"/>
          </reference>
        </references>
      </pivotArea>
    </format>
    <format dxfId="263">
      <pivotArea field="4" grandCol="1" collapsedLevelsAreSubtotals="1" axis="axisRow" fieldPosition="1">
        <references count="1">
          <reference field="4" count="1">
            <x v="25"/>
          </reference>
        </references>
      </pivotArea>
    </format>
    <format dxfId="262">
      <pivotArea field="4" grandCol="1" collapsedLevelsAreSubtotals="1" axis="axisRow" fieldPosition="1">
        <references count="1">
          <reference field="4" count="1">
            <x v="26"/>
          </reference>
        </references>
      </pivotArea>
    </format>
    <format dxfId="261">
      <pivotArea field="4" grandCol="1" collapsedLevelsAreSubtotals="1" axis="axisRow" fieldPosition="1">
        <references count="1">
          <reference field="4" count="1">
            <x v="27"/>
          </reference>
        </references>
      </pivotArea>
    </format>
    <format dxfId="260">
      <pivotArea field="4" grandCol="1" collapsedLevelsAreSubtotals="1" axis="axisRow" fieldPosition="1">
        <references count="1">
          <reference field="4" count="1">
            <x v="28"/>
          </reference>
        </references>
      </pivotArea>
    </format>
    <format dxfId="259">
      <pivotArea field="4" grandCol="1" collapsedLevelsAreSubtotals="1" axis="axisRow" fieldPosition="1">
        <references count="1">
          <reference field="4" count="1">
            <x v="29"/>
          </reference>
        </references>
      </pivotArea>
    </format>
    <format dxfId="258">
      <pivotArea field="4" grandCol="1" collapsedLevelsAreSubtotals="1" axis="axisRow" fieldPosition="1">
        <references count="1">
          <reference field="4" count="1">
            <x v="30"/>
          </reference>
        </references>
      </pivotArea>
    </format>
    <format dxfId="257">
      <pivotArea field="4" grandCol="1" collapsedLevelsAreSubtotals="1" axis="axisRow" fieldPosition="1">
        <references count="1">
          <reference field="4" count="1">
            <x v="31"/>
          </reference>
        </references>
      </pivotArea>
    </format>
    <format dxfId="256">
      <pivotArea field="4" grandCol="1" collapsedLevelsAreSubtotals="1" axis="axisRow" fieldPosition="1">
        <references count="1">
          <reference field="4" count="1">
            <x v="32"/>
          </reference>
        </references>
      </pivotArea>
    </format>
    <format dxfId="255">
      <pivotArea field="4" grandCol="1" collapsedLevelsAreSubtotals="1" axis="axisRow" fieldPosition="1">
        <references count="1">
          <reference field="4" count="1">
            <x v="33"/>
          </reference>
        </references>
      </pivotArea>
    </format>
    <format dxfId="254">
      <pivotArea collapsedLevelsAreSubtotals="1" fieldPosition="0">
        <references count="2">
          <reference field="4" count="1">
            <x v="34"/>
          </reference>
          <reference field="16" count="1" selected="0">
            <x v="0"/>
          </reference>
        </references>
      </pivotArea>
    </format>
    <format dxfId="253">
      <pivotArea field="4" grandCol="1" collapsedLevelsAreSubtotals="1" axis="axisRow" fieldPosition="1">
        <references count="1">
          <reference field="4" count="1">
            <x v="34"/>
          </reference>
        </references>
      </pivotArea>
    </format>
    <format dxfId="252">
      <pivotArea collapsedLevelsAreSubtotals="1" fieldPosition="0">
        <references count="2">
          <reference field="4" count="1">
            <x v="35"/>
          </reference>
          <reference field="16" count="1" selected="0">
            <x v="0"/>
          </reference>
        </references>
      </pivotArea>
    </format>
    <format dxfId="251">
      <pivotArea field="4" grandCol="1" collapsedLevelsAreSubtotals="1" axis="axisRow" fieldPosition="1">
        <references count="1">
          <reference field="4" count="1">
            <x v="35"/>
          </reference>
        </references>
      </pivotArea>
    </format>
    <format dxfId="250">
      <pivotArea collapsedLevelsAreSubtotals="1" fieldPosition="0">
        <references count="2">
          <reference field="4" count="1">
            <x v="36"/>
          </reference>
          <reference field="16" count="1" selected="0">
            <x v="0"/>
          </reference>
        </references>
      </pivotArea>
    </format>
    <format dxfId="249">
      <pivotArea field="4" grandCol="1" collapsedLevelsAreSubtotals="1" axis="axisRow" fieldPosition="1">
        <references count="1">
          <reference field="4" count="1">
            <x v="36"/>
          </reference>
        </references>
      </pivotArea>
    </format>
    <format dxfId="248">
      <pivotArea collapsedLevelsAreSubtotals="1" fieldPosition="0">
        <references count="2">
          <reference field="4" count="1">
            <x v="37"/>
          </reference>
          <reference field="16" count="1" selected="0">
            <x v="0"/>
          </reference>
        </references>
      </pivotArea>
    </format>
    <format dxfId="247">
      <pivotArea field="4" grandCol="1" collapsedLevelsAreSubtotals="1" axis="axisRow" fieldPosition="1">
        <references count="1">
          <reference field="4" count="1">
            <x v="37"/>
          </reference>
        </references>
      </pivotArea>
    </format>
    <format dxfId="246">
      <pivotArea collapsedLevelsAreSubtotals="1" fieldPosition="0">
        <references count="2">
          <reference field="4" count="1">
            <x v="38"/>
          </reference>
          <reference field="16" count="1" selected="0">
            <x v="0"/>
          </reference>
        </references>
      </pivotArea>
    </format>
    <format dxfId="245">
      <pivotArea field="4" grandCol="1" collapsedLevelsAreSubtotals="1" axis="axisRow" fieldPosition="1">
        <references count="1">
          <reference field="4" count="1">
            <x v="38"/>
          </reference>
        </references>
      </pivotArea>
    </format>
    <format dxfId="244">
      <pivotArea collapsedLevelsAreSubtotals="1" fieldPosition="0">
        <references count="2">
          <reference field="4" count="1">
            <x v="39"/>
          </reference>
          <reference field="16" count="1" selected="0">
            <x v="0"/>
          </reference>
        </references>
      </pivotArea>
    </format>
    <format dxfId="243">
      <pivotArea field="4" grandCol="1" collapsedLevelsAreSubtotals="1" axis="axisRow" fieldPosition="1">
        <references count="1">
          <reference field="4" count="1">
            <x v="39"/>
          </reference>
        </references>
      </pivotArea>
    </format>
    <format dxfId="242">
      <pivotArea collapsedLevelsAreSubtotals="1" fieldPosition="0">
        <references count="2">
          <reference field="4" count="1">
            <x v="40"/>
          </reference>
          <reference field="16" count="1" selected="0">
            <x v="0"/>
          </reference>
        </references>
      </pivotArea>
    </format>
    <format dxfId="241">
      <pivotArea field="4" grandCol="1" collapsedLevelsAreSubtotals="1" axis="axisRow" fieldPosition="1">
        <references count="1">
          <reference field="4" count="1">
            <x v="40"/>
          </reference>
        </references>
      </pivotArea>
    </format>
    <format dxfId="240">
      <pivotArea collapsedLevelsAreSubtotals="1" fieldPosition="0">
        <references count="2">
          <reference field="4" count="1">
            <x v="41"/>
          </reference>
          <reference field="16" count="1" selected="0">
            <x v="0"/>
          </reference>
        </references>
      </pivotArea>
    </format>
    <format dxfId="239">
      <pivotArea field="4" grandCol="1" collapsedLevelsAreSubtotals="1" axis="axisRow" fieldPosition="1">
        <references count="1">
          <reference field="4" count="1">
            <x v="41"/>
          </reference>
        </references>
      </pivotArea>
    </format>
    <format dxfId="238">
      <pivotArea collapsedLevelsAreSubtotals="1" fieldPosition="0">
        <references count="2">
          <reference field="4" count="1">
            <x v="42"/>
          </reference>
          <reference field="16" count="1" selected="0">
            <x v="0"/>
          </reference>
        </references>
      </pivotArea>
    </format>
    <format dxfId="237">
      <pivotArea field="4" grandCol="1" collapsedLevelsAreSubtotals="1" axis="axisRow" fieldPosition="1">
        <references count="1">
          <reference field="4" count="1">
            <x v="42"/>
          </reference>
        </references>
      </pivotArea>
    </format>
    <format dxfId="236">
      <pivotArea collapsedLevelsAreSubtotals="1" fieldPosition="0">
        <references count="2">
          <reference field="4" count="1">
            <x v="43"/>
          </reference>
          <reference field="16" count="1" selected="0">
            <x v="0"/>
          </reference>
        </references>
      </pivotArea>
    </format>
    <format dxfId="235">
      <pivotArea field="4" grandCol="1" collapsedLevelsAreSubtotals="1" axis="axisRow" fieldPosition="1">
        <references count="1">
          <reference field="4" count="1">
            <x v="43"/>
          </reference>
        </references>
      </pivotArea>
    </format>
    <format dxfId="234">
      <pivotArea collapsedLevelsAreSubtotals="1" fieldPosition="0">
        <references count="2">
          <reference field="4" count="1">
            <x v="44"/>
          </reference>
          <reference field="16" count="1" selected="0">
            <x v="0"/>
          </reference>
        </references>
      </pivotArea>
    </format>
    <format dxfId="233">
      <pivotArea field="4" grandCol="1" collapsedLevelsAreSubtotals="1" axis="axisRow" fieldPosition="1">
        <references count="1">
          <reference field="4" count="1">
            <x v="44"/>
          </reference>
        </references>
      </pivotArea>
    </format>
    <format dxfId="232">
      <pivotArea collapsedLevelsAreSubtotals="1" fieldPosition="0">
        <references count="2">
          <reference field="4" count="1">
            <x v="45"/>
          </reference>
          <reference field="16" count="1" selected="0">
            <x v="0"/>
          </reference>
        </references>
      </pivotArea>
    </format>
    <format dxfId="231">
      <pivotArea field="4" grandCol="1" collapsedLevelsAreSubtotals="1" axis="axisRow" fieldPosition="1">
        <references count="1">
          <reference field="4" count="1">
            <x v="45"/>
          </reference>
        </references>
      </pivotArea>
    </format>
    <format dxfId="230">
      <pivotArea collapsedLevelsAreSubtotals="1" fieldPosition="0">
        <references count="2">
          <reference field="4" count="1">
            <x v="46"/>
          </reference>
          <reference field="16" count="1" selected="0">
            <x v="0"/>
          </reference>
        </references>
      </pivotArea>
    </format>
    <format dxfId="229">
      <pivotArea field="4" grandCol="1" collapsedLevelsAreSubtotals="1" axis="axisRow" fieldPosition="1">
        <references count="1">
          <reference field="4" count="1">
            <x v="46"/>
          </reference>
        </references>
      </pivotArea>
    </format>
    <format dxfId="228">
      <pivotArea collapsedLevelsAreSubtotals="1" fieldPosition="0">
        <references count="2">
          <reference field="4" count="1">
            <x v="47"/>
          </reference>
          <reference field="16" count="1" selected="0">
            <x v="0"/>
          </reference>
        </references>
      </pivotArea>
    </format>
    <format dxfId="227">
      <pivotArea field="4" grandCol="1" collapsedLevelsAreSubtotals="1" axis="axisRow" fieldPosition="1">
        <references count="1">
          <reference field="4" count="1">
            <x v="47"/>
          </reference>
        </references>
      </pivotArea>
    </format>
    <format dxfId="226">
      <pivotArea collapsedLevelsAreSubtotals="1" fieldPosition="0">
        <references count="2">
          <reference field="4" count="1">
            <x v="48"/>
          </reference>
          <reference field="16" count="1" selected="0">
            <x v="0"/>
          </reference>
        </references>
      </pivotArea>
    </format>
    <format dxfId="225">
      <pivotArea field="4" grandCol="1" collapsedLevelsAreSubtotals="1" axis="axisRow" fieldPosition="1">
        <references count="1">
          <reference field="4" count="1">
            <x v="48"/>
          </reference>
        </references>
      </pivotArea>
    </format>
    <format dxfId="224">
      <pivotArea collapsedLevelsAreSubtotals="1" fieldPosition="0">
        <references count="2">
          <reference field="4" count="1">
            <x v="49"/>
          </reference>
          <reference field="16" count="1" selected="0">
            <x v="0"/>
          </reference>
        </references>
      </pivotArea>
    </format>
    <format dxfId="223">
      <pivotArea field="4" grandCol="1" collapsedLevelsAreSubtotals="1" axis="axisRow" fieldPosition="1">
        <references count="1">
          <reference field="4" count="1">
            <x v="49"/>
          </reference>
        </references>
      </pivotArea>
    </format>
    <format dxfId="222">
      <pivotArea collapsedLevelsAreSubtotals="1" fieldPosition="0">
        <references count="2">
          <reference field="4" count="1">
            <x v="50"/>
          </reference>
          <reference field="16" count="1" selected="0">
            <x v="0"/>
          </reference>
        </references>
      </pivotArea>
    </format>
    <format dxfId="221">
      <pivotArea field="4" grandCol="1" collapsedLevelsAreSubtotals="1" axis="axisRow" fieldPosition="1">
        <references count="1">
          <reference field="4" count="1">
            <x v="50"/>
          </reference>
        </references>
      </pivotArea>
    </format>
    <format dxfId="220">
      <pivotArea collapsedLevelsAreSubtotals="1" fieldPosition="0">
        <references count="2">
          <reference field="4" count="1">
            <x v="51"/>
          </reference>
          <reference field="16" count="1" selected="0">
            <x v="0"/>
          </reference>
        </references>
      </pivotArea>
    </format>
    <format dxfId="219">
      <pivotArea field="4" grandCol="1" collapsedLevelsAreSubtotals="1" axis="axisRow" fieldPosition="1">
        <references count="1">
          <reference field="4" count="1">
            <x v="51"/>
          </reference>
        </references>
      </pivotArea>
    </format>
    <format dxfId="218">
      <pivotArea collapsedLevelsAreSubtotals="1" fieldPosition="0">
        <references count="2">
          <reference field="4" count="1">
            <x v="53"/>
          </reference>
          <reference field="16" count="1" selected="0">
            <x v="0"/>
          </reference>
        </references>
      </pivotArea>
    </format>
    <format dxfId="217">
      <pivotArea field="4" grandCol="1" collapsedLevelsAreSubtotals="1" axis="axisRow" fieldPosition="1">
        <references count="1">
          <reference field="4" count="1">
            <x v="53"/>
          </reference>
        </references>
      </pivotArea>
    </format>
    <format dxfId="216">
      <pivotArea collapsedLevelsAreSubtotals="1" fieldPosition="0">
        <references count="2">
          <reference field="4" count="1">
            <x v="54"/>
          </reference>
          <reference field="16" count="1" selected="0">
            <x v="0"/>
          </reference>
        </references>
      </pivotArea>
    </format>
    <format dxfId="215">
      <pivotArea field="4" grandCol="1" collapsedLevelsAreSubtotals="1" axis="axisRow" fieldPosition="1">
        <references count="1">
          <reference field="4" count="1">
            <x v="54"/>
          </reference>
        </references>
      </pivotArea>
    </format>
    <format dxfId="214">
      <pivotArea collapsedLevelsAreSubtotals="1" fieldPosition="0">
        <references count="2">
          <reference field="4" count="1">
            <x v="55"/>
          </reference>
          <reference field="16" count="1" selected="0">
            <x v="0"/>
          </reference>
        </references>
      </pivotArea>
    </format>
    <format dxfId="213">
      <pivotArea field="4" grandCol="1" collapsedLevelsAreSubtotals="1" axis="axisRow" fieldPosition="1">
        <references count="1">
          <reference field="4" count="1">
            <x v="55"/>
          </reference>
        </references>
      </pivotArea>
    </format>
    <format dxfId="212">
      <pivotArea collapsedLevelsAreSubtotals="1" fieldPosition="0">
        <references count="1">
          <reference field="4" count="1">
            <x v="0"/>
          </reference>
        </references>
      </pivotArea>
    </format>
    <format dxfId="211">
      <pivotArea collapsedLevelsAreSubtotals="1" fieldPosition="0">
        <references count="1">
          <reference field="4" count="1">
            <x v="1"/>
          </reference>
        </references>
      </pivotArea>
    </format>
    <format dxfId="210">
      <pivotArea collapsedLevelsAreSubtotals="1" fieldPosition="0">
        <references count="1">
          <reference field="4" count="1">
            <x v="2"/>
          </reference>
        </references>
      </pivotArea>
    </format>
    <format dxfId="209">
      <pivotArea collapsedLevelsAreSubtotals="1" fieldPosition="0">
        <references count="1">
          <reference field="4" count="1">
            <x v="3"/>
          </reference>
        </references>
      </pivotArea>
    </format>
    <format dxfId="208">
      <pivotArea collapsedLevelsAreSubtotals="1" fieldPosition="0">
        <references count="1">
          <reference field="4" count="1">
            <x v="4"/>
          </reference>
        </references>
      </pivotArea>
    </format>
    <format dxfId="207">
      <pivotArea collapsedLevelsAreSubtotals="1" fieldPosition="0">
        <references count="1">
          <reference field="4" count="1">
            <x v="5"/>
          </reference>
        </references>
      </pivotArea>
    </format>
    <format dxfId="206">
      <pivotArea collapsedLevelsAreSubtotals="1" fieldPosition="0">
        <references count="1">
          <reference field="4" count="1">
            <x v="6"/>
          </reference>
        </references>
      </pivotArea>
    </format>
    <format dxfId="205">
      <pivotArea collapsedLevelsAreSubtotals="1" fieldPosition="0">
        <references count="1">
          <reference field="4" count="1">
            <x v="7"/>
          </reference>
        </references>
      </pivotArea>
    </format>
    <format dxfId="204">
      <pivotArea collapsedLevelsAreSubtotals="1" fieldPosition="0">
        <references count="1">
          <reference field="4" count="1">
            <x v="8"/>
          </reference>
        </references>
      </pivotArea>
    </format>
    <format dxfId="203">
      <pivotArea collapsedLevelsAreSubtotals="1" fieldPosition="0">
        <references count="1">
          <reference field="4" count="1">
            <x v="9"/>
          </reference>
        </references>
      </pivotArea>
    </format>
    <format dxfId="202">
      <pivotArea collapsedLevelsAreSubtotals="1" fieldPosition="0">
        <references count="1">
          <reference field="4" count="1">
            <x v="10"/>
          </reference>
        </references>
      </pivotArea>
    </format>
    <format dxfId="201">
      <pivotArea collapsedLevelsAreSubtotals="1" fieldPosition="0">
        <references count="1">
          <reference field="4" count="1">
            <x v="11"/>
          </reference>
        </references>
      </pivotArea>
    </format>
    <format dxfId="200">
      <pivotArea collapsedLevelsAreSubtotals="1" fieldPosition="0">
        <references count="1">
          <reference field="4" count="1">
            <x v="12"/>
          </reference>
        </references>
      </pivotArea>
    </format>
    <format dxfId="199">
      <pivotArea collapsedLevelsAreSubtotals="1" fieldPosition="0">
        <references count="1">
          <reference field="4" count="1">
            <x v="13"/>
          </reference>
        </references>
      </pivotArea>
    </format>
    <format dxfId="198">
      <pivotArea collapsedLevelsAreSubtotals="1" fieldPosition="0">
        <references count="1">
          <reference field="4" count="1">
            <x v="14"/>
          </reference>
        </references>
      </pivotArea>
    </format>
    <format dxfId="197">
      <pivotArea collapsedLevelsAreSubtotals="1" fieldPosition="0">
        <references count="1">
          <reference field="4" count="1">
            <x v="15"/>
          </reference>
        </references>
      </pivotArea>
    </format>
    <format dxfId="196">
      <pivotArea collapsedLevelsAreSubtotals="1" fieldPosition="0">
        <references count="1">
          <reference field="4" count="1">
            <x v="16"/>
          </reference>
        </references>
      </pivotArea>
    </format>
    <format dxfId="195">
      <pivotArea collapsedLevelsAreSubtotals="1" fieldPosition="0">
        <references count="1">
          <reference field="4" count="1">
            <x v="17"/>
          </reference>
        </references>
      </pivotArea>
    </format>
    <format dxfId="194">
      <pivotArea collapsedLevelsAreSubtotals="1" fieldPosition="0">
        <references count="1">
          <reference field="4" count="1">
            <x v="18"/>
          </reference>
        </references>
      </pivotArea>
    </format>
    <format dxfId="193">
      <pivotArea collapsedLevelsAreSubtotals="1" fieldPosition="0">
        <references count="1">
          <reference field="4" count="1">
            <x v="19"/>
          </reference>
        </references>
      </pivotArea>
    </format>
    <format dxfId="192">
      <pivotArea collapsedLevelsAreSubtotals="1" fieldPosition="0">
        <references count="1">
          <reference field="4" count="1">
            <x v="20"/>
          </reference>
        </references>
      </pivotArea>
    </format>
    <format dxfId="191">
      <pivotArea collapsedLevelsAreSubtotals="1" fieldPosition="0">
        <references count="1">
          <reference field="4" count="1">
            <x v="21"/>
          </reference>
        </references>
      </pivotArea>
    </format>
    <format dxfId="190">
      <pivotArea collapsedLevelsAreSubtotals="1" fieldPosition="0">
        <references count="1">
          <reference field="4" count="1">
            <x v="23"/>
          </reference>
        </references>
      </pivotArea>
    </format>
    <format dxfId="189">
      <pivotArea collapsedLevelsAreSubtotals="1" fieldPosition="0">
        <references count="1">
          <reference field="4" count="1">
            <x v="24"/>
          </reference>
        </references>
      </pivotArea>
    </format>
    <format dxfId="188">
      <pivotArea collapsedLevelsAreSubtotals="1" fieldPosition="0">
        <references count="1">
          <reference field="4" count="1">
            <x v="25"/>
          </reference>
        </references>
      </pivotArea>
    </format>
    <format dxfId="187">
      <pivotArea collapsedLevelsAreSubtotals="1" fieldPosition="0">
        <references count="1">
          <reference field="4" count="1">
            <x v="26"/>
          </reference>
        </references>
      </pivotArea>
    </format>
    <format dxfId="186">
      <pivotArea collapsedLevelsAreSubtotals="1" fieldPosition="0">
        <references count="1">
          <reference field="4" count="1">
            <x v="27"/>
          </reference>
        </references>
      </pivotArea>
    </format>
    <format dxfId="185">
      <pivotArea collapsedLevelsAreSubtotals="1" fieldPosition="0">
        <references count="1">
          <reference field="4" count="1">
            <x v="28"/>
          </reference>
        </references>
      </pivotArea>
    </format>
    <format dxfId="184">
      <pivotArea collapsedLevelsAreSubtotals="1" fieldPosition="0">
        <references count="1">
          <reference field="4" count="1">
            <x v="29"/>
          </reference>
        </references>
      </pivotArea>
    </format>
    <format dxfId="183">
      <pivotArea collapsedLevelsAreSubtotals="1" fieldPosition="0">
        <references count="1">
          <reference field="4" count="1">
            <x v="30"/>
          </reference>
        </references>
      </pivotArea>
    </format>
    <format dxfId="182">
      <pivotArea collapsedLevelsAreSubtotals="1" fieldPosition="0">
        <references count="1">
          <reference field="4" count="1">
            <x v="31"/>
          </reference>
        </references>
      </pivotArea>
    </format>
    <format dxfId="181">
      <pivotArea collapsedLevelsAreSubtotals="1" fieldPosition="0">
        <references count="1">
          <reference field="4" count="1">
            <x v="32"/>
          </reference>
        </references>
      </pivotArea>
    </format>
    <format dxfId="180">
      <pivotArea collapsedLevelsAreSubtotals="1" fieldPosition="0">
        <references count="1">
          <reference field="4" count="1">
            <x v="33"/>
          </reference>
        </references>
      </pivotArea>
    </format>
    <format dxfId="179">
      <pivotArea grandRow="1" outline="0" collapsedLevelsAreSubtotals="1" fieldPosition="0"/>
    </format>
    <format dxfId="178">
      <pivotArea collapsedLevelsAreSubtotals="1" fieldPosition="0">
        <references count="2">
          <reference field="4" count="1">
            <x v="0"/>
          </reference>
          <reference field="16" count="1" selected="0">
            <x v="3"/>
          </reference>
        </references>
      </pivotArea>
    </format>
    <format dxfId="177">
      <pivotArea collapsedLevelsAreSubtotals="1" fieldPosition="0">
        <references count="2">
          <reference field="4" count="1">
            <x v="1"/>
          </reference>
          <reference field="16" count="1" selected="0">
            <x v="3"/>
          </reference>
        </references>
      </pivotArea>
    </format>
    <format dxfId="176">
      <pivotArea collapsedLevelsAreSubtotals="1" fieldPosition="0">
        <references count="2">
          <reference field="4" count="1">
            <x v="2"/>
          </reference>
          <reference field="16" count="1" selected="0">
            <x v="3"/>
          </reference>
        </references>
      </pivotArea>
    </format>
    <format dxfId="175">
      <pivotArea collapsedLevelsAreSubtotals="1" fieldPosition="0">
        <references count="2">
          <reference field="4" count="1">
            <x v="3"/>
          </reference>
          <reference field="16" count="1" selected="0">
            <x v="3"/>
          </reference>
        </references>
      </pivotArea>
    </format>
    <format dxfId="174">
      <pivotArea collapsedLevelsAreSubtotals="1" fieldPosition="0">
        <references count="2">
          <reference field="4" count="1">
            <x v="4"/>
          </reference>
          <reference field="16" count="1" selected="0">
            <x v="3"/>
          </reference>
        </references>
      </pivotArea>
    </format>
    <format dxfId="173">
      <pivotArea collapsedLevelsAreSubtotals="1" fieldPosition="0">
        <references count="2">
          <reference field="4" count="1">
            <x v="5"/>
          </reference>
          <reference field="16" count="1" selected="0">
            <x v="3"/>
          </reference>
        </references>
      </pivotArea>
    </format>
    <format dxfId="172">
      <pivotArea collapsedLevelsAreSubtotals="1" fieldPosition="0">
        <references count="2">
          <reference field="4" count="1">
            <x v="6"/>
          </reference>
          <reference field="16" count="1" selected="0">
            <x v="3"/>
          </reference>
        </references>
      </pivotArea>
    </format>
    <format dxfId="171">
      <pivotArea collapsedLevelsAreSubtotals="1" fieldPosition="0">
        <references count="2">
          <reference field="4" count="1">
            <x v="7"/>
          </reference>
          <reference field="16" count="1" selected="0">
            <x v="3"/>
          </reference>
        </references>
      </pivotArea>
    </format>
    <format dxfId="170">
      <pivotArea collapsedLevelsAreSubtotals="1" fieldPosition="0">
        <references count="2">
          <reference field="4" count="1">
            <x v="8"/>
          </reference>
          <reference field="16" count="1" selected="0">
            <x v="3"/>
          </reference>
        </references>
      </pivotArea>
    </format>
    <format dxfId="169">
      <pivotArea collapsedLevelsAreSubtotals="1" fieldPosition="0">
        <references count="2">
          <reference field="4" count="1">
            <x v="9"/>
          </reference>
          <reference field="16" count="1" selected="0">
            <x v="3"/>
          </reference>
        </references>
      </pivotArea>
    </format>
    <format dxfId="168">
      <pivotArea collapsedLevelsAreSubtotals="1" fieldPosition="0">
        <references count="2">
          <reference field="4" count="1">
            <x v="10"/>
          </reference>
          <reference field="16" count="1" selected="0">
            <x v="3"/>
          </reference>
        </references>
      </pivotArea>
    </format>
    <format dxfId="167">
      <pivotArea collapsedLevelsAreSubtotals="1" fieldPosition="0">
        <references count="2">
          <reference field="4" count="1">
            <x v="11"/>
          </reference>
          <reference field="16" count="1" selected="0">
            <x v="3"/>
          </reference>
        </references>
      </pivotArea>
    </format>
    <format dxfId="166">
      <pivotArea collapsedLevelsAreSubtotals="1" fieldPosition="0">
        <references count="2">
          <reference field="4" count="1">
            <x v="12"/>
          </reference>
          <reference field="16" count="1" selected="0">
            <x v="3"/>
          </reference>
        </references>
      </pivotArea>
    </format>
    <format dxfId="165">
      <pivotArea collapsedLevelsAreSubtotals="1" fieldPosition="0">
        <references count="2">
          <reference field="4" count="1">
            <x v="13"/>
          </reference>
          <reference field="16" count="1" selected="0">
            <x v="3"/>
          </reference>
        </references>
      </pivotArea>
    </format>
    <format dxfId="164">
      <pivotArea collapsedLevelsAreSubtotals="1" fieldPosition="0">
        <references count="2">
          <reference field="4" count="1">
            <x v="14"/>
          </reference>
          <reference field="16" count="1" selected="0">
            <x v="3"/>
          </reference>
        </references>
      </pivotArea>
    </format>
    <format dxfId="163">
      <pivotArea collapsedLevelsAreSubtotals="1" fieldPosition="0">
        <references count="2">
          <reference field="4" count="1">
            <x v="15"/>
          </reference>
          <reference field="16" count="1" selected="0">
            <x v="3"/>
          </reference>
        </references>
      </pivotArea>
    </format>
    <format dxfId="162">
      <pivotArea collapsedLevelsAreSubtotals="1" fieldPosition="0">
        <references count="2">
          <reference field="4" count="1">
            <x v="16"/>
          </reference>
          <reference field="16" count="1" selected="0">
            <x v="3"/>
          </reference>
        </references>
      </pivotArea>
    </format>
    <format dxfId="161">
      <pivotArea collapsedLevelsAreSubtotals="1" fieldPosition="0">
        <references count="2">
          <reference field="4" count="1">
            <x v="17"/>
          </reference>
          <reference field="16" count="1" selected="0">
            <x v="3"/>
          </reference>
        </references>
      </pivotArea>
    </format>
    <format dxfId="160">
      <pivotArea collapsedLevelsAreSubtotals="1" fieldPosition="0">
        <references count="2">
          <reference field="4" count="1">
            <x v="18"/>
          </reference>
          <reference field="16" count="1" selected="0">
            <x v="3"/>
          </reference>
        </references>
      </pivotArea>
    </format>
    <format dxfId="159">
      <pivotArea collapsedLevelsAreSubtotals="1" fieldPosition="0">
        <references count="2">
          <reference field="4" count="1">
            <x v="19"/>
          </reference>
          <reference field="16" count="1" selected="0">
            <x v="3"/>
          </reference>
        </references>
      </pivotArea>
    </format>
    <format dxfId="158">
      <pivotArea collapsedLevelsAreSubtotals="1" fieldPosition="0">
        <references count="2">
          <reference field="4" count="1">
            <x v="20"/>
          </reference>
          <reference field="16" count="1" selected="0">
            <x v="3"/>
          </reference>
        </references>
      </pivotArea>
    </format>
    <format dxfId="157">
      <pivotArea collapsedLevelsAreSubtotals="1" fieldPosition="0">
        <references count="2">
          <reference field="4" count="1">
            <x v="21"/>
          </reference>
          <reference field="16" count="1" selected="0">
            <x v="3"/>
          </reference>
        </references>
      </pivotArea>
    </format>
    <format dxfId="156">
      <pivotArea collapsedLevelsAreSubtotals="1" fieldPosition="0">
        <references count="2">
          <reference field="4" count="1">
            <x v="23"/>
          </reference>
          <reference field="16" count="1" selected="0">
            <x v="3"/>
          </reference>
        </references>
      </pivotArea>
    </format>
    <format dxfId="155">
      <pivotArea collapsedLevelsAreSubtotals="1" fieldPosition="0">
        <references count="2">
          <reference field="4" count="1">
            <x v="24"/>
          </reference>
          <reference field="16" count="1" selected="0">
            <x v="3"/>
          </reference>
        </references>
      </pivotArea>
    </format>
    <format dxfId="154">
      <pivotArea collapsedLevelsAreSubtotals="1" fieldPosition="0">
        <references count="2">
          <reference field="4" count="1">
            <x v="25"/>
          </reference>
          <reference field="16" count="1" selected="0">
            <x v="3"/>
          </reference>
        </references>
      </pivotArea>
    </format>
    <format dxfId="153">
      <pivotArea collapsedLevelsAreSubtotals="1" fieldPosition="0">
        <references count="2">
          <reference field="4" count="1">
            <x v="26"/>
          </reference>
          <reference field="16" count="1" selected="0">
            <x v="3"/>
          </reference>
        </references>
      </pivotArea>
    </format>
    <format dxfId="152">
      <pivotArea collapsedLevelsAreSubtotals="1" fieldPosition="0">
        <references count="2">
          <reference field="4" count="1">
            <x v="27"/>
          </reference>
          <reference field="16" count="1" selected="0">
            <x v="3"/>
          </reference>
        </references>
      </pivotArea>
    </format>
    <format dxfId="151">
      <pivotArea collapsedLevelsAreSubtotals="1" fieldPosition="0">
        <references count="2">
          <reference field="4" count="1">
            <x v="28"/>
          </reference>
          <reference field="16" count="1" selected="0">
            <x v="3"/>
          </reference>
        </references>
      </pivotArea>
    </format>
    <format dxfId="150">
      <pivotArea collapsedLevelsAreSubtotals="1" fieldPosition="0">
        <references count="2">
          <reference field="4" count="1">
            <x v="29"/>
          </reference>
          <reference field="16" count="1" selected="0">
            <x v="3"/>
          </reference>
        </references>
      </pivotArea>
    </format>
    <format dxfId="149">
      <pivotArea collapsedLevelsAreSubtotals="1" fieldPosition="0">
        <references count="2">
          <reference field="4" count="1">
            <x v="30"/>
          </reference>
          <reference field="16" count="1" selected="0">
            <x v="3"/>
          </reference>
        </references>
      </pivotArea>
    </format>
    <format dxfId="148">
      <pivotArea collapsedLevelsAreSubtotals="1" fieldPosition="0">
        <references count="2">
          <reference field="4" count="1">
            <x v="31"/>
          </reference>
          <reference field="16" count="1" selected="0">
            <x v="3"/>
          </reference>
        </references>
      </pivotArea>
    </format>
    <format dxfId="147">
      <pivotArea collapsedLevelsAreSubtotals="1" fieldPosition="0">
        <references count="2">
          <reference field="4" count="1">
            <x v="32"/>
          </reference>
          <reference field="16" count="1" selected="0">
            <x v="3"/>
          </reference>
        </references>
      </pivotArea>
    </format>
    <format dxfId="146">
      <pivotArea collapsedLevelsAreSubtotals="1" fieldPosition="0">
        <references count="2">
          <reference field="4" count="1">
            <x v="33"/>
          </reference>
          <reference field="16" count="1" selected="0">
            <x v="3"/>
          </reference>
        </references>
      </pivotArea>
    </format>
    <format dxfId="145">
      <pivotArea collapsedLevelsAreSubtotals="1" fieldPosition="0">
        <references count="2">
          <reference field="4" count="1">
            <x v="34"/>
          </reference>
          <reference field="16" count="1" selected="0">
            <x v="3"/>
          </reference>
        </references>
      </pivotArea>
    </format>
    <format dxfId="144">
      <pivotArea collapsedLevelsAreSubtotals="1" fieldPosition="0">
        <references count="2">
          <reference field="4" count="1">
            <x v="35"/>
          </reference>
          <reference field="16" count="1" selected="0">
            <x v="3"/>
          </reference>
        </references>
      </pivotArea>
    </format>
    <format dxfId="143">
      <pivotArea collapsedLevelsAreSubtotals="1" fieldPosition="0">
        <references count="2">
          <reference field="4" count="1">
            <x v="36"/>
          </reference>
          <reference field="16" count="1" selected="0">
            <x v="3"/>
          </reference>
        </references>
      </pivotArea>
    </format>
    <format dxfId="142">
      <pivotArea collapsedLevelsAreSubtotals="1" fieldPosition="0">
        <references count="2">
          <reference field="4" count="1">
            <x v="37"/>
          </reference>
          <reference field="16" count="1" selected="0">
            <x v="3"/>
          </reference>
        </references>
      </pivotArea>
    </format>
    <format dxfId="141">
      <pivotArea collapsedLevelsAreSubtotals="1" fieldPosition="0">
        <references count="2">
          <reference field="4" count="1">
            <x v="38"/>
          </reference>
          <reference field="16" count="1" selected="0">
            <x v="3"/>
          </reference>
        </references>
      </pivotArea>
    </format>
    <format dxfId="140">
      <pivotArea collapsedLevelsAreSubtotals="1" fieldPosition="0">
        <references count="2">
          <reference field="4" count="1">
            <x v="39"/>
          </reference>
          <reference field="16" count="1" selected="0">
            <x v="3"/>
          </reference>
        </references>
      </pivotArea>
    </format>
    <format dxfId="139">
      <pivotArea collapsedLevelsAreSubtotals="1" fieldPosition="0">
        <references count="2">
          <reference field="4" count="1">
            <x v="40"/>
          </reference>
          <reference field="16" count="1" selected="0">
            <x v="3"/>
          </reference>
        </references>
      </pivotArea>
    </format>
    <format dxfId="138">
      <pivotArea collapsedLevelsAreSubtotals="1" fieldPosition="0">
        <references count="2">
          <reference field="4" count="1">
            <x v="41"/>
          </reference>
          <reference field="16" count="1" selected="0">
            <x v="3"/>
          </reference>
        </references>
      </pivotArea>
    </format>
    <format dxfId="137">
      <pivotArea collapsedLevelsAreSubtotals="1" fieldPosition="0">
        <references count="2">
          <reference field="4" count="1">
            <x v="42"/>
          </reference>
          <reference field="16" count="1" selected="0">
            <x v="3"/>
          </reference>
        </references>
      </pivotArea>
    </format>
    <format dxfId="136">
      <pivotArea collapsedLevelsAreSubtotals="1" fieldPosition="0">
        <references count="2">
          <reference field="4" count="1">
            <x v="43"/>
          </reference>
          <reference field="16" count="1" selected="0">
            <x v="3"/>
          </reference>
        </references>
      </pivotArea>
    </format>
    <format dxfId="135">
      <pivotArea collapsedLevelsAreSubtotals="1" fieldPosition="0">
        <references count="2">
          <reference field="4" count="1">
            <x v="44"/>
          </reference>
          <reference field="16" count="1" selected="0">
            <x v="3"/>
          </reference>
        </references>
      </pivotArea>
    </format>
    <format dxfId="134">
      <pivotArea collapsedLevelsAreSubtotals="1" fieldPosition="0">
        <references count="2">
          <reference field="4" count="1">
            <x v="45"/>
          </reference>
          <reference field="16" count="1" selected="0">
            <x v="3"/>
          </reference>
        </references>
      </pivotArea>
    </format>
    <format dxfId="133">
      <pivotArea collapsedLevelsAreSubtotals="1" fieldPosition="0">
        <references count="2">
          <reference field="4" count="1">
            <x v="46"/>
          </reference>
          <reference field="16" count="1" selected="0">
            <x v="3"/>
          </reference>
        </references>
      </pivotArea>
    </format>
    <format dxfId="132">
      <pivotArea collapsedLevelsAreSubtotals="1" fieldPosition="0">
        <references count="2">
          <reference field="4" count="1">
            <x v="47"/>
          </reference>
          <reference field="16" count="1" selected="0">
            <x v="3"/>
          </reference>
        </references>
      </pivotArea>
    </format>
    <format dxfId="131">
      <pivotArea collapsedLevelsAreSubtotals="1" fieldPosition="0">
        <references count="2">
          <reference field="4" count="1">
            <x v="48"/>
          </reference>
          <reference field="16" count="1" selected="0">
            <x v="3"/>
          </reference>
        </references>
      </pivotArea>
    </format>
    <format dxfId="130">
      <pivotArea collapsedLevelsAreSubtotals="1" fieldPosition="0">
        <references count="2">
          <reference field="4" count="1">
            <x v="49"/>
          </reference>
          <reference field="16" count="1" selected="0">
            <x v="3"/>
          </reference>
        </references>
      </pivotArea>
    </format>
    <format dxfId="129">
      <pivotArea collapsedLevelsAreSubtotals="1" fieldPosition="0">
        <references count="2">
          <reference field="4" count="1">
            <x v="50"/>
          </reference>
          <reference field="16" count="1" selected="0">
            <x v="3"/>
          </reference>
        </references>
      </pivotArea>
    </format>
    <format dxfId="128">
      <pivotArea collapsedLevelsAreSubtotals="1" fieldPosition="0">
        <references count="2">
          <reference field="4" count="1">
            <x v="51"/>
          </reference>
          <reference field="16" count="1" selected="0">
            <x v="3"/>
          </reference>
        </references>
      </pivotArea>
    </format>
    <format dxfId="127">
      <pivotArea collapsedLevelsAreSubtotals="1" fieldPosition="0">
        <references count="2">
          <reference field="4" count="1">
            <x v="53"/>
          </reference>
          <reference field="16" count="1" selected="0">
            <x v="3"/>
          </reference>
        </references>
      </pivotArea>
    </format>
    <format dxfId="126">
      <pivotArea collapsedLevelsAreSubtotals="1" fieldPosition="0">
        <references count="2">
          <reference field="4" count="1">
            <x v="54"/>
          </reference>
          <reference field="16" count="1" selected="0">
            <x v="3"/>
          </reference>
        </references>
      </pivotArea>
    </format>
    <format dxfId="125">
      <pivotArea collapsedLevelsAreSubtotals="1" fieldPosition="0">
        <references count="2">
          <reference field="4" count="1">
            <x v="55"/>
          </reference>
          <reference field="16" count="1" selected="0">
            <x v="3"/>
          </reference>
        </references>
      </pivotArea>
    </format>
    <format dxfId="124">
      <pivotArea type="origin" dataOnly="0" labelOnly="1" outline="0" fieldPosition="0"/>
    </format>
    <format dxfId="123">
      <pivotArea field="16" type="button" dataOnly="0" labelOnly="1" outline="0" axis="axisCol" fieldPosition="0"/>
    </format>
    <format dxfId="122">
      <pivotArea type="topRight" dataOnly="0" labelOnly="1" outline="0" fieldPosition="0"/>
    </format>
    <format dxfId="121">
      <pivotArea dataOnly="0" labelOnly="1" fieldPosition="0">
        <references count="1">
          <reference field="16" count="0"/>
        </references>
      </pivotArea>
    </format>
    <format dxfId="120">
      <pivotArea dataOnly="0" labelOnly="1" grandCol="1" outline="0" fieldPosition="0"/>
    </format>
    <format dxfId="119">
      <pivotArea type="origin" dataOnly="0" labelOnly="1" outline="0" fieldPosition="0"/>
    </format>
    <format dxfId="118">
      <pivotArea field="16" type="button" dataOnly="0" labelOnly="1" outline="0" axis="axisCol" fieldPosition="0"/>
    </format>
    <format dxfId="117">
      <pivotArea type="origin" dataOnly="0" labelOnly="1" outline="0" fieldPosition="0"/>
    </format>
    <format dxfId="116">
      <pivotArea field="16" type="button" dataOnly="0" labelOnly="1" outline="0" axis="axisCol" fieldPosition="0"/>
    </format>
    <format dxfId="115">
      <pivotArea type="topRight" dataOnly="0" labelOnly="1" outline="0" fieldPosition="0"/>
    </format>
    <format dxfId="114">
      <pivotArea type="all" dataOnly="0" outline="0" fieldPosition="0"/>
    </format>
    <format dxfId="113">
      <pivotArea dataOnly="0" labelOnly="1" fieldPosition="0">
        <references count="1">
          <reference field="16" count="0"/>
        </references>
      </pivotArea>
    </format>
    <format dxfId="112">
      <pivotArea dataOnly="0" labelOnly="1" grandCol="1" outline="0" fieldPosition="0"/>
    </format>
    <format dxfId="111">
      <pivotArea dataOnly="0" labelOnly="1" fieldPosition="0">
        <references count="1">
          <reference field="16" count="0"/>
        </references>
      </pivotArea>
    </format>
    <format dxfId="110">
      <pivotArea dataOnly="0" labelOnly="1" grandCol="1" outline="0" fieldPosition="0"/>
    </format>
    <format dxfId="109">
      <pivotArea dataOnly="0" labelOnly="1" fieldPosition="0">
        <references count="1">
          <reference field="16" count="0"/>
        </references>
      </pivotArea>
    </format>
    <format dxfId="108">
      <pivotArea dataOnly="0" labelOnly="1" grandCol="1" outline="0" fieldPosition="0"/>
    </format>
    <format dxfId="107">
      <pivotArea dataOnly="0" labelOnly="1" fieldPosition="0">
        <references count="1">
          <reference field="16" count="0"/>
        </references>
      </pivotArea>
    </format>
    <format dxfId="106">
      <pivotArea dataOnly="0" labelOnly="1" grandCol="1" outline="0" fieldPosition="0"/>
    </format>
    <format dxfId="105">
      <pivotArea grandRow="1" outline="0" collapsedLevelsAreSubtotals="1" fieldPosition="0"/>
    </format>
    <format dxfId="104">
      <pivotArea dataOnly="0" labelOnly="1" grandRow="1" outline="0" fieldPosition="0"/>
    </format>
    <format dxfId="103">
      <pivotArea dataOnly="0" labelOnly="1" grandRow="1" outline="0" fieldPosition="0"/>
    </format>
    <format dxfId="102">
      <pivotArea dataOnly="0" labelOnly="1" grandRow="1" outline="0" fieldPosition="0"/>
    </format>
    <format dxfId="101">
      <pivotArea dataOnly="0" fieldPosition="0">
        <references count="1">
          <reference field="4" count="0" defaultSubtotal="1"/>
        </references>
      </pivotArea>
    </format>
    <format dxfId="100">
      <pivotArea dataOnly="0" grandRow="1" fieldPosition="0"/>
    </format>
    <format dxfId="99">
      <pivotArea dataOnly="0" outline="0" fieldPosition="0">
        <references count="1">
          <reference field="16" count="2">
            <x v="2"/>
            <x v="3"/>
          </reference>
        </references>
      </pivotArea>
    </format>
    <format dxfId="98">
      <pivotArea dataOnly="0" outline="0" fieldPosition="0">
        <references count="1">
          <reference field="16" count="1">
            <x v="0"/>
          </reference>
        </references>
      </pivotArea>
    </format>
    <format dxfId="97">
      <pivotArea dataOnly="0" grandCol="1" outline="0" fieldPosition="0"/>
    </format>
    <format dxfId="96">
      <pivotArea dataOnly="0" outline="0" fieldPosition="0">
        <references count="1">
          <reference field="16" count="1">
            <x v="1"/>
          </reference>
        </references>
      </pivotArea>
    </format>
    <format dxfId="95">
      <pivotArea dataOnly="0" labelOnly="1" fieldPosition="0">
        <references count="1">
          <reference field="16" count="0"/>
        </references>
      </pivotArea>
    </format>
    <format dxfId="94">
      <pivotArea dataOnly="0" labelOnly="1" grandCol="1" outline="0" fieldPosition="0"/>
    </format>
    <format dxfId="93">
      <pivotArea type="origin" dataOnly="0" labelOnly="1" outline="0" fieldPosition="0"/>
    </format>
    <format dxfId="92">
      <pivotArea field="16" type="button" dataOnly="0" labelOnly="1" outline="0" axis="axisCol" fieldPosition="0"/>
    </format>
    <format dxfId="91">
      <pivotArea type="topRight" dataOnly="0" labelOnly="1" outline="0" fieldPosition="0"/>
    </format>
    <format dxfId="90">
      <pivotArea dataOnly="0" labelOnly="1" fieldPosition="0">
        <references count="1">
          <reference field="16" count="0"/>
        </references>
      </pivotArea>
    </format>
    <format dxfId="89">
      <pivotArea dataOnly="0" labelOnly="1" grandCol="1" outline="0" fieldPosition="0"/>
    </format>
    <format dxfId="88">
      <pivotArea type="origin" dataOnly="0" labelOnly="1" outline="0" fieldPosition="0"/>
    </format>
    <format dxfId="87">
      <pivotArea field="16" type="button" dataOnly="0" labelOnly="1" outline="0" axis="axisCol" fieldPosition="0"/>
    </format>
    <format dxfId="86">
      <pivotArea type="topRight" dataOnly="0" labelOnly="1" outline="0" fieldPosition="0"/>
    </format>
    <format dxfId="85">
      <pivotArea type="origin" dataOnly="0" labelOnly="1" outline="0" fieldPosition="0"/>
    </format>
    <format dxfId="84">
      <pivotArea field="16" type="button" dataOnly="0" labelOnly="1" outline="0" axis="axisCol" fieldPosition="0"/>
    </format>
    <format dxfId="83">
      <pivotArea type="topRight" dataOnly="0" labelOnly="1" outline="0" fieldPosition="0"/>
    </format>
    <format dxfId="82">
      <pivotArea field="22" type="button" dataOnly="0" labelOnly="1" outline="0" axis="axisRow" fieldPosition="0"/>
    </format>
    <format dxfId="81">
      <pivotArea dataOnly="0" labelOnly="1" fieldPosition="0">
        <references count="1">
          <reference field="22" count="0"/>
        </references>
      </pivotArea>
    </format>
    <format dxfId="80">
      <pivotArea dataOnly="0" labelOnly="1" fieldPosition="0">
        <references count="1">
          <reference field="22" count="0"/>
        </references>
      </pivotArea>
    </format>
    <format dxfId="79">
      <pivotArea collapsedLevelsAreSubtotals="1" fieldPosition="0">
        <references count="1">
          <reference field="22" count="1">
            <x v="0"/>
          </reference>
        </references>
      </pivotArea>
    </format>
    <format dxfId="78">
      <pivotArea collapsedLevelsAreSubtotals="1" fieldPosition="0">
        <references count="1">
          <reference field="22" count="1">
            <x v="1"/>
          </reference>
        </references>
      </pivotArea>
    </format>
    <format dxfId="77">
      <pivotArea collapsedLevelsAreSubtotals="1" fieldPosition="0">
        <references count="1">
          <reference field="22" count="1">
            <x v="2"/>
          </reference>
        </references>
      </pivotArea>
    </format>
    <format dxfId="76">
      <pivotArea collapsedLevelsAreSubtotals="1" fieldPosition="0">
        <references count="1">
          <reference field="22" count="1">
            <x v="3"/>
          </reference>
        </references>
      </pivotArea>
    </format>
    <format dxfId="75">
      <pivotArea collapsedLevelsAreSubtotals="1" fieldPosition="0">
        <references count="1">
          <reference field="22" count="1">
            <x v="4"/>
          </reference>
        </references>
      </pivotArea>
    </format>
    <format dxfId="74">
      <pivotArea dataOnly="0" fieldPosition="0">
        <references count="1">
          <reference field="22" count="0" defaultSubtotal="1"/>
        </references>
      </pivotArea>
    </format>
    <format dxfId="73">
      <pivotArea dataOnly="0" fieldPosition="0">
        <references count="1">
          <reference field="22" count="0" defaultSubtotal="1"/>
        </references>
      </pivotArea>
    </format>
    <format dxfId="72">
      <pivotArea dataOnly="0" fieldPosition="0">
        <references count="1">
          <reference field="22" count="0" defaultSubtotal="1"/>
        </references>
      </pivotArea>
    </format>
    <format dxfId="71">
      <pivotArea collapsedLevelsAreSubtotals="1" fieldPosition="0">
        <references count="1">
          <reference field="22" count="1">
            <x v="0"/>
          </reference>
        </references>
      </pivotArea>
    </format>
    <format dxfId="70">
      <pivotArea collapsedLevelsAreSubtotals="1" fieldPosition="0">
        <references count="1">
          <reference field="22" count="1">
            <x v="1"/>
          </reference>
        </references>
      </pivotArea>
    </format>
    <format dxfId="69">
      <pivotArea collapsedLevelsAreSubtotals="1" fieldPosition="0">
        <references count="1">
          <reference field="22" count="1">
            <x v="2"/>
          </reference>
        </references>
      </pivotArea>
    </format>
    <format dxfId="68">
      <pivotArea collapsedLevelsAreSubtotals="1" fieldPosition="0">
        <references count="1">
          <reference field="22" count="1">
            <x v="3"/>
          </reference>
        </references>
      </pivotArea>
    </format>
    <format dxfId="67">
      <pivotArea collapsedLevelsAreSubtotals="1" fieldPosition="0">
        <references count="1">
          <reference field="22" count="1">
            <x v="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65"/>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64" dataDxfId="363" totalsRowDxfId="362">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361" totalsRowDxfId="360">
      <calculatedColumnFormula>ROWS(Tabla8[[#This Row],[Producto]])</calculatedColumnFormula>
    </tableColumn>
    <tableColumn id="2" xr3:uid="{714FA576-BF90-4C29-9FF7-68E27A7F05BE}" name="Producto" dataDxfId="359" totalsRowDxfId="358"/>
    <tableColumn id="3" xr3:uid="{07E5176B-B931-4285-A79A-F932E2119926}" name="Descripción" dataDxfId="357" totalsRowDxfId="356"/>
    <tableColumn id="9" xr3:uid="{632F97E2-F4CC-42CA-91AF-85B477D3EF1F}" name="CNS" dataDxfId="355" totalsRowDxfId="354"/>
    <tableColumn id="8" xr3:uid="{FCED4C7F-E51A-4E84-895B-A2A0C1A5D370}" name="ETNEM" dataDxfId="353" totalsRowDxfId="352"/>
    <tableColumn id="4" xr3:uid="{06E16D30-0507-4A07-88BD-49F4B5F3B6F5}" name="Cantidad" dataDxfId="351" totalsRowDxfId="350"/>
    <tableColumn id="5" xr3:uid="{F6D473E5-86AC-4D66-9B66-F37F5C8AF7DA}" name="Precio" dataDxfId="349" totalsRowDxfId="348" dataCellStyle="Moneda"/>
    <tableColumn id="6" xr3:uid="{1C26BB37-09B3-415A-8251-244BA72843AB}" name="Precio con ISV" dataDxfId="347" totalsRowDxfId="346">
      <calculatedColumnFormula>Tabla8[[#This Row],[Precio]]*1.15</calculatedColumnFormula>
    </tableColumn>
    <tableColumn id="7" xr3:uid="{CDABFDEC-A8C3-499C-A046-7A4DCBA4BE5D}" name="Costo total" totalsRowFunction="sum" dataDxfId="345" totalsRowDxfId="344">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2" totalsRowShown="0" headerRowDxfId="333" dataDxfId="332" dataCellStyle="Moneda">
  <autoFilter ref="A1:T282" xr:uid="{4938F6A6-4F63-4EEE-A72C-924D2B5F5D64}">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331">
      <calculatedColumnFormula>ROW(DIARIO[[#This Row],[Nombre de Cuenta]])-1</calculatedColumnFormula>
    </tableColumn>
    <tableColumn id="2" xr3:uid="{FC2729A6-8780-4E89-B983-343448558747}" name="Tipo de Compra" dataDxfId="330"/>
    <tableColumn id="3" xr3:uid="{F52E2A0D-14ED-49E6-929B-A7B45A573605}" name="Objeto de Gasto" dataDxfId="329"/>
    <tableColumn id="4" xr3:uid="{90BBECC0-2345-4772-9712-7CAB62D762DF}" name="Código de orden" dataDxfId="328">
      <calculatedColumnFormula>VLOOKUP(C2,CATALOGO[],2,FALSE)</calculatedColumnFormula>
    </tableColumn>
    <tableColumn id="5" xr3:uid="{CCB9CE21-D601-4181-8E09-808963A89EDC}" name="Nombre de Cuenta" dataDxfId="327">
      <calculatedColumnFormula>VLOOKUP(DIARIO[[#This Row],[Objeto de Gasto]],CATALOGO[],3,FALSE)</calculatedColumnFormula>
    </tableColumn>
    <tableColumn id="6" xr3:uid="{DB10CB65-E7F5-477B-9F1B-DAA4CCE25D23}" name="Responsable" dataDxfId="326"/>
    <tableColumn id="7" xr3:uid="{60557A1B-F36B-4144-B4EE-4319C4BDC087}" name="Especificaciones Técnicas" dataDxfId="325"/>
    <tableColumn id="8" xr3:uid="{B8F63D65-7E45-481A-B968-02577D1CC35A}" name="No. de Oficio de solicitud ETN" dataDxfId="324"/>
    <tableColumn id="9" xr3:uid="{9A89F2EF-2A75-47F5-AC69-65572195F40E}" name="Fecha de ingreso del Of. ETN a CNS" dataDxfId="323"/>
    <tableColumn id="10" xr3:uid="{E0D80095-861F-48AB-9701-043F0AFE9BD3}" name="Número de Of. De CNS a GA" dataDxfId="322"/>
    <tableColumn id="11" xr3:uid="{05234ABC-F53B-4942-A98E-D333775A01D3}" name="Fecha solicitud de SSRISS a GA2" dataDxfId="321"/>
    <tableColumn id="12" xr3:uid="{D73AD363-9EC6-489D-BC5B-12C748A5EB6F}" name="Numero de Of. de CNS a SSRISS" dataDxfId="320"/>
    <tableColumn id="13" xr3:uid="{AB0C3C9B-912C-4CE8-8D10-3C6D382FAC2D}" name="Fecha de Of. de SSRISS a DGN2" dataDxfId="319"/>
    <tableColumn id="14" xr3:uid="{35D94959-4188-4C5C-9AAA-2F81CC01AA17}" name="Entrada" dataDxfId="318" dataCellStyle="Moneda"/>
    <tableColumn id="15" xr3:uid="{68EBABEF-6409-4EF3-B510-FD808A1A0DE7}" name="Salida" dataDxfId="317" dataCellStyle="Moneda"/>
    <tableColumn id="16" xr3:uid="{08C0AF4D-6545-4548-AB14-AB0307FAB982}" name="Saldo" dataDxfId="316" dataCellStyle="Moneda">
      <calculatedColumnFormula>N2-O2</calculatedColumnFormula>
    </tableColumn>
    <tableColumn id="17" xr3:uid="{14091832-84B7-4A1A-9EFA-2DA5CD0298D0}" name="Estatus" dataDxfId="315"/>
    <tableColumn id="22" xr3:uid="{3B23ECAC-6B6A-46CE-A7DD-D2A6B1668819}" name="# de Proceso" dataDxfId="314"/>
    <tableColumn id="18" xr3:uid="{55E3DCA5-2FC4-45DA-95CB-1321E1F6AB60}" name="Comentarios Finales" dataDxfId="313"/>
    <tableColumn id="19" xr3:uid="{758086F1-4761-47DF-90AD-AB9494CD3928}" name="Pagado" dataDxfId="312" dataCellStyle="Moneda"/>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66" dataDxfId="65">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64" totalsRowDxfId="63"/>
    <tableColumn id="2" xr3:uid="{4944A3DA-BBEF-42FE-B9AF-317DCDFCB550}" name="APROBADO" totalsRowFunction="sum" dataDxfId="62" totalsRowDxfId="61" dataCellStyle="Moneda"/>
    <tableColumn id="3" xr3:uid="{8DD81181-703C-446E-AED7-EC959C5786E5}" name="MODIFICACIONES" totalsRowFunction="sum" dataDxfId="60" totalsRowDxfId="59" dataCellStyle="Moneda" totalsRowCellStyle="Moneda"/>
    <tableColumn id="4" xr3:uid="{7AC914FB-6AF6-47C9-911D-415D4F78F233}" name="DISPONIBLE" totalsRowFunction="sum" dataDxfId="58" totalsRowDxfId="57">
      <calculatedColumnFormula>Tabla5[[#This Row],[APROBADO]]+Tabla5[[#This Row],[MODIFICACIONES]]</calculatedColumnFormula>
    </tableColumn>
    <tableColumn id="5" xr3:uid="{E0541E5D-124E-47DE-AEF5-2BC2308987F4}" name="% Total" totalsRowFunction="custom" dataDxfId="56" totalsRowDxfId="55">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54" dataDxfId="53" totalsRowDxfId="52">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51" totalsRowDxfId="50"/>
    <tableColumn id="2" xr3:uid="{06A87F87-5B47-48FC-8548-2E642C3772D8}" name="VIH" totalsRowFunction="custom" dataDxfId="49" totalsRowDxfId="48"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47" totalsRowDxfId="46"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45" totalsRowDxfId="44"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43" totalsRowDxfId="42"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41" totalsRowDxfId="40"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39" dataDxfId="38" dataCellStyle="Moneda">
  <autoFilter ref="AA5:AF10" xr:uid="{BF0D6635-A8B9-46D0-81D2-656295F74490}"/>
  <tableColumns count="6">
    <tableColumn id="1" xr3:uid="{82995C1E-0A44-4A6E-B4B1-8F0CF6962D8C}" name="Grupo" dataDxfId="37"/>
    <tableColumn id="2" xr3:uid="{0C82A2B4-9F3C-439D-AE1C-6E8E6D1A7690}" name="SSRISS" dataDxfId="36" dataCellStyle="Moneda"/>
    <tableColumn id="3" xr3:uid="{9729D6CC-9484-4809-B1EE-54821A52A277}" name="VIH" dataDxfId="35" dataCellStyle="Moneda"/>
    <tableColumn id="4" xr3:uid="{62D4FAB6-D263-4900-90C1-69E53DE411FF}" name="MALARIA" dataDxfId="34" dataCellStyle="Moneda"/>
    <tableColumn id="5" xr3:uid="{115023FD-6FB3-4CEA-A5FE-DB4520F8F237}" name="TB" dataDxfId="33" dataCellStyle="Moneda"/>
    <tableColumn id="6" xr3:uid="{2E8D4625-0FE7-4863-A8A1-BF1495D525FF}" name="Total" dataDxfId="32">
      <calculatedColumnFormula>SUM(AB6:AE6)</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31" dataDxfId="30" totalsRowDxfId="29">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28" totalsRowDxfId="27"/>
    <tableColumn id="2" xr3:uid="{2D4BF7F4-479F-464B-BA16-1BF8D27BA6F5}" name="ADJUDICADO" totalsRowFunction="sum" dataDxfId="26" totalsRowDxfId="25"/>
    <tableColumn id="3" xr3:uid="{36270741-23D3-43A0-BD0C-1B1E065AE9EB}" name="PROCESO" totalsRowFunction="sum" dataDxfId="24" totalsRowDxfId="23"/>
    <tableColumn id="4" xr3:uid="{10338F9B-0303-4C25-A9F9-4A095CBCBBBC}" name="FRACASADO" totalsRowFunction="sum" dataDxfId="22" totalsRowDxfId="21"/>
    <tableColumn id="5" xr3:uid="{A6F7ED24-F1F4-4E4F-9AE6-A9F6BA37B5B6}" name="DESIERTO" totalsRowFunction="sum" dataDxfId="20" totalsRowDxfId="19"/>
    <tableColumn id="6" xr3:uid="{64D7750D-7751-49D0-B3D6-9DCA3A1E97FF}" name="OBSERVACIONES" totalsRowFunction="sum" dataDxfId="18" totalsRowDxfId="17"/>
    <tableColumn id="7" xr3:uid="{29A872E8-B158-4CC0-BDCA-E6B368B5868B}" name="SUMA" totalsRowFunction="sum" dataDxfId="16" totalsRowDxfId="15">
      <calculatedColumnFormula>SUM(Tabla11[[#This Row],[ADJUDICADO]:[OBSERVACIONES]])</calculatedColumnFormula>
    </tableColumn>
  </tableColumns>
  <tableStyleInfo name="TableStyleMedium1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2.xml"/><Relationship Id="rId5" Type="http://schemas.openxmlformats.org/officeDocument/2006/relationships/table" Target="../tables/table10.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693</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716</v>
      </c>
      <c r="D342">
        <v>4</v>
      </c>
    </row>
    <row r="343" spans="1:4" x14ac:dyDescent="0.25">
      <c r="A343" s="1" t="s">
        <v>712</v>
      </c>
      <c r="B343">
        <v>68</v>
      </c>
      <c r="C343" t="s">
        <v>716</v>
      </c>
      <c r="D343">
        <v>5</v>
      </c>
    </row>
    <row r="344" spans="1:4" x14ac:dyDescent="0.25">
      <c r="A344" s="1" t="s">
        <v>713</v>
      </c>
      <c r="B344">
        <v>68</v>
      </c>
      <c r="C344" t="s">
        <v>716</v>
      </c>
      <c r="D344">
        <v>5</v>
      </c>
    </row>
    <row r="345" spans="1:4" x14ac:dyDescent="0.25">
      <c r="A345" s="1" t="s">
        <v>714</v>
      </c>
      <c r="B345">
        <v>68</v>
      </c>
      <c r="C345" t="s">
        <v>716</v>
      </c>
      <c r="D345">
        <v>5</v>
      </c>
    </row>
    <row r="346" spans="1:4" x14ac:dyDescent="0.25">
      <c r="A346" s="1" t="s">
        <v>715</v>
      </c>
      <c r="B346">
        <v>68</v>
      </c>
      <c r="C346" t="s">
        <v>716</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5" bestFit="1" customWidth="1"/>
    <col min="2" max="2" width="15.28515625" style="65" customWidth="1"/>
    <col min="3" max="3" width="16.140625" style="65" customWidth="1"/>
    <col min="4" max="4" width="0" style="65" hidden="1" customWidth="1"/>
    <col min="5" max="5" width="39" style="65" customWidth="1"/>
    <col min="6" max="6" width="15" style="65" customWidth="1"/>
    <col min="7" max="7" width="24.28515625" style="65" customWidth="1"/>
    <col min="8" max="8" width="22.42578125" style="65" customWidth="1"/>
    <col min="9" max="9" width="19.7109375" style="65" customWidth="1"/>
    <col min="10" max="10" width="18.28515625" style="65" customWidth="1"/>
    <col min="11" max="11" width="20.28515625" style="65" customWidth="1"/>
    <col min="12" max="12" width="17.85546875" style="65" customWidth="1"/>
    <col min="13" max="13" width="14.42578125" style="65" customWidth="1"/>
    <col min="14" max="14" width="17.140625" style="66" customWidth="1"/>
    <col min="15" max="15" width="15.28515625" style="66" customWidth="1"/>
    <col min="16" max="16" width="6" style="65" hidden="1" customWidth="1"/>
    <col min="17" max="17" width="14.7109375" style="65" customWidth="1"/>
    <col min="18" max="18" width="17.7109375" style="65" customWidth="1"/>
    <col min="19" max="19" width="31.85546875" style="65" customWidth="1"/>
    <col min="20" max="20" width="14.7109375" style="66" customWidth="1"/>
    <col min="21" max="16384" width="9.140625" style="65"/>
  </cols>
  <sheetData>
    <row r="2" spans="1:20" ht="15.75" x14ac:dyDescent="0.25">
      <c r="C2" s="74" t="s">
        <v>583</v>
      </c>
      <c r="D2" s="67"/>
      <c r="E2" s="68" t="s">
        <v>612</v>
      </c>
    </row>
    <row r="4" spans="1:20" ht="45" x14ac:dyDescent="0.25">
      <c r="A4" s="69" t="s">
        <v>373</v>
      </c>
      <c r="B4" s="70" t="s">
        <v>4</v>
      </c>
      <c r="C4" s="70" t="s">
        <v>374</v>
      </c>
      <c r="D4" s="70" t="s">
        <v>375</v>
      </c>
      <c r="E4" s="70" t="s">
        <v>376</v>
      </c>
      <c r="F4" s="70" t="s">
        <v>377</v>
      </c>
      <c r="G4" s="70" t="s">
        <v>378</v>
      </c>
      <c r="H4" s="70" t="s">
        <v>379</v>
      </c>
      <c r="I4" s="71" t="s">
        <v>380</v>
      </c>
      <c r="J4" s="70" t="s">
        <v>381</v>
      </c>
      <c r="K4" s="71" t="s">
        <v>382</v>
      </c>
      <c r="L4" s="70" t="s">
        <v>383</v>
      </c>
      <c r="M4" s="71" t="s">
        <v>384</v>
      </c>
      <c r="N4" s="72" t="s">
        <v>385</v>
      </c>
      <c r="O4" s="72" t="s">
        <v>386</v>
      </c>
      <c r="P4" s="70" t="s">
        <v>387</v>
      </c>
      <c r="Q4" s="70" t="s">
        <v>5</v>
      </c>
      <c r="R4" s="70" t="s">
        <v>388</v>
      </c>
      <c r="S4" s="70" t="s">
        <v>389</v>
      </c>
      <c r="T4" s="73" t="s">
        <v>390</v>
      </c>
    </row>
    <row r="5" spans="1:20" x14ac:dyDescent="0.25">
      <c r="A5" s="65" t="e" cm="1">
        <f t="array" ref="A5:T10" ca="1">_xlfn._xlws.FILTER(DIARIO[],(ISNUMBER(SEARCH(E2,DIARIO[Objeto de Gasto])))+(ISNUMBER(SEARCH(E2,DIARIO[Nombre de Cuenta]))),"No existe")</f>
        <v>#NAME?</v>
      </c>
      <c r="B5" s="65" t="e">
        <f ca="1"/>
        <v>#NAME?</v>
      </c>
      <c r="C5" s="65" t="e">
        <f ca="1"/>
        <v>#NAME?</v>
      </c>
      <c r="D5" s="65" t="e">
        <f ca="1"/>
        <v>#NAME?</v>
      </c>
      <c r="E5" s="65" t="e">
        <f ca="1"/>
        <v>#NAME?</v>
      </c>
      <c r="F5" s="65" t="e">
        <f ca="1"/>
        <v>#NAME?</v>
      </c>
      <c r="G5" s="65" t="e">
        <f ca="1"/>
        <v>#NAME?</v>
      </c>
      <c r="H5" s="65" t="e">
        <f ca="1"/>
        <v>#NAME?</v>
      </c>
      <c r="I5" s="65" t="e">
        <f ca="1"/>
        <v>#NAME?</v>
      </c>
      <c r="J5" s="65" t="e">
        <f ca="1"/>
        <v>#NAME?</v>
      </c>
      <c r="K5" s="65" t="e">
        <f ca="1"/>
        <v>#NAME?</v>
      </c>
      <c r="L5" s="65" t="e">
        <f ca="1"/>
        <v>#NAME?</v>
      </c>
      <c r="M5" s="65" t="e">
        <f ca="1"/>
        <v>#NAME?</v>
      </c>
      <c r="N5" s="66" t="e">
        <f ca="1"/>
        <v>#NAME?</v>
      </c>
      <c r="O5" s="66" t="e">
        <f ca="1"/>
        <v>#NAME?</v>
      </c>
      <c r="P5" s="65" t="e">
        <f ca="1"/>
        <v>#NAME?</v>
      </c>
      <c r="Q5" s="65" t="e">
        <f ca="1"/>
        <v>#NAME?</v>
      </c>
      <c r="R5" s="65" t="e">
        <f ca="1"/>
        <v>#NAME?</v>
      </c>
      <c r="S5" s="65" t="e">
        <f ca="1"/>
        <v>#NAME?</v>
      </c>
      <c r="T5" s="66" t="e">
        <f ca="1"/>
        <v>#NAME?</v>
      </c>
    </row>
    <row r="6" spans="1:20" x14ac:dyDescent="0.25">
      <c r="A6" s="65" t="e">
        <f ca="1"/>
        <v>#NAME?</v>
      </c>
      <c r="B6" s="65" t="e">
        <f ca="1"/>
        <v>#NAME?</v>
      </c>
      <c r="C6" s="65" t="e">
        <f ca="1"/>
        <v>#NAME?</v>
      </c>
      <c r="D6" s="65" t="e">
        <f ca="1"/>
        <v>#NAME?</v>
      </c>
      <c r="E6" s="65" t="e">
        <f ca="1"/>
        <v>#NAME?</v>
      </c>
      <c r="F6" s="65" t="e">
        <f ca="1"/>
        <v>#NAME?</v>
      </c>
      <c r="G6" s="65" t="e">
        <f ca="1"/>
        <v>#NAME?</v>
      </c>
      <c r="H6" s="65" t="e">
        <f ca="1"/>
        <v>#NAME?</v>
      </c>
      <c r="I6" s="65" t="e">
        <f ca="1"/>
        <v>#NAME?</v>
      </c>
      <c r="J6" s="65" t="e">
        <f ca="1"/>
        <v>#NAME?</v>
      </c>
      <c r="K6" s="65" t="e">
        <f ca="1"/>
        <v>#NAME?</v>
      </c>
      <c r="L6" s="65" t="e">
        <f ca="1"/>
        <v>#NAME?</v>
      </c>
      <c r="M6" s="65" t="e">
        <f ca="1"/>
        <v>#NAME?</v>
      </c>
      <c r="N6" s="66" t="e">
        <f ca="1"/>
        <v>#NAME?</v>
      </c>
      <c r="O6" s="66" t="e">
        <f ca="1"/>
        <v>#NAME?</v>
      </c>
      <c r="P6" s="65" t="e">
        <f ca="1"/>
        <v>#NAME?</v>
      </c>
      <c r="Q6" s="65" t="e">
        <f ca="1"/>
        <v>#NAME?</v>
      </c>
      <c r="R6" s="65" t="e">
        <f ca="1"/>
        <v>#NAME?</v>
      </c>
      <c r="S6" s="65" t="e">
        <f ca="1"/>
        <v>#NAME?</v>
      </c>
      <c r="T6" s="66" t="e">
        <f ca="1"/>
        <v>#NAME?</v>
      </c>
    </row>
    <row r="7" spans="1:20" x14ac:dyDescent="0.25">
      <c r="A7" s="65" t="e">
        <f ca="1"/>
        <v>#NAME?</v>
      </c>
      <c r="B7" s="65" t="e">
        <f ca="1"/>
        <v>#NAME?</v>
      </c>
      <c r="C7" s="65" t="e">
        <f ca="1"/>
        <v>#NAME?</v>
      </c>
      <c r="D7" s="65" t="e">
        <f ca="1"/>
        <v>#NAME?</v>
      </c>
      <c r="E7" s="65" t="e">
        <f ca="1"/>
        <v>#NAME?</v>
      </c>
      <c r="F7" s="65" t="e">
        <f ca="1"/>
        <v>#NAME?</v>
      </c>
      <c r="G7" s="65" t="e">
        <f ca="1"/>
        <v>#NAME?</v>
      </c>
      <c r="H7" s="65" t="e">
        <f ca="1"/>
        <v>#NAME?</v>
      </c>
      <c r="I7" s="65" t="e">
        <f ca="1"/>
        <v>#NAME?</v>
      </c>
      <c r="J7" s="65" t="e">
        <f ca="1"/>
        <v>#NAME?</v>
      </c>
      <c r="K7" s="65" t="e">
        <f ca="1"/>
        <v>#NAME?</v>
      </c>
      <c r="L7" s="65" t="e">
        <f ca="1"/>
        <v>#NAME?</v>
      </c>
      <c r="M7" s="65" t="e">
        <f ca="1"/>
        <v>#NAME?</v>
      </c>
      <c r="N7" s="66" t="e">
        <f ca="1"/>
        <v>#NAME?</v>
      </c>
      <c r="O7" s="66" t="e">
        <f ca="1"/>
        <v>#NAME?</v>
      </c>
      <c r="P7" s="65" t="e">
        <f ca="1"/>
        <v>#NAME?</v>
      </c>
      <c r="Q7" s="65" t="e">
        <f ca="1"/>
        <v>#NAME?</v>
      </c>
      <c r="R7" s="65" t="e">
        <f ca="1"/>
        <v>#NAME?</v>
      </c>
      <c r="S7" s="65" t="e">
        <f ca="1"/>
        <v>#NAME?</v>
      </c>
      <c r="T7" s="66" t="e">
        <f ca="1"/>
        <v>#NAME?</v>
      </c>
    </row>
    <row r="8" spans="1:20" x14ac:dyDescent="0.25">
      <c r="A8" s="65" t="e">
        <f ca="1"/>
        <v>#NAME?</v>
      </c>
      <c r="B8" s="65" t="e">
        <f ca="1"/>
        <v>#NAME?</v>
      </c>
      <c r="C8" s="65" t="e">
        <f ca="1"/>
        <v>#NAME?</v>
      </c>
      <c r="D8" s="65" t="e">
        <f ca="1"/>
        <v>#NAME?</v>
      </c>
      <c r="E8" s="65" t="e">
        <f ca="1"/>
        <v>#NAME?</v>
      </c>
      <c r="F8" s="65" t="e">
        <f ca="1"/>
        <v>#NAME?</v>
      </c>
      <c r="G8" s="65" t="e">
        <f ca="1"/>
        <v>#NAME?</v>
      </c>
      <c r="H8" s="65" t="e">
        <f ca="1"/>
        <v>#NAME?</v>
      </c>
      <c r="I8" s="65" t="e">
        <f ca="1"/>
        <v>#NAME?</v>
      </c>
      <c r="J8" s="65" t="e">
        <f ca="1"/>
        <v>#NAME?</v>
      </c>
      <c r="K8" s="65" t="e">
        <f ca="1"/>
        <v>#NAME?</v>
      </c>
      <c r="L8" s="65" t="e">
        <f ca="1"/>
        <v>#NAME?</v>
      </c>
      <c r="M8" s="65" t="e">
        <f ca="1"/>
        <v>#NAME?</v>
      </c>
      <c r="N8" s="66" t="e">
        <f ca="1"/>
        <v>#NAME?</v>
      </c>
      <c r="O8" s="66" t="e">
        <f ca="1"/>
        <v>#NAME?</v>
      </c>
      <c r="P8" s="65" t="e">
        <f ca="1"/>
        <v>#NAME?</v>
      </c>
      <c r="Q8" s="65" t="e">
        <f ca="1"/>
        <v>#NAME?</v>
      </c>
      <c r="R8" s="65" t="e">
        <f ca="1"/>
        <v>#NAME?</v>
      </c>
      <c r="S8" s="65" t="e">
        <f ca="1"/>
        <v>#NAME?</v>
      </c>
      <c r="T8" s="66" t="e">
        <f ca="1"/>
        <v>#NAME?</v>
      </c>
    </row>
    <row r="9" spans="1:20" x14ac:dyDescent="0.25">
      <c r="A9" s="65" t="e">
        <f ca="1"/>
        <v>#NAME?</v>
      </c>
      <c r="B9" s="65" t="e">
        <f ca="1"/>
        <v>#NAME?</v>
      </c>
      <c r="C9" s="65" t="e">
        <f ca="1"/>
        <v>#NAME?</v>
      </c>
      <c r="D9" s="65" t="e">
        <f ca="1"/>
        <v>#NAME?</v>
      </c>
      <c r="E9" s="65" t="e">
        <f ca="1"/>
        <v>#NAME?</v>
      </c>
      <c r="F9" s="65" t="e">
        <f ca="1"/>
        <v>#NAME?</v>
      </c>
      <c r="G9" s="65" t="e">
        <f ca="1"/>
        <v>#NAME?</v>
      </c>
      <c r="H9" s="65" t="e">
        <f ca="1"/>
        <v>#NAME?</v>
      </c>
      <c r="I9" s="65" t="e">
        <f ca="1"/>
        <v>#NAME?</v>
      </c>
      <c r="J9" s="65" t="e">
        <f ca="1"/>
        <v>#NAME?</v>
      </c>
      <c r="K9" s="65" t="e">
        <f ca="1"/>
        <v>#NAME?</v>
      </c>
      <c r="L9" s="65" t="e">
        <f ca="1"/>
        <v>#NAME?</v>
      </c>
      <c r="M9" s="65" t="e">
        <f ca="1"/>
        <v>#NAME?</v>
      </c>
      <c r="N9" s="66" t="e">
        <f ca="1"/>
        <v>#NAME?</v>
      </c>
      <c r="O9" s="66" t="e">
        <f ca="1"/>
        <v>#NAME?</v>
      </c>
      <c r="P9" s="65" t="e">
        <f ca="1"/>
        <v>#NAME?</v>
      </c>
      <c r="Q9" s="65" t="e">
        <f ca="1"/>
        <v>#NAME?</v>
      </c>
      <c r="R9" s="65" t="e">
        <f ca="1"/>
        <v>#NAME?</v>
      </c>
      <c r="S9" s="65" t="e">
        <f ca="1"/>
        <v>#NAME?</v>
      </c>
      <c r="T9" s="66" t="e">
        <f ca="1"/>
        <v>#NAME?</v>
      </c>
    </row>
    <row r="10" spans="1:20" x14ac:dyDescent="0.25">
      <c r="A10" s="65" t="e">
        <f ca="1"/>
        <v>#NAME?</v>
      </c>
      <c r="B10" s="65" t="e">
        <f ca="1"/>
        <v>#NAME?</v>
      </c>
      <c r="C10" s="65" t="e">
        <f ca="1"/>
        <v>#NAME?</v>
      </c>
      <c r="D10" s="65" t="e">
        <f ca="1"/>
        <v>#NAME?</v>
      </c>
      <c r="E10" s="65" t="e">
        <f ca="1"/>
        <v>#NAME?</v>
      </c>
      <c r="F10" s="65" t="e">
        <f ca="1"/>
        <v>#NAME?</v>
      </c>
      <c r="G10" s="65" t="e">
        <f ca="1"/>
        <v>#NAME?</v>
      </c>
      <c r="H10" s="65" t="e">
        <f ca="1"/>
        <v>#NAME?</v>
      </c>
      <c r="I10" s="65" t="e">
        <f ca="1"/>
        <v>#NAME?</v>
      </c>
      <c r="J10" s="65" t="e">
        <f ca="1"/>
        <v>#NAME?</v>
      </c>
      <c r="K10" s="65" t="e">
        <f ca="1"/>
        <v>#NAME?</v>
      </c>
      <c r="L10" s="65" t="e">
        <f ca="1"/>
        <v>#NAME?</v>
      </c>
      <c r="M10" s="65" t="e">
        <f ca="1"/>
        <v>#NAME?</v>
      </c>
      <c r="N10" s="66" t="e">
        <f ca="1"/>
        <v>#NAME?</v>
      </c>
      <c r="O10" s="66" t="e">
        <f ca="1"/>
        <v>#NAME?</v>
      </c>
      <c r="P10" s="65" t="e">
        <f ca="1"/>
        <v>#NAME?</v>
      </c>
      <c r="Q10" s="65" t="e">
        <f ca="1"/>
        <v>#NAME?</v>
      </c>
      <c r="R10" s="65" t="e">
        <f ca="1"/>
        <v>#NAME?</v>
      </c>
      <c r="S10" s="65" t="e">
        <f ca="1"/>
        <v>#NAME?</v>
      </c>
      <c r="T10" s="66"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41" customWidth="1"/>
    <col min="5" max="6" width="11.42578125" style="141" bestFit="1" customWidth="1"/>
    <col min="7" max="7" width="14.85546875" style="5" bestFit="1" customWidth="1"/>
    <col min="8" max="8" width="11.5703125" style="4" bestFit="1" customWidth="1"/>
    <col min="9" max="10" width="11.5703125" bestFit="1" customWidth="1"/>
  </cols>
  <sheetData>
    <row r="2" spans="2:13" ht="42.75" x14ac:dyDescent="0.25">
      <c r="B2" s="132" t="s">
        <v>789</v>
      </c>
      <c r="C2" s="132" t="s">
        <v>790</v>
      </c>
      <c r="D2" s="132" t="s">
        <v>791</v>
      </c>
      <c r="E2" s="132" t="s">
        <v>924</v>
      </c>
      <c r="F2" s="132" t="s">
        <v>925</v>
      </c>
      <c r="G2" s="132" t="s">
        <v>792</v>
      </c>
      <c r="H2" s="133" t="s">
        <v>812</v>
      </c>
      <c r="I2" s="132" t="s">
        <v>864</v>
      </c>
      <c r="J2" s="132" t="s">
        <v>883</v>
      </c>
    </row>
    <row r="3" spans="2:13" ht="28.5" x14ac:dyDescent="0.3">
      <c r="B3" s="132">
        <v>1</v>
      </c>
      <c r="C3" s="134" t="s">
        <v>851</v>
      </c>
      <c r="D3" s="134" t="s">
        <v>876</v>
      </c>
      <c r="E3" s="135">
        <v>10</v>
      </c>
      <c r="F3" s="135">
        <v>10</v>
      </c>
      <c r="G3" s="135">
        <v>20</v>
      </c>
      <c r="H3" s="136">
        <v>300</v>
      </c>
      <c r="I3" s="129">
        <f>Tabla8[[#This Row],[Precio]]*1.15</f>
        <v>345</v>
      </c>
      <c r="J3" s="129">
        <f>Tabla8[[#This Row],[Precio con ISV]]*Tabla8[[#This Row],[Cantidad]]</f>
        <v>6900</v>
      </c>
      <c r="M3" s="130">
        <v>1</v>
      </c>
    </row>
    <row r="4" spans="2:13" ht="28.5" x14ac:dyDescent="0.3">
      <c r="B4" s="132">
        <f>B3+1</f>
        <v>2</v>
      </c>
      <c r="C4" s="134" t="s">
        <v>851</v>
      </c>
      <c r="D4" s="134" t="s">
        <v>877</v>
      </c>
      <c r="E4" s="135">
        <v>5</v>
      </c>
      <c r="F4" s="135">
        <v>5</v>
      </c>
      <c r="G4" s="135">
        <v>10</v>
      </c>
      <c r="H4" s="136">
        <v>500</v>
      </c>
      <c r="I4" s="129">
        <f>Tabla8[[#This Row],[Precio]]*1.15</f>
        <v>575</v>
      </c>
      <c r="J4" s="129">
        <f>Tabla8[[#This Row],[Precio con ISV]]*Tabla8[[#This Row],[Cantidad]]</f>
        <v>5750</v>
      </c>
      <c r="M4" s="131">
        <v>1</v>
      </c>
    </row>
    <row r="5" spans="2:13" ht="15.75" x14ac:dyDescent="0.3">
      <c r="B5" s="132">
        <f t="shared" ref="B5:B69" si="0">B4+1</f>
        <v>3</v>
      </c>
      <c r="C5" s="134" t="s">
        <v>829</v>
      </c>
      <c r="D5" s="134" t="s">
        <v>870</v>
      </c>
      <c r="E5" s="137">
        <v>30</v>
      </c>
      <c r="F5" s="137">
        <v>30</v>
      </c>
      <c r="G5" s="137">
        <v>60</v>
      </c>
      <c r="H5" s="136">
        <v>58.5</v>
      </c>
      <c r="I5" s="129">
        <f>Tabla8[[#This Row],[Precio]]*1.15</f>
        <v>67.274999999999991</v>
      </c>
      <c r="J5" s="129">
        <f>Tabla8[[#This Row],[Precio con ISV]]*Tabla8[[#This Row],[Cantidad]]</f>
        <v>4036.4999999999995</v>
      </c>
    </row>
    <row r="6" spans="2:13" ht="15.75" x14ac:dyDescent="0.3">
      <c r="B6" s="132">
        <f t="shared" si="0"/>
        <v>4</v>
      </c>
      <c r="C6" s="134" t="s">
        <v>911</v>
      </c>
      <c r="D6" s="134" t="s">
        <v>874</v>
      </c>
      <c r="E6" s="135">
        <v>36</v>
      </c>
      <c r="F6" s="135">
        <v>36</v>
      </c>
      <c r="G6" s="135">
        <v>72</v>
      </c>
      <c r="H6" s="136">
        <v>31</v>
      </c>
      <c r="I6" s="129">
        <f>Tabla8[[#This Row],[Precio]]*1.15</f>
        <v>35.65</v>
      </c>
      <c r="J6" s="129">
        <f>Tabla8[[#This Row],[Precio con ISV]]*Tabla8[[#This Row],[Cantidad]]</f>
        <v>2566.7999999999997</v>
      </c>
    </row>
    <row r="7" spans="2:13" ht="15.75" x14ac:dyDescent="0.3">
      <c r="B7" s="132">
        <f t="shared" si="0"/>
        <v>5</v>
      </c>
      <c r="C7" s="134" t="s">
        <v>849</v>
      </c>
      <c r="D7" s="134" t="s">
        <v>873</v>
      </c>
      <c r="E7" s="135">
        <v>5</v>
      </c>
      <c r="F7" s="135">
        <v>5</v>
      </c>
      <c r="G7" s="135">
        <v>10</v>
      </c>
      <c r="H7" s="136">
        <v>259.44</v>
      </c>
      <c r="I7" s="129">
        <f>Tabla8[[#This Row],[Precio]]*1.15</f>
        <v>298.35599999999999</v>
      </c>
      <c r="J7" s="129">
        <f>Tabla8[[#This Row],[Precio con ISV]]*Tabla8[[#This Row],[Cantidad]]</f>
        <v>2983.56</v>
      </c>
    </row>
    <row r="8" spans="2:13" ht="28.5" x14ac:dyDescent="0.3">
      <c r="B8" s="132">
        <f t="shared" si="0"/>
        <v>6</v>
      </c>
      <c r="C8" s="134" t="s">
        <v>850</v>
      </c>
      <c r="D8" s="134" t="s">
        <v>875</v>
      </c>
      <c r="E8" s="135">
        <v>15</v>
      </c>
      <c r="F8" s="135">
        <v>15</v>
      </c>
      <c r="G8" s="135">
        <v>30</v>
      </c>
      <c r="H8" s="136">
        <v>200</v>
      </c>
      <c r="I8" s="129">
        <f>Tabla8[[#This Row],[Precio]]*1.15</f>
        <v>229.99999999999997</v>
      </c>
      <c r="J8" s="129">
        <f>Tabla8[[#This Row],[Precio con ISV]]*Tabla8[[#This Row],[Cantidad]]</f>
        <v>6899.9999999999991</v>
      </c>
    </row>
    <row r="9" spans="2:13" ht="28.5" x14ac:dyDescent="0.3">
      <c r="B9" s="132">
        <f t="shared" si="0"/>
        <v>7</v>
      </c>
      <c r="C9" s="134" t="s">
        <v>852</v>
      </c>
      <c r="D9" s="134" t="s">
        <v>878</v>
      </c>
      <c r="E9" s="135">
        <v>15</v>
      </c>
      <c r="F9" s="135">
        <v>15</v>
      </c>
      <c r="G9" s="135">
        <v>30</v>
      </c>
      <c r="H9" s="136">
        <v>200</v>
      </c>
      <c r="I9" s="129">
        <f>Tabla8[[#This Row],[Precio]]*1.15</f>
        <v>229.99999999999997</v>
      </c>
      <c r="J9" s="129">
        <f>Tabla8[[#This Row],[Precio con ISV]]*Tabla8[[#This Row],[Cantidad]]</f>
        <v>6899.9999999999991</v>
      </c>
    </row>
    <row r="10" spans="2:13" ht="28.5" x14ac:dyDescent="0.3">
      <c r="B10" s="132">
        <f t="shared" si="0"/>
        <v>8</v>
      </c>
      <c r="C10" s="134" t="s">
        <v>852</v>
      </c>
      <c r="D10" s="134" t="s">
        <v>879</v>
      </c>
      <c r="E10" s="135">
        <v>15</v>
      </c>
      <c r="F10" s="135">
        <v>15</v>
      </c>
      <c r="G10" s="135">
        <v>30</v>
      </c>
      <c r="H10" s="136">
        <v>200</v>
      </c>
      <c r="I10" s="129">
        <f>Tabla8[[#This Row],[Precio]]*1.15</f>
        <v>229.99999999999997</v>
      </c>
      <c r="J10" s="129">
        <f>Tabla8[[#This Row],[Precio con ISV]]*Tabla8[[#This Row],[Cantidad]]</f>
        <v>6899.9999999999991</v>
      </c>
    </row>
    <row r="11" spans="2:13" ht="15.75" x14ac:dyDescent="0.3">
      <c r="B11" s="132">
        <f t="shared" si="0"/>
        <v>9</v>
      </c>
      <c r="C11" s="134" t="s">
        <v>856</v>
      </c>
      <c r="D11" s="134" t="s">
        <v>871</v>
      </c>
      <c r="E11" s="135">
        <v>12</v>
      </c>
      <c r="F11" s="135">
        <v>12</v>
      </c>
      <c r="G11" s="135">
        <v>24</v>
      </c>
      <c r="H11" s="136">
        <v>35</v>
      </c>
      <c r="I11" s="129">
        <f>Tabla8[[#This Row],[Precio]]*1.15</f>
        <v>40.25</v>
      </c>
      <c r="J11" s="129">
        <f>Tabla8[[#This Row],[Precio con ISV]]*Tabla8[[#This Row],[Cantidad]]</f>
        <v>966</v>
      </c>
    </row>
    <row r="12" spans="2:13" ht="28.5" x14ac:dyDescent="0.3">
      <c r="B12" s="132">
        <f t="shared" si="0"/>
        <v>10</v>
      </c>
      <c r="C12" s="134" t="s">
        <v>831</v>
      </c>
      <c r="D12" s="134" t="s">
        <v>880</v>
      </c>
      <c r="E12" s="135">
        <v>12</v>
      </c>
      <c r="F12" s="135">
        <v>12</v>
      </c>
      <c r="G12" s="135">
        <v>24</v>
      </c>
      <c r="H12" s="136">
        <v>31.1</v>
      </c>
      <c r="I12" s="129">
        <f>Tabla8[[#This Row],[Precio]]*1.15</f>
        <v>35.765000000000001</v>
      </c>
      <c r="J12" s="129">
        <f>Tabla8[[#This Row],[Precio con ISV]]*Tabla8[[#This Row],[Cantidad]]</f>
        <v>858.36</v>
      </c>
    </row>
    <row r="13" spans="2:13" ht="28.5" x14ac:dyDescent="0.3">
      <c r="B13" s="132">
        <f t="shared" si="0"/>
        <v>11</v>
      </c>
      <c r="C13" s="134" t="s">
        <v>796</v>
      </c>
      <c r="D13" s="134" t="s">
        <v>884</v>
      </c>
      <c r="E13" s="138">
        <v>50</v>
      </c>
      <c r="F13" s="138">
        <v>50</v>
      </c>
      <c r="G13" s="138">
        <v>100</v>
      </c>
      <c r="H13" s="136">
        <v>10</v>
      </c>
      <c r="I13" s="129">
        <f>Tabla8[[#This Row],[Precio]]*1.15</f>
        <v>11.5</v>
      </c>
      <c r="J13" s="129">
        <f>Tabla8[[#This Row],[Precio con ISV]]*Tabla8[[#This Row],[Cantidad]]</f>
        <v>1150</v>
      </c>
    </row>
    <row r="14" spans="2:13" ht="15.75" x14ac:dyDescent="0.3">
      <c r="B14" s="132">
        <f t="shared" si="0"/>
        <v>12</v>
      </c>
      <c r="C14" s="134" t="s">
        <v>797</v>
      </c>
      <c r="D14" s="134" t="s">
        <v>885</v>
      </c>
      <c r="E14" s="138">
        <v>50</v>
      </c>
      <c r="F14" s="138">
        <v>50</v>
      </c>
      <c r="G14" s="138">
        <v>100</v>
      </c>
      <c r="H14" s="136">
        <v>21</v>
      </c>
      <c r="I14" s="129">
        <f>Tabla8[[#This Row],[Precio]]*1.15</f>
        <v>24.15</v>
      </c>
      <c r="J14" s="129">
        <f>Tabla8[[#This Row],[Precio con ISV]]*Tabla8[[#This Row],[Cantidad]]</f>
        <v>2415</v>
      </c>
    </row>
    <row r="15" spans="2:13" ht="28.5" x14ac:dyDescent="0.3">
      <c r="B15" s="132">
        <f t="shared" si="0"/>
        <v>13</v>
      </c>
      <c r="C15" s="134" t="s">
        <v>910</v>
      </c>
      <c r="D15" s="134" t="s">
        <v>912</v>
      </c>
      <c r="E15" s="135">
        <v>20</v>
      </c>
      <c r="F15" s="135">
        <v>20</v>
      </c>
      <c r="G15" s="135">
        <v>40</v>
      </c>
      <c r="H15" s="140">
        <v>21</v>
      </c>
      <c r="I15" s="129">
        <f>Tabla8[[#This Row],[Precio]]*1.15</f>
        <v>24.15</v>
      </c>
      <c r="J15" s="129">
        <f>Tabla8[[#This Row],[Precio con ISV]]*Tabla8[[#This Row],[Cantidad]]</f>
        <v>966</v>
      </c>
    </row>
    <row r="16" spans="2:13" ht="28.5" x14ac:dyDescent="0.3">
      <c r="B16" s="132">
        <f t="shared" si="0"/>
        <v>14</v>
      </c>
      <c r="C16" s="134" t="s">
        <v>798</v>
      </c>
      <c r="D16" s="134" t="s">
        <v>913</v>
      </c>
      <c r="E16" s="138">
        <v>6</v>
      </c>
      <c r="F16" s="138">
        <v>6</v>
      </c>
      <c r="G16" s="138">
        <v>12</v>
      </c>
      <c r="H16" s="136">
        <v>9.44</v>
      </c>
      <c r="I16" s="129">
        <f>Tabla8[[#This Row],[Precio]]*1.15</f>
        <v>10.855999999999998</v>
      </c>
      <c r="J16" s="129">
        <f>Tabla8[[#This Row],[Precio con ISV]]*Tabla8[[#This Row],[Cantidad]]</f>
        <v>130.27199999999999</v>
      </c>
    </row>
    <row r="17" spans="2:12" ht="15.75" x14ac:dyDescent="0.3">
      <c r="B17" s="132">
        <f t="shared" si="0"/>
        <v>15</v>
      </c>
      <c r="C17" s="134" t="s">
        <v>853</v>
      </c>
      <c r="D17" s="134" t="s">
        <v>886</v>
      </c>
      <c r="E17" s="135">
        <v>50</v>
      </c>
      <c r="F17" s="135">
        <v>50</v>
      </c>
      <c r="G17" s="135">
        <v>100</v>
      </c>
      <c r="H17" s="136">
        <v>80</v>
      </c>
      <c r="I17" s="129">
        <f>Tabla8[[#This Row],[Precio]]*1.15</f>
        <v>92</v>
      </c>
      <c r="J17" s="129">
        <f>Tabla8[[#This Row],[Precio con ISV]]*Tabla8[[#This Row],[Cantidad]]</f>
        <v>9200</v>
      </c>
    </row>
    <row r="18" spans="2:12" ht="28.5" x14ac:dyDescent="0.3">
      <c r="B18" s="132">
        <f t="shared" si="0"/>
        <v>16</v>
      </c>
      <c r="C18" s="134" t="s">
        <v>909</v>
      </c>
      <c r="D18" s="134" t="s">
        <v>922</v>
      </c>
      <c r="E18" s="135">
        <v>20</v>
      </c>
      <c r="F18" s="135">
        <v>20</v>
      </c>
      <c r="G18" s="135">
        <v>40</v>
      </c>
      <c r="H18" s="140">
        <v>150</v>
      </c>
      <c r="I18" s="129">
        <f>Tabla8[[#This Row],[Precio]]*1.15</f>
        <v>172.5</v>
      </c>
      <c r="J18" s="129">
        <f>Tabla8[[#This Row],[Precio con ISV]]*Tabla8[[#This Row],[Cantidad]]</f>
        <v>6900</v>
      </c>
    </row>
    <row r="19" spans="2:12" ht="28.5" x14ac:dyDescent="0.3">
      <c r="B19" s="132">
        <f>ROWS(Tabla8[[#This Row],[Producto]])</f>
        <v>1</v>
      </c>
      <c r="C19" s="134" t="s">
        <v>909</v>
      </c>
      <c r="D19" s="134" t="s">
        <v>923</v>
      </c>
      <c r="E19" s="135">
        <v>5</v>
      </c>
      <c r="F19" s="135">
        <v>5</v>
      </c>
      <c r="G19" s="135">
        <v>10</v>
      </c>
      <c r="H19" s="140">
        <v>220</v>
      </c>
      <c r="I19" s="129">
        <f>Tabla8[[#This Row],[Precio]]*1.15</f>
        <v>252.99999999999997</v>
      </c>
      <c r="J19" s="129">
        <f>Tabla8[[#This Row],[Precio con ISV]]*Tabla8[[#This Row],[Cantidad]]</f>
        <v>2529.9999999999995</v>
      </c>
    </row>
    <row r="20" spans="2:12" ht="15.75" x14ac:dyDescent="0.3">
      <c r="B20" s="132">
        <f>B18+1</f>
        <v>17</v>
      </c>
      <c r="C20" s="134" t="s">
        <v>801</v>
      </c>
      <c r="D20" s="134" t="s">
        <v>802</v>
      </c>
      <c r="E20" s="138">
        <v>30</v>
      </c>
      <c r="F20" s="138">
        <v>30</v>
      </c>
      <c r="G20" s="138">
        <v>60</v>
      </c>
      <c r="H20" s="136">
        <v>24.45</v>
      </c>
      <c r="I20" s="129">
        <f>Tabla8[[#This Row],[Precio]]*1.15</f>
        <v>28.117499999999996</v>
      </c>
      <c r="J20" s="129">
        <f>Tabla8[[#This Row],[Precio con ISV]]*Tabla8[[#This Row],[Cantidad]]</f>
        <v>1687.0499999999997</v>
      </c>
    </row>
    <row r="21" spans="2:12" ht="15.75" x14ac:dyDescent="0.3">
      <c r="B21" s="132">
        <f t="shared" si="0"/>
        <v>18</v>
      </c>
      <c r="C21" s="134" t="s">
        <v>799</v>
      </c>
      <c r="D21" s="134" t="s">
        <v>800</v>
      </c>
      <c r="E21" s="138">
        <v>50</v>
      </c>
      <c r="F21" s="138">
        <v>50</v>
      </c>
      <c r="G21" s="138">
        <v>100</v>
      </c>
      <c r="H21" s="136">
        <v>15.03</v>
      </c>
      <c r="I21" s="129">
        <f>Tabla8[[#This Row],[Precio]]*1.15</f>
        <v>17.284499999999998</v>
      </c>
      <c r="J21" s="129">
        <f>Tabla8[[#This Row],[Precio con ISV]]*Tabla8[[#This Row],[Cantidad]]</f>
        <v>1728.4499999999998</v>
      </c>
    </row>
    <row r="22" spans="2:12" ht="15.75" x14ac:dyDescent="0.3">
      <c r="B22" s="132">
        <f t="shared" si="0"/>
        <v>19</v>
      </c>
      <c r="C22" s="134" t="s">
        <v>803</v>
      </c>
      <c r="D22" s="134" t="s">
        <v>804</v>
      </c>
      <c r="E22" s="138">
        <v>25</v>
      </c>
      <c r="F22" s="138">
        <v>25</v>
      </c>
      <c r="G22" s="138">
        <v>50</v>
      </c>
      <c r="H22" s="136">
        <v>20</v>
      </c>
      <c r="I22" s="129">
        <f>Tabla8[[#This Row],[Precio]]*1.15</f>
        <v>23</v>
      </c>
      <c r="J22" s="129">
        <f>Tabla8[[#This Row],[Precio con ISV]]*Tabla8[[#This Row],[Cantidad]]</f>
        <v>1150</v>
      </c>
    </row>
    <row r="23" spans="2:12" ht="15.75" x14ac:dyDescent="0.3">
      <c r="B23" s="132">
        <f t="shared" si="0"/>
        <v>20</v>
      </c>
      <c r="C23" s="134" t="s">
        <v>803</v>
      </c>
      <c r="D23" s="134" t="s">
        <v>805</v>
      </c>
      <c r="E23" s="138">
        <v>25</v>
      </c>
      <c r="F23" s="138">
        <v>25</v>
      </c>
      <c r="G23" s="138">
        <v>50</v>
      </c>
      <c r="H23" s="136">
        <v>26.75</v>
      </c>
      <c r="I23" s="129">
        <f>Tabla8[[#This Row],[Precio]]*1.15</f>
        <v>30.762499999999999</v>
      </c>
      <c r="J23" s="129">
        <f>Tabla8[[#This Row],[Precio con ISV]]*Tabla8[[#This Row],[Cantidad]]</f>
        <v>1538.125</v>
      </c>
    </row>
    <row r="24" spans="2:12" ht="28.5" x14ac:dyDescent="0.3">
      <c r="B24" s="132">
        <f t="shared" si="0"/>
        <v>21</v>
      </c>
      <c r="C24" s="134" t="s">
        <v>838</v>
      </c>
      <c r="D24" s="134" t="s">
        <v>872</v>
      </c>
      <c r="E24" s="135">
        <v>6</v>
      </c>
      <c r="F24" s="135">
        <v>6</v>
      </c>
      <c r="G24" s="135">
        <v>12</v>
      </c>
      <c r="H24" s="136">
        <v>510</v>
      </c>
      <c r="I24" s="129">
        <f>Tabla8[[#This Row],[Precio]]*1.15</f>
        <v>586.5</v>
      </c>
      <c r="J24" s="129">
        <f>Tabla8[[#This Row],[Precio con ISV]]*Tabla8[[#This Row],[Cantidad]]</f>
        <v>7038</v>
      </c>
    </row>
    <row r="25" spans="2:12" ht="28.5" x14ac:dyDescent="0.3">
      <c r="B25" s="132">
        <f t="shared" si="0"/>
        <v>22</v>
      </c>
      <c r="C25" s="134" t="s">
        <v>834</v>
      </c>
      <c r="D25" s="134" t="s">
        <v>843</v>
      </c>
      <c r="E25" s="135">
        <v>25</v>
      </c>
      <c r="F25" s="135">
        <v>25</v>
      </c>
      <c r="G25" s="135">
        <v>50</v>
      </c>
      <c r="H25" s="136">
        <v>54.44</v>
      </c>
      <c r="I25" s="129">
        <f>Tabla8[[#This Row],[Precio]]*1.15</f>
        <v>62.605999999999995</v>
      </c>
      <c r="J25" s="129">
        <f>Tabla8[[#This Row],[Precio con ISV]]*Tabla8[[#This Row],[Cantidad]]</f>
        <v>3130.2999999999997</v>
      </c>
    </row>
    <row r="26" spans="2:12" ht="15.75" x14ac:dyDescent="0.3">
      <c r="B26" s="132">
        <f t="shared" si="0"/>
        <v>23</v>
      </c>
      <c r="C26" s="134" t="s">
        <v>844</v>
      </c>
      <c r="D26" s="134" t="s">
        <v>865</v>
      </c>
      <c r="E26" s="135">
        <v>5</v>
      </c>
      <c r="F26" s="135">
        <v>5</v>
      </c>
      <c r="G26" s="135">
        <v>10</v>
      </c>
      <c r="H26" s="136">
        <v>350</v>
      </c>
      <c r="I26" s="129">
        <f>Tabla8[[#This Row],[Precio]]*1.15</f>
        <v>402.49999999999994</v>
      </c>
      <c r="J26" s="129">
        <f>Tabla8[[#This Row],[Precio con ISV]]*Tabla8[[#This Row],[Cantidad]]</f>
        <v>4024.9999999999995</v>
      </c>
      <c r="L26" t="str">
        <f>LOWER(Tabla8[[#This Row],[Descripción]])</f>
        <v>grapadora manual para pared, alta calidad, unidad</v>
      </c>
    </row>
    <row r="27" spans="2:12" ht="15.75" x14ac:dyDescent="0.3">
      <c r="B27" s="132">
        <f t="shared" si="0"/>
        <v>24</v>
      </c>
      <c r="C27" s="134" t="s">
        <v>833</v>
      </c>
      <c r="D27" s="134" t="s">
        <v>921</v>
      </c>
      <c r="E27" s="138">
        <v>5</v>
      </c>
      <c r="F27" s="138">
        <v>5</v>
      </c>
      <c r="G27" s="138">
        <v>10</v>
      </c>
      <c r="H27" s="136">
        <v>312</v>
      </c>
      <c r="I27" s="129">
        <f>Tabla8[[#This Row],[Precio]]*1.15</f>
        <v>358.79999999999995</v>
      </c>
      <c r="J27" s="129">
        <f>Tabla8[[#This Row],[Precio con ISV]]*Tabla8[[#This Row],[Cantidad]]</f>
        <v>3587.9999999999995</v>
      </c>
    </row>
    <row r="28" spans="2:12" ht="28.5" x14ac:dyDescent="0.3">
      <c r="B28" s="132">
        <f t="shared" si="0"/>
        <v>25</v>
      </c>
      <c r="C28" s="134" t="s">
        <v>855</v>
      </c>
      <c r="D28" s="134" t="s">
        <v>881</v>
      </c>
      <c r="E28" s="135">
        <v>60</v>
      </c>
      <c r="F28" s="135">
        <v>60</v>
      </c>
      <c r="G28" s="135">
        <v>120</v>
      </c>
      <c r="H28" s="136">
        <v>30</v>
      </c>
      <c r="I28" s="129">
        <f>Tabla8[[#This Row],[Precio]]*1.15</f>
        <v>34.5</v>
      </c>
      <c r="J28" s="129">
        <f>Tabla8[[#This Row],[Precio con ISV]]*Tabla8[[#This Row],[Cantidad]]</f>
        <v>4140</v>
      </c>
    </row>
    <row r="29" spans="2:12" ht="28.5" x14ac:dyDescent="0.3">
      <c r="B29" s="132">
        <f t="shared" si="0"/>
        <v>26</v>
      </c>
      <c r="C29" s="134" t="s">
        <v>855</v>
      </c>
      <c r="D29" s="134" t="s">
        <v>902</v>
      </c>
      <c r="E29" s="135">
        <v>60</v>
      </c>
      <c r="F29" s="135">
        <v>60</v>
      </c>
      <c r="G29" s="135">
        <v>120</v>
      </c>
      <c r="H29" s="136">
        <v>50</v>
      </c>
      <c r="I29" s="129">
        <f>Tabla8[[#This Row],[Precio]]*1.15</f>
        <v>57.499999999999993</v>
      </c>
      <c r="J29" s="129">
        <f>Tabla8[[#This Row],[Precio con ISV]]*Tabla8[[#This Row],[Cantidad]]</f>
        <v>6899.9999999999991</v>
      </c>
    </row>
    <row r="30" spans="2:12" ht="28.5" x14ac:dyDescent="0.3">
      <c r="B30" s="132">
        <f t="shared" si="0"/>
        <v>27</v>
      </c>
      <c r="C30" s="134" t="s">
        <v>854</v>
      </c>
      <c r="D30" s="134" t="s">
        <v>882</v>
      </c>
      <c r="E30" s="135">
        <v>60</v>
      </c>
      <c r="F30" s="135">
        <v>60</v>
      </c>
      <c r="G30" s="135">
        <v>120</v>
      </c>
      <c r="H30" s="136">
        <v>30</v>
      </c>
      <c r="I30" s="129">
        <f>Tabla8[[#This Row],[Precio]]*1.15</f>
        <v>34.5</v>
      </c>
      <c r="J30" s="129">
        <f>Tabla8[[#This Row],[Precio con ISV]]*Tabla8[[#This Row],[Cantidad]]</f>
        <v>4140</v>
      </c>
    </row>
    <row r="31" spans="2:12" ht="28.5" x14ac:dyDescent="0.3">
      <c r="B31" s="132">
        <f t="shared" si="0"/>
        <v>28</v>
      </c>
      <c r="C31" s="134" t="s">
        <v>795</v>
      </c>
      <c r="D31" s="134" t="s">
        <v>887</v>
      </c>
      <c r="E31" s="138">
        <v>75</v>
      </c>
      <c r="F31" s="138">
        <v>75</v>
      </c>
      <c r="G31" s="138">
        <v>150</v>
      </c>
      <c r="H31" s="136">
        <v>64</v>
      </c>
      <c r="I31" s="129">
        <f>Tabla8[[#This Row],[Precio]]*1.15</f>
        <v>73.599999999999994</v>
      </c>
      <c r="J31" s="129">
        <f>Tabla8[[#This Row],[Precio con ISV]]*Tabla8[[#This Row],[Cantidad]]</f>
        <v>11040</v>
      </c>
    </row>
    <row r="32" spans="2:12" ht="28.5" x14ac:dyDescent="0.3">
      <c r="B32" s="132">
        <f t="shared" si="0"/>
        <v>29</v>
      </c>
      <c r="C32" s="134" t="s">
        <v>793</v>
      </c>
      <c r="D32" s="134" t="s">
        <v>888</v>
      </c>
      <c r="E32" s="138">
        <v>75</v>
      </c>
      <c r="F32" s="138">
        <v>75</v>
      </c>
      <c r="G32" s="138">
        <v>150</v>
      </c>
      <c r="H32" s="136">
        <v>64</v>
      </c>
      <c r="I32" s="129">
        <f>Tabla8[[#This Row],[Precio]]*1.15</f>
        <v>73.599999999999994</v>
      </c>
      <c r="J32" s="129">
        <f>Tabla8[[#This Row],[Precio con ISV]]*Tabla8[[#This Row],[Cantidad]]</f>
        <v>11040</v>
      </c>
      <c r="L32" t="str">
        <f>LOWER(Tabla8[[#This Row],[Descripción]])</f>
        <v xml:space="preserve">caja de 12 unidades 1,0 mm punto mediano alta calidad </v>
      </c>
    </row>
    <row r="33" spans="2:10" ht="28.5" x14ac:dyDescent="0.3">
      <c r="B33" s="132">
        <f t="shared" si="0"/>
        <v>30</v>
      </c>
      <c r="C33" s="134" t="s">
        <v>914</v>
      </c>
      <c r="D33" s="134" t="s">
        <v>915</v>
      </c>
      <c r="E33" s="138">
        <v>25</v>
      </c>
      <c r="F33" s="138">
        <v>25</v>
      </c>
      <c r="G33" s="138">
        <v>50</v>
      </c>
      <c r="H33" s="136">
        <v>80</v>
      </c>
      <c r="I33" s="129">
        <f>Tabla8[[#This Row],[Precio]]*1.15</f>
        <v>92</v>
      </c>
      <c r="J33" s="129">
        <f>Tabla8[[#This Row],[Precio con ISV]]*Tabla8[[#This Row],[Cantidad]]</f>
        <v>4600</v>
      </c>
    </row>
    <row r="34" spans="2:10" ht="28.5" x14ac:dyDescent="0.3">
      <c r="B34" s="132">
        <f t="shared" si="0"/>
        <v>31</v>
      </c>
      <c r="C34" s="134" t="s">
        <v>794</v>
      </c>
      <c r="D34" s="134" t="s">
        <v>888</v>
      </c>
      <c r="E34" s="138">
        <v>75</v>
      </c>
      <c r="F34" s="138">
        <v>75</v>
      </c>
      <c r="G34" s="138">
        <v>150</v>
      </c>
      <c r="H34" s="136">
        <v>64</v>
      </c>
      <c r="I34" s="129">
        <f>Tabla8[[#This Row],[Precio]]*1.15</f>
        <v>73.599999999999994</v>
      </c>
      <c r="J34" s="129">
        <f>Tabla8[[#This Row],[Precio con ISV]]*Tabla8[[#This Row],[Cantidad]]</f>
        <v>11040</v>
      </c>
    </row>
    <row r="35" spans="2:10" ht="28.5" x14ac:dyDescent="0.3">
      <c r="B35" s="132">
        <f t="shared" si="0"/>
        <v>32</v>
      </c>
      <c r="C35" s="134" t="s">
        <v>857</v>
      </c>
      <c r="D35" s="134" t="s">
        <v>889</v>
      </c>
      <c r="E35" s="138">
        <v>5</v>
      </c>
      <c r="F35" s="138">
        <v>5</v>
      </c>
      <c r="G35" s="138">
        <v>10</v>
      </c>
      <c r="H35" s="136">
        <v>90</v>
      </c>
      <c r="I35" s="129">
        <f>Tabla8[[#This Row],[Precio]]*1.15</f>
        <v>103.49999999999999</v>
      </c>
      <c r="J35" s="129">
        <f>Tabla8[[#This Row],[Precio con ISV]]*Tabla8[[#This Row],[Cantidad]]</f>
        <v>1034.9999999999998</v>
      </c>
    </row>
    <row r="36" spans="2:10" ht="28.5" x14ac:dyDescent="0.3">
      <c r="B36" s="132">
        <f t="shared" si="0"/>
        <v>33</v>
      </c>
      <c r="C36" s="134" t="s">
        <v>857</v>
      </c>
      <c r="D36" s="134" t="s">
        <v>890</v>
      </c>
      <c r="E36" s="138">
        <v>5</v>
      </c>
      <c r="F36" s="138">
        <v>5</v>
      </c>
      <c r="G36" s="138">
        <v>10</v>
      </c>
      <c r="H36" s="136">
        <v>90</v>
      </c>
      <c r="I36" s="129">
        <f>Tabla8[[#This Row],[Precio]]*1.15</f>
        <v>103.49999999999999</v>
      </c>
      <c r="J36" s="129">
        <f>Tabla8[[#This Row],[Precio con ISV]]*Tabla8[[#This Row],[Cantidad]]</f>
        <v>1034.9999999999998</v>
      </c>
    </row>
    <row r="37" spans="2:10" ht="28.5" x14ac:dyDescent="0.3">
      <c r="B37" s="132">
        <f t="shared" si="0"/>
        <v>34</v>
      </c>
      <c r="C37" s="134" t="s">
        <v>809</v>
      </c>
      <c r="D37" s="134" t="s">
        <v>891</v>
      </c>
      <c r="E37" s="138">
        <v>5</v>
      </c>
      <c r="F37" s="138">
        <v>5</v>
      </c>
      <c r="G37" s="138">
        <v>10</v>
      </c>
      <c r="H37" s="136">
        <v>72.72</v>
      </c>
      <c r="I37" s="129">
        <f>Tabla8[[#This Row],[Precio]]*1.15</f>
        <v>83.627999999999986</v>
      </c>
      <c r="J37" s="129">
        <f>Tabla8[[#This Row],[Precio con ISV]]*Tabla8[[#This Row],[Cantidad]]</f>
        <v>836.27999999999986</v>
      </c>
    </row>
    <row r="38" spans="2:10" ht="28.5" x14ac:dyDescent="0.3">
      <c r="B38" s="132">
        <f t="shared" si="0"/>
        <v>35</v>
      </c>
      <c r="C38" s="134" t="s">
        <v>830</v>
      </c>
      <c r="D38" s="134" t="s">
        <v>892</v>
      </c>
      <c r="E38" s="138">
        <v>5</v>
      </c>
      <c r="F38" s="138">
        <v>5</v>
      </c>
      <c r="G38" s="138">
        <v>10</v>
      </c>
      <c r="H38" s="136">
        <v>72.72</v>
      </c>
      <c r="I38" s="129">
        <f>Tabla8[[#This Row],[Precio]]*1.15</f>
        <v>83.627999999999986</v>
      </c>
      <c r="J38" s="129">
        <f>Tabla8[[#This Row],[Precio con ISV]]*Tabla8[[#This Row],[Cantidad]]</f>
        <v>836.27999999999986</v>
      </c>
    </row>
    <row r="39" spans="2:10" ht="28.5" x14ac:dyDescent="0.3">
      <c r="B39" s="132">
        <f t="shared" si="0"/>
        <v>36</v>
      </c>
      <c r="C39" s="134" t="s">
        <v>846</v>
      </c>
      <c r="D39" s="134" t="s">
        <v>847</v>
      </c>
      <c r="E39" s="138">
        <v>5</v>
      </c>
      <c r="F39" s="138">
        <v>5</v>
      </c>
      <c r="G39" s="138">
        <v>10</v>
      </c>
      <c r="H39" s="136">
        <v>72.72</v>
      </c>
      <c r="I39" s="129">
        <f>Tabla8[[#This Row],[Precio]]*1.15</f>
        <v>83.627999999999986</v>
      </c>
      <c r="J39" s="129">
        <f>Tabla8[[#This Row],[Precio con ISV]]*Tabla8[[#This Row],[Cantidad]]</f>
        <v>836.27999999999986</v>
      </c>
    </row>
    <row r="40" spans="2:10" ht="28.5" x14ac:dyDescent="0.3">
      <c r="B40" s="132">
        <f t="shared" si="0"/>
        <v>37</v>
      </c>
      <c r="C40" s="134" t="s">
        <v>846</v>
      </c>
      <c r="D40" s="134" t="s">
        <v>848</v>
      </c>
      <c r="E40" s="138">
        <v>5</v>
      </c>
      <c r="F40" s="138">
        <v>5</v>
      </c>
      <c r="G40" s="138">
        <v>10</v>
      </c>
      <c r="H40" s="136">
        <v>72.72</v>
      </c>
      <c r="I40" s="129">
        <f>Tabla8[[#This Row],[Precio]]*1.15</f>
        <v>83.627999999999986</v>
      </c>
      <c r="J40" s="129">
        <f>Tabla8[[#This Row],[Precio con ISV]]*Tabla8[[#This Row],[Cantidad]]</f>
        <v>836.27999999999986</v>
      </c>
    </row>
    <row r="41" spans="2:10" ht="28.5" x14ac:dyDescent="0.3">
      <c r="B41" s="132">
        <f t="shared" si="0"/>
        <v>38</v>
      </c>
      <c r="C41" s="134" t="s">
        <v>808</v>
      </c>
      <c r="D41" s="134" t="s">
        <v>894</v>
      </c>
      <c r="E41" s="138">
        <v>5</v>
      </c>
      <c r="F41" s="138">
        <v>5</v>
      </c>
      <c r="G41" s="138">
        <v>10</v>
      </c>
      <c r="H41" s="136">
        <v>81.78</v>
      </c>
      <c r="I41" s="129">
        <f>Tabla8[[#This Row],[Precio]]*1.15</f>
        <v>94.046999999999997</v>
      </c>
      <c r="J41" s="129">
        <f>Tabla8[[#This Row],[Precio con ISV]]*Tabla8[[#This Row],[Cantidad]]</f>
        <v>940.47</v>
      </c>
    </row>
    <row r="42" spans="2:10" ht="28.5" x14ac:dyDescent="0.3">
      <c r="B42" s="132">
        <f t="shared" si="0"/>
        <v>39</v>
      </c>
      <c r="C42" s="134" t="s">
        <v>806</v>
      </c>
      <c r="D42" s="134" t="s">
        <v>893</v>
      </c>
      <c r="E42" s="138">
        <v>5</v>
      </c>
      <c r="F42" s="138">
        <v>5</v>
      </c>
      <c r="G42" s="138">
        <v>10</v>
      </c>
      <c r="H42" s="136">
        <v>81.78</v>
      </c>
      <c r="I42" s="129">
        <f>Tabla8[[#This Row],[Precio]]*1.15</f>
        <v>94.046999999999997</v>
      </c>
      <c r="J42" s="129">
        <f>Tabla8[[#This Row],[Precio con ISV]]*Tabla8[[#This Row],[Cantidad]]</f>
        <v>940.47</v>
      </c>
    </row>
    <row r="43" spans="2:10" ht="28.5" x14ac:dyDescent="0.3">
      <c r="B43" s="132">
        <f t="shared" si="0"/>
        <v>40</v>
      </c>
      <c r="C43" s="134" t="s">
        <v>807</v>
      </c>
      <c r="D43" s="134" t="s">
        <v>895</v>
      </c>
      <c r="E43" s="138">
        <v>5</v>
      </c>
      <c r="F43" s="138">
        <v>5</v>
      </c>
      <c r="G43" s="138">
        <v>10</v>
      </c>
      <c r="H43" s="136">
        <v>81.78</v>
      </c>
      <c r="I43" s="129">
        <f>Tabla8[[#This Row],[Precio]]*1.15</f>
        <v>94.046999999999997</v>
      </c>
      <c r="J43" s="129">
        <f>Tabla8[[#This Row],[Precio con ISV]]*Tabla8[[#This Row],[Cantidad]]</f>
        <v>940.47</v>
      </c>
    </row>
    <row r="44" spans="2:10" ht="15.75" x14ac:dyDescent="0.3">
      <c r="B44" s="132">
        <f t="shared" si="0"/>
        <v>41</v>
      </c>
      <c r="C44" s="134" t="s">
        <v>810</v>
      </c>
      <c r="D44" s="134" t="s">
        <v>811</v>
      </c>
      <c r="E44" s="135">
        <v>9</v>
      </c>
      <c r="F44" s="135">
        <v>9</v>
      </c>
      <c r="G44" s="135">
        <v>18</v>
      </c>
      <c r="H44" s="136">
        <v>42</v>
      </c>
      <c r="I44" s="129">
        <f>Tabla8[[#This Row],[Precio]]*1.15</f>
        <v>48.3</v>
      </c>
      <c r="J44" s="129">
        <f>Tabla8[[#This Row],[Precio con ISV]]*Tabla8[[#This Row],[Cantidad]]</f>
        <v>869.4</v>
      </c>
    </row>
    <row r="45" spans="2:10" ht="15.75" x14ac:dyDescent="0.3">
      <c r="B45" s="132">
        <f t="shared" si="0"/>
        <v>42</v>
      </c>
      <c r="C45" s="134" t="s">
        <v>827</v>
      </c>
      <c r="D45" s="134" t="s">
        <v>828</v>
      </c>
      <c r="E45" s="135">
        <v>9</v>
      </c>
      <c r="F45" s="135">
        <v>9</v>
      </c>
      <c r="G45" s="135">
        <v>18</v>
      </c>
      <c r="H45" s="136">
        <v>7.3</v>
      </c>
      <c r="I45" s="129">
        <f>Tabla8[[#This Row],[Precio]]*1.15</f>
        <v>8.3949999999999996</v>
      </c>
      <c r="J45" s="129">
        <f>Tabla8[[#This Row],[Precio con ISV]]*Tabla8[[#This Row],[Cantidad]]</f>
        <v>151.10999999999999</v>
      </c>
    </row>
    <row r="46" spans="2:10" ht="28.5" x14ac:dyDescent="0.3">
      <c r="B46" s="132">
        <f t="shared" si="0"/>
        <v>43</v>
      </c>
      <c r="C46" s="134" t="s">
        <v>904</v>
      </c>
      <c r="D46" s="134" t="s">
        <v>907</v>
      </c>
      <c r="E46" s="135">
        <v>30</v>
      </c>
      <c r="F46" s="135">
        <v>30</v>
      </c>
      <c r="G46" s="135">
        <v>60</v>
      </c>
      <c r="H46" s="136">
        <v>100</v>
      </c>
      <c r="I46" s="129">
        <f>Tabla8[[#This Row],[Precio]]*1.15</f>
        <v>114.99999999999999</v>
      </c>
      <c r="J46" s="129">
        <f>Tabla8[[#This Row],[Precio con ISV]]*Tabla8[[#This Row],[Cantidad]]</f>
        <v>6899.9999999999991</v>
      </c>
    </row>
    <row r="47" spans="2:10" ht="28.5" x14ac:dyDescent="0.3">
      <c r="B47" s="132">
        <f t="shared" si="0"/>
        <v>44</v>
      </c>
      <c r="C47" s="134" t="s">
        <v>813</v>
      </c>
      <c r="D47" s="134" t="s">
        <v>916</v>
      </c>
      <c r="E47" s="135">
        <v>6</v>
      </c>
      <c r="F47" s="135">
        <v>6</v>
      </c>
      <c r="G47" s="135">
        <v>12</v>
      </c>
      <c r="H47" s="136">
        <v>32</v>
      </c>
      <c r="I47" s="129">
        <f>Tabla8[[#This Row],[Precio]]*1.15</f>
        <v>36.799999999999997</v>
      </c>
      <c r="J47" s="129">
        <f>Tabla8[[#This Row],[Precio con ISV]]*Tabla8[[#This Row],[Cantidad]]</f>
        <v>441.59999999999997</v>
      </c>
    </row>
    <row r="48" spans="2:10" ht="28.5" x14ac:dyDescent="0.3">
      <c r="B48" s="132">
        <f t="shared" si="0"/>
        <v>45</v>
      </c>
      <c r="C48" s="134" t="s">
        <v>814</v>
      </c>
      <c r="D48" s="134" t="s">
        <v>845</v>
      </c>
      <c r="E48" s="135">
        <v>5</v>
      </c>
      <c r="F48" s="135">
        <v>5</v>
      </c>
      <c r="G48" s="135">
        <v>10</v>
      </c>
      <c r="H48" s="132">
        <v>700</v>
      </c>
      <c r="I48" s="129">
        <f>Tabla8[[#This Row],[Precio]]*1.15</f>
        <v>804.99999999999989</v>
      </c>
      <c r="J48" s="129">
        <f>Tabla8[[#This Row],[Precio con ISV]]*Tabla8[[#This Row],[Cantidad]]</f>
        <v>8049.9999999999991</v>
      </c>
    </row>
    <row r="49" spans="2:10" ht="28.5" x14ac:dyDescent="0.3">
      <c r="B49" s="132">
        <f t="shared" si="0"/>
        <v>46</v>
      </c>
      <c r="C49" s="134" t="s">
        <v>814</v>
      </c>
      <c r="D49" s="134" t="s">
        <v>866</v>
      </c>
      <c r="E49" s="135">
        <v>20</v>
      </c>
      <c r="F49" s="135">
        <v>20</v>
      </c>
      <c r="G49" s="135">
        <v>40</v>
      </c>
      <c r="H49" s="132">
        <v>100</v>
      </c>
      <c r="I49" s="129">
        <f>Tabla8[[#This Row],[Precio]]*1.15</f>
        <v>114.99999999999999</v>
      </c>
      <c r="J49" s="129">
        <f>Tabla8[[#This Row],[Precio con ISV]]*Tabla8[[#This Row],[Cantidad]]</f>
        <v>4599.9999999999991</v>
      </c>
    </row>
    <row r="50" spans="2:10" ht="28.5" x14ac:dyDescent="0.3">
      <c r="B50" s="132">
        <f t="shared" si="0"/>
        <v>47</v>
      </c>
      <c r="C50" s="134" t="s">
        <v>814</v>
      </c>
      <c r="D50" s="134" t="s">
        <v>867</v>
      </c>
      <c r="E50" s="135">
        <v>5</v>
      </c>
      <c r="F50" s="135">
        <v>5</v>
      </c>
      <c r="G50" s="135">
        <v>10</v>
      </c>
      <c r="H50" s="132">
        <v>280</v>
      </c>
      <c r="I50" s="129">
        <f>Tabla8[[#This Row],[Precio]]*1.15</f>
        <v>322</v>
      </c>
      <c r="J50" s="129">
        <f>Tabla8[[#This Row],[Precio con ISV]]*Tabla8[[#This Row],[Cantidad]]</f>
        <v>3220</v>
      </c>
    </row>
    <row r="51" spans="2:10" ht="15.75" x14ac:dyDescent="0.3">
      <c r="B51" s="132">
        <f t="shared" si="0"/>
        <v>48</v>
      </c>
      <c r="C51" s="134" t="s">
        <v>839</v>
      </c>
      <c r="D51" s="134" t="s">
        <v>840</v>
      </c>
      <c r="E51" s="138">
        <v>25</v>
      </c>
      <c r="F51" s="138">
        <v>25</v>
      </c>
      <c r="G51" s="138">
        <v>50</v>
      </c>
      <c r="H51" s="136">
        <v>23</v>
      </c>
      <c r="I51" s="129">
        <f>Tabla8[[#This Row],[Precio]]*1.15</f>
        <v>26.45</v>
      </c>
      <c r="J51" s="129">
        <f>Tabla8[[#This Row],[Precio con ISV]]*Tabla8[[#This Row],[Cantidad]]</f>
        <v>1322.5</v>
      </c>
    </row>
    <row r="52" spans="2:10" ht="15.75" x14ac:dyDescent="0.3">
      <c r="B52" s="132">
        <f t="shared" si="0"/>
        <v>49</v>
      </c>
      <c r="C52" s="134" t="s">
        <v>839</v>
      </c>
      <c r="D52" s="134" t="s">
        <v>841</v>
      </c>
      <c r="E52" s="138">
        <v>25</v>
      </c>
      <c r="F52" s="138">
        <v>25</v>
      </c>
      <c r="G52" s="138">
        <v>50</v>
      </c>
      <c r="H52" s="136">
        <v>23</v>
      </c>
      <c r="I52" s="129">
        <f>Tabla8[[#This Row],[Precio]]*1.15</f>
        <v>26.45</v>
      </c>
      <c r="J52" s="129">
        <f>Tabla8[[#This Row],[Precio con ISV]]*Tabla8[[#This Row],[Cantidad]]</f>
        <v>1322.5</v>
      </c>
    </row>
    <row r="53" spans="2:10" ht="15.75" x14ac:dyDescent="0.3">
      <c r="B53" s="132">
        <f t="shared" si="0"/>
        <v>50</v>
      </c>
      <c r="C53" s="134" t="s">
        <v>839</v>
      </c>
      <c r="D53" s="134" t="s">
        <v>858</v>
      </c>
      <c r="E53" s="138">
        <v>25</v>
      </c>
      <c r="F53" s="138">
        <v>25</v>
      </c>
      <c r="G53" s="138">
        <v>50</v>
      </c>
      <c r="H53" s="136">
        <v>30</v>
      </c>
      <c r="I53" s="129">
        <f>Tabla8[[#This Row],[Precio]]*1.15</f>
        <v>34.5</v>
      </c>
      <c r="J53" s="129">
        <f>Tabla8[[#This Row],[Precio con ISV]]*Tabla8[[#This Row],[Cantidad]]</f>
        <v>1725</v>
      </c>
    </row>
    <row r="54" spans="2:10" ht="15.75" x14ac:dyDescent="0.3">
      <c r="B54" s="132">
        <f t="shared" si="0"/>
        <v>51</v>
      </c>
      <c r="C54" s="134" t="s">
        <v>917</v>
      </c>
      <c r="D54" s="134" t="s">
        <v>908</v>
      </c>
      <c r="E54" s="135">
        <v>30</v>
      </c>
      <c r="F54" s="135">
        <v>30</v>
      </c>
      <c r="G54" s="135">
        <v>60</v>
      </c>
      <c r="H54" s="140">
        <v>28</v>
      </c>
      <c r="I54" s="129">
        <f>Tabla8[[#This Row],[Precio]]*1.15</f>
        <v>32.199999999999996</v>
      </c>
      <c r="J54" s="129">
        <f>Tabla8[[#This Row],[Precio con ISV]]*Tabla8[[#This Row],[Cantidad]]</f>
        <v>1931.9999999999998</v>
      </c>
    </row>
    <row r="55" spans="2:10" ht="28.5" x14ac:dyDescent="0.3">
      <c r="B55" s="132">
        <f t="shared" si="0"/>
        <v>52</v>
      </c>
      <c r="C55" s="134" t="s">
        <v>906</v>
      </c>
      <c r="D55" s="134" t="s">
        <v>905</v>
      </c>
      <c r="E55" s="135">
        <v>30</v>
      </c>
      <c r="F55" s="135">
        <v>30</v>
      </c>
      <c r="G55" s="135">
        <v>60</v>
      </c>
      <c r="H55" s="136">
        <v>91</v>
      </c>
      <c r="I55" s="129">
        <f>Tabla8[[#This Row],[Precio]]*1.15</f>
        <v>104.64999999999999</v>
      </c>
      <c r="J55" s="129">
        <f>Tabla8[[#This Row],[Precio con ISV]]*Tabla8[[#This Row],[Cantidad]]</f>
        <v>6278.9999999999991</v>
      </c>
    </row>
    <row r="56" spans="2:10" ht="15.75" x14ac:dyDescent="0.3">
      <c r="B56" s="132">
        <f t="shared" si="0"/>
        <v>53</v>
      </c>
      <c r="C56" s="134" t="s">
        <v>815</v>
      </c>
      <c r="D56" s="134" t="s">
        <v>896</v>
      </c>
      <c r="E56" s="135">
        <v>30</v>
      </c>
      <c r="F56" s="135">
        <v>30</v>
      </c>
      <c r="G56" s="135">
        <v>60</v>
      </c>
      <c r="H56" s="136">
        <v>8.4</v>
      </c>
      <c r="I56" s="129">
        <f>Tabla8[[#This Row],[Precio]]*1.15</f>
        <v>9.66</v>
      </c>
      <c r="J56" s="129">
        <f>Tabla8[[#This Row],[Precio con ISV]]*Tabla8[[#This Row],[Cantidad]]</f>
        <v>579.6</v>
      </c>
    </row>
    <row r="57" spans="2:10" ht="15.75" x14ac:dyDescent="0.3">
      <c r="B57" s="132">
        <f t="shared" si="0"/>
        <v>54</v>
      </c>
      <c r="C57" s="134" t="s">
        <v>816</v>
      </c>
      <c r="D57" s="134" t="s">
        <v>817</v>
      </c>
      <c r="E57" s="135">
        <v>30</v>
      </c>
      <c r="F57" s="135">
        <v>30</v>
      </c>
      <c r="G57" s="135">
        <v>60</v>
      </c>
      <c r="H57" s="136">
        <v>2.65</v>
      </c>
      <c r="I57" s="129">
        <f>Tabla8[[#This Row],[Precio]]*1.15</f>
        <v>3.0474999999999999</v>
      </c>
      <c r="J57" s="129">
        <f>Tabla8[[#This Row],[Precio con ISV]]*Tabla8[[#This Row],[Cantidad]]</f>
        <v>182.85</v>
      </c>
    </row>
    <row r="58" spans="2:10" ht="15.75" x14ac:dyDescent="0.3">
      <c r="B58" s="132">
        <f t="shared" si="0"/>
        <v>55</v>
      </c>
      <c r="C58" s="134" t="s">
        <v>816</v>
      </c>
      <c r="D58" s="134" t="s">
        <v>897</v>
      </c>
      <c r="E58" s="135">
        <v>25</v>
      </c>
      <c r="F58" s="135">
        <v>25</v>
      </c>
      <c r="G58" s="135">
        <v>50</v>
      </c>
      <c r="H58" s="136">
        <v>10</v>
      </c>
      <c r="I58" s="129">
        <f>Tabla8[[#This Row],[Precio]]*1.15</f>
        <v>11.5</v>
      </c>
      <c r="J58" s="129">
        <f>Tabla8[[#This Row],[Precio con ISV]]*Tabla8[[#This Row],[Cantidad]]</f>
        <v>575</v>
      </c>
    </row>
    <row r="59" spans="2:10" ht="15.75" x14ac:dyDescent="0.3">
      <c r="B59" s="132">
        <f t="shared" si="0"/>
        <v>56</v>
      </c>
      <c r="C59" s="134" t="s">
        <v>869</v>
      </c>
      <c r="D59" s="134" t="s">
        <v>918</v>
      </c>
      <c r="E59" s="135">
        <v>60</v>
      </c>
      <c r="F59" s="135">
        <v>60</v>
      </c>
      <c r="G59" s="135">
        <v>120</v>
      </c>
      <c r="H59" s="136">
        <v>26</v>
      </c>
      <c r="I59" s="129">
        <f>Tabla8[[#This Row],[Precio]]*1.15</f>
        <v>29.9</v>
      </c>
      <c r="J59" s="129">
        <f>Tabla8[[#This Row],[Precio con ISV]]*Tabla8[[#This Row],[Cantidad]]</f>
        <v>3588</v>
      </c>
    </row>
    <row r="60" spans="2:10" ht="28.5" x14ac:dyDescent="0.3">
      <c r="B60" s="132">
        <f t="shared" si="0"/>
        <v>57</v>
      </c>
      <c r="C60" s="134" t="s">
        <v>859</v>
      </c>
      <c r="D60" s="134" t="s">
        <v>860</v>
      </c>
      <c r="E60" s="135">
        <v>75</v>
      </c>
      <c r="F60" s="135">
        <v>75</v>
      </c>
      <c r="G60" s="135">
        <v>150</v>
      </c>
      <c r="H60" s="136">
        <v>15</v>
      </c>
      <c r="I60" s="129">
        <f>Tabla8[[#This Row],[Precio]]*1.15</f>
        <v>17.25</v>
      </c>
      <c r="J60" s="129">
        <f>Tabla8[[#This Row],[Precio con ISV]]*Tabla8[[#This Row],[Cantidad]]</f>
        <v>2587.5</v>
      </c>
    </row>
    <row r="61" spans="2:10" ht="28.5" x14ac:dyDescent="0.3">
      <c r="B61" s="132">
        <f t="shared" si="0"/>
        <v>58</v>
      </c>
      <c r="C61" s="134" t="s">
        <v>859</v>
      </c>
      <c r="D61" s="134" t="s">
        <v>861</v>
      </c>
      <c r="E61" s="135">
        <v>75</v>
      </c>
      <c r="F61" s="135">
        <v>75</v>
      </c>
      <c r="G61" s="135">
        <v>150</v>
      </c>
      <c r="H61" s="136">
        <v>15</v>
      </c>
      <c r="I61" s="129">
        <f>Tabla8[[#This Row],[Precio]]*1.15</f>
        <v>17.25</v>
      </c>
      <c r="J61" s="129">
        <f>Tabla8[[#This Row],[Precio con ISV]]*Tabla8[[#This Row],[Cantidad]]</f>
        <v>2587.5</v>
      </c>
    </row>
    <row r="62" spans="2:10" ht="28.5" x14ac:dyDescent="0.3">
      <c r="B62" s="132">
        <f t="shared" si="0"/>
        <v>59</v>
      </c>
      <c r="C62" s="134" t="s">
        <v>818</v>
      </c>
      <c r="D62" s="134" t="s">
        <v>837</v>
      </c>
      <c r="E62" s="138">
        <v>30</v>
      </c>
      <c r="F62" s="138">
        <v>30</v>
      </c>
      <c r="G62" s="138">
        <v>60</v>
      </c>
      <c r="H62" s="136">
        <v>78.58</v>
      </c>
      <c r="I62" s="129">
        <f>Tabla8[[#This Row],[Precio]]*1.15</f>
        <v>90.36699999999999</v>
      </c>
      <c r="J62" s="129">
        <f>Tabla8[[#This Row],[Precio con ISV]]*Tabla8[[#This Row],[Cantidad]]</f>
        <v>5422.0199999999995</v>
      </c>
    </row>
    <row r="63" spans="2:10" ht="28.5" x14ac:dyDescent="0.3">
      <c r="B63" s="132">
        <f t="shared" si="0"/>
        <v>60</v>
      </c>
      <c r="C63" s="134" t="s">
        <v>818</v>
      </c>
      <c r="D63" s="134" t="s">
        <v>899</v>
      </c>
      <c r="E63" s="138">
        <v>30</v>
      </c>
      <c r="F63" s="138">
        <v>30</v>
      </c>
      <c r="G63" s="138">
        <v>60</v>
      </c>
      <c r="H63" s="136">
        <v>78.58</v>
      </c>
      <c r="I63" s="129">
        <f>Tabla8[[#This Row],[Precio]]*1.15</f>
        <v>90.36699999999999</v>
      </c>
      <c r="J63" s="129">
        <f>Tabla8[[#This Row],[Precio con ISV]]*Tabla8[[#This Row],[Cantidad]]</f>
        <v>5422.0199999999995</v>
      </c>
    </row>
    <row r="64" spans="2:10" ht="28.5" x14ac:dyDescent="0.3">
      <c r="B64" s="132">
        <f t="shared" si="0"/>
        <v>61</v>
      </c>
      <c r="C64" s="134" t="s">
        <v>818</v>
      </c>
      <c r="D64" s="134" t="s">
        <v>900</v>
      </c>
      <c r="E64" s="138">
        <v>30</v>
      </c>
      <c r="F64" s="138">
        <v>30</v>
      </c>
      <c r="G64" s="138">
        <v>60</v>
      </c>
      <c r="H64" s="136">
        <v>78.58</v>
      </c>
      <c r="I64" s="129">
        <f>Tabla8[[#This Row],[Precio]]*1.15</f>
        <v>90.36699999999999</v>
      </c>
      <c r="J64" s="129">
        <f>Tabla8[[#This Row],[Precio con ISV]]*Tabla8[[#This Row],[Cantidad]]</f>
        <v>5422.0199999999995</v>
      </c>
    </row>
    <row r="65" spans="2:12" ht="28.5" x14ac:dyDescent="0.3">
      <c r="B65" s="132">
        <f t="shared" si="0"/>
        <v>62</v>
      </c>
      <c r="C65" s="134" t="s">
        <v>818</v>
      </c>
      <c r="D65" s="134" t="s">
        <v>898</v>
      </c>
      <c r="E65" s="138">
        <v>30</v>
      </c>
      <c r="F65" s="138">
        <v>30</v>
      </c>
      <c r="G65" s="138">
        <v>60</v>
      </c>
      <c r="H65" s="136">
        <v>78.58</v>
      </c>
      <c r="I65" s="129">
        <f>Tabla8[[#This Row],[Precio]]*1.15</f>
        <v>90.36699999999999</v>
      </c>
      <c r="J65" s="129">
        <f>Tabla8[[#This Row],[Precio con ISV]]*Tabla8[[#This Row],[Cantidad]]</f>
        <v>5422.0199999999995</v>
      </c>
    </row>
    <row r="66" spans="2:12" ht="28.5" x14ac:dyDescent="0.3">
      <c r="B66" s="132">
        <f t="shared" si="0"/>
        <v>63</v>
      </c>
      <c r="C66" s="134" t="s">
        <v>819</v>
      </c>
      <c r="D66" s="134" t="s">
        <v>903</v>
      </c>
      <c r="E66" s="135">
        <v>30</v>
      </c>
      <c r="F66" s="135">
        <v>30</v>
      </c>
      <c r="G66" s="135">
        <v>60</v>
      </c>
      <c r="H66" s="136">
        <v>1.85</v>
      </c>
      <c r="I66" s="129">
        <f>Tabla8[[#This Row],[Precio]]*1.15</f>
        <v>2.1274999999999999</v>
      </c>
      <c r="J66" s="129">
        <f>Tabla8[[#This Row],[Precio con ISV]]*Tabla8[[#This Row],[Cantidad]]</f>
        <v>127.64999999999999</v>
      </c>
    </row>
    <row r="67" spans="2:12" ht="15.75" x14ac:dyDescent="0.3">
      <c r="B67" s="132">
        <f t="shared" si="0"/>
        <v>64</v>
      </c>
      <c r="C67" s="134" t="s">
        <v>832</v>
      </c>
      <c r="D67" s="134" t="s">
        <v>901</v>
      </c>
      <c r="E67" s="137">
        <v>30</v>
      </c>
      <c r="F67" s="137">
        <v>30</v>
      </c>
      <c r="G67" s="137">
        <v>60</v>
      </c>
      <c r="H67" s="136">
        <v>21.81</v>
      </c>
      <c r="I67" s="129">
        <f>Tabla8[[#This Row],[Precio]]*1.15</f>
        <v>25.081499999999998</v>
      </c>
      <c r="J67" s="129">
        <f>Tabla8[[#This Row],[Precio con ISV]]*Tabla8[[#This Row],[Cantidad]]</f>
        <v>1504.8899999999999</v>
      </c>
    </row>
    <row r="68" spans="2:12" ht="15.75" x14ac:dyDescent="0.3">
      <c r="B68" s="132">
        <f t="shared" si="0"/>
        <v>65</v>
      </c>
      <c r="C68" s="134" t="s">
        <v>835</v>
      </c>
      <c r="D68" s="134" t="s">
        <v>836</v>
      </c>
      <c r="E68" s="137">
        <v>25</v>
      </c>
      <c r="F68" s="137">
        <v>25</v>
      </c>
      <c r="G68" s="137">
        <v>50</v>
      </c>
      <c r="H68" s="136">
        <v>13.22</v>
      </c>
      <c r="I68" s="129">
        <f>Tabla8[[#This Row],[Precio]]*1.15</f>
        <v>15.202999999999999</v>
      </c>
      <c r="J68" s="129">
        <f>Tabla8[[#This Row],[Precio con ISV]]*Tabla8[[#This Row],[Cantidad]]</f>
        <v>760.15</v>
      </c>
    </row>
    <row r="69" spans="2:12" ht="28.5" x14ac:dyDescent="0.3">
      <c r="B69" s="132">
        <f t="shared" si="0"/>
        <v>66</v>
      </c>
      <c r="C69" s="134" t="s">
        <v>862</v>
      </c>
      <c r="D69" s="134" t="s">
        <v>863</v>
      </c>
      <c r="E69" s="135">
        <v>20</v>
      </c>
      <c r="F69" s="135">
        <v>5</v>
      </c>
      <c r="G69" s="135">
        <v>25</v>
      </c>
      <c r="H69" s="136">
        <v>24</v>
      </c>
      <c r="I69" s="129">
        <f>Tabla8[[#This Row],[Precio]]*1.15</f>
        <v>27.599999999999998</v>
      </c>
      <c r="J69" s="129">
        <f>Tabla8[[#This Row],[Precio con ISV]]*Tabla8[[#This Row],[Cantidad]]</f>
        <v>690</v>
      </c>
    </row>
    <row r="70" spans="2:12" ht="15.75" x14ac:dyDescent="0.3">
      <c r="B70" s="132">
        <f t="shared" ref="B70:B75" si="1">B69+1</f>
        <v>67</v>
      </c>
      <c r="C70" s="134" t="s">
        <v>842</v>
      </c>
      <c r="D70" s="134" t="s">
        <v>868</v>
      </c>
      <c r="E70" s="138">
        <v>15</v>
      </c>
      <c r="F70" s="138">
        <v>15</v>
      </c>
      <c r="G70" s="138">
        <v>30</v>
      </c>
      <c r="H70" s="136">
        <v>33</v>
      </c>
      <c r="I70" s="129">
        <f>Tabla8[[#This Row],[Precio]]*1.15</f>
        <v>37.949999999999996</v>
      </c>
      <c r="J70" s="129">
        <f>Tabla8[[#This Row],[Precio con ISV]]*Tabla8[[#This Row],[Cantidad]]</f>
        <v>1138.4999999999998</v>
      </c>
      <c r="L70" t="str">
        <f>LOWER(Tabla8[[#This Row],[Descripción]])</f>
        <v>caja de tacuelas de colores, alta calidad caja</v>
      </c>
    </row>
    <row r="71" spans="2:12" ht="28.5" x14ac:dyDescent="0.3">
      <c r="B71" s="132">
        <f t="shared" si="1"/>
        <v>68</v>
      </c>
      <c r="C71" s="134" t="s">
        <v>820</v>
      </c>
      <c r="D71" s="134" t="s">
        <v>919</v>
      </c>
      <c r="E71" s="135">
        <v>12</v>
      </c>
      <c r="F71" s="135">
        <v>12</v>
      </c>
      <c r="G71" s="135">
        <v>24</v>
      </c>
      <c r="H71" s="136">
        <v>40</v>
      </c>
      <c r="I71" s="129">
        <f>Tabla8[[#This Row],[Precio]]*1.15</f>
        <v>46</v>
      </c>
      <c r="J71" s="129">
        <f>Tabla8[[#This Row],[Precio con ISV]]*Tabla8[[#This Row],[Cantidad]]</f>
        <v>1104</v>
      </c>
    </row>
    <row r="72" spans="2:12" ht="28.5" x14ac:dyDescent="0.3">
      <c r="B72" s="132">
        <f t="shared" si="1"/>
        <v>69</v>
      </c>
      <c r="C72" s="134" t="s">
        <v>820</v>
      </c>
      <c r="D72" s="134" t="s">
        <v>920</v>
      </c>
      <c r="E72" s="135">
        <v>12</v>
      </c>
      <c r="F72" s="135">
        <v>12</v>
      </c>
      <c r="G72" s="135">
        <v>24</v>
      </c>
      <c r="H72" s="136">
        <v>40</v>
      </c>
      <c r="I72" s="129">
        <f>Tabla8[[#This Row],[Precio]]*1.15</f>
        <v>46</v>
      </c>
      <c r="J72" s="129">
        <f>Tabla8[[#This Row],[Precio con ISV]]*Tabla8[[#This Row],[Cantidad]]</f>
        <v>1104</v>
      </c>
      <c r="L72" t="str">
        <f>LOWER(Tabla8[[#This Row],[Descripción]])</f>
        <v>tape trasparente de 3/4" pulgada entre 40 yardas o mas de largo c/u</v>
      </c>
    </row>
    <row r="73" spans="2:12" ht="15.75" x14ac:dyDescent="0.3">
      <c r="B73" s="132">
        <f t="shared" si="1"/>
        <v>70</v>
      </c>
      <c r="C73" s="134" t="s">
        <v>821</v>
      </c>
      <c r="D73" s="134" t="s">
        <v>822</v>
      </c>
      <c r="E73" s="135">
        <v>20</v>
      </c>
      <c r="F73" s="135">
        <v>20</v>
      </c>
      <c r="G73" s="135">
        <v>40</v>
      </c>
      <c r="H73" s="136">
        <v>22.78</v>
      </c>
      <c r="I73" s="129">
        <f>Tabla8[[#This Row],[Precio]]*1.15</f>
        <v>26.196999999999999</v>
      </c>
      <c r="J73" s="129">
        <f>Tabla8[[#This Row],[Precio con ISV]]*Tabla8[[#This Row],[Cantidad]]</f>
        <v>1047.8799999999999</v>
      </c>
      <c r="L73" t="str">
        <f>LOWER(Tabla8[[#This Row],[Descripción]])</f>
        <v>tijera de acero inoxidable de 8" de largo c/u</v>
      </c>
    </row>
    <row r="74" spans="2:12" ht="15.75" x14ac:dyDescent="0.3">
      <c r="B74" s="132">
        <f t="shared" si="1"/>
        <v>71</v>
      </c>
      <c r="C74" s="134" t="s">
        <v>823</v>
      </c>
      <c r="D74" s="134" t="s">
        <v>824</v>
      </c>
      <c r="E74" s="135">
        <v>5</v>
      </c>
      <c r="F74" s="135">
        <v>5</v>
      </c>
      <c r="G74" s="135">
        <v>10</v>
      </c>
      <c r="H74" s="136">
        <v>20.52</v>
      </c>
      <c r="I74" s="129">
        <f>Tabla8[[#This Row],[Precio]]*1.15</f>
        <v>23.597999999999999</v>
      </c>
      <c r="J74" s="129">
        <f>Tabla8[[#This Row],[Precio con ISV]]*Tabla8[[#This Row],[Cantidad]]</f>
        <v>235.98</v>
      </c>
      <c r="L74" t="str">
        <f>LOWER(Tabla8[[#This Row],[Descripción]])</f>
        <v>tinta para sellos en bote roll-on negro 60cc c/u</v>
      </c>
    </row>
    <row r="75" spans="2:12" ht="15.75" x14ac:dyDescent="0.3">
      <c r="B75" s="132">
        <f t="shared" si="1"/>
        <v>72</v>
      </c>
      <c r="C75" s="134" t="s">
        <v>825</v>
      </c>
      <c r="D75" s="134" t="s">
        <v>826</v>
      </c>
      <c r="E75" s="135">
        <v>5</v>
      </c>
      <c r="F75" s="135">
        <v>5</v>
      </c>
      <c r="G75" s="135">
        <v>10</v>
      </c>
      <c r="H75" s="136">
        <v>20.52</v>
      </c>
      <c r="I75" s="129">
        <f>Tabla8[[#This Row],[Precio]]*1.15</f>
        <v>23.597999999999999</v>
      </c>
      <c r="J75" s="129">
        <f>Tabla8[[#This Row],[Precio con ISV]]*Tabla8[[#This Row],[Cantidad]]</f>
        <v>235.98</v>
      </c>
      <c r="L75" t="str">
        <f>LOWER(Tabla8[[#This Row],[Descripción]])</f>
        <v>tinta para sellos en bote roll-on azul 60cc c/u</v>
      </c>
    </row>
    <row r="76" spans="2:12" ht="15.75" x14ac:dyDescent="0.3">
      <c r="B76" s="132" t="s">
        <v>581</v>
      </c>
      <c r="C76" s="134"/>
      <c r="D76" s="134"/>
      <c r="E76" s="134"/>
      <c r="F76" s="134"/>
      <c r="G76" s="132"/>
      <c r="H76" s="139"/>
      <c r="I76" s="134"/>
      <c r="J76" s="129">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86"/>
  <sheetViews>
    <sheetView topLeftCell="K198" zoomScale="104" zoomScaleNormal="100" workbookViewId="0">
      <selection activeCell="R199" sqref="R199"/>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373</v>
      </c>
      <c r="B1" s="2" t="s">
        <v>4</v>
      </c>
      <c r="C1" s="2" t="s">
        <v>374</v>
      </c>
      <c r="D1" s="2" t="s">
        <v>375</v>
      </c>
      <c r="E1" s="2" t="s">
        <v>376</v>
      </c>
      <c r="F1" s="2" t="s">
        <v>377</v>
      </c>
      <c r="G1" s="2" t="s">
        <v>378</v>
      </c>
      <c r="H1" s="2" t="s">
        <v>379</v>
      </c>
      <c r="I1" s="8" t="s">
        <v>661</v>
      </c>
      <c r="J1" s="2" t="s">
        <v>662</v>
      </c>
      <c r="K1" s="8" t="s">
        <v>382</v>
      </c>
      <c r="L1" s="2" t="s">
        <v>383</v>
      </c>
      <c r="M1" s="8" t="s">
        <v>384</v>
      </c>
      <c r="N1" s="13" t="s">
        <v>385</v>
      </c>
      <c r="O1" s="13" t="s">
        <v>386</v>
      </c>
      <c r="P1" s="2" t="s">
        <v>387</v>
      </c>
      <c r="Q1" s="2" t="s">
        <v>5</v>
      </c>
      <c r="R1" s="2" t="s">
        <v>388</v>
      </c>
      <c r="S1" s="2" t="s">
        <v>389</v>
      </c>
      <c r="T1" s="13" t="s">
        <v>390</v>
      </c>
      <c r="Y1" s="149"/>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5"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5"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5"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5"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5"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5"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5"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5"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5"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5"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5"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5"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5"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5"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94"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44545640.859999999</v>
      </c>
      <c r="P127" s="14">
        <f t="shared" ref="P127:P177" si="15">N127-O127</f>
        <v>-44545640.859999999</v>
      </c>
      <c r="Q127" s="2" t="s">
        <v>18</v>
      </c>
      <c r="R127" s="38"/>
      <c r="S127" s="12"/>
      <c r="T127" s="13">
        <v>44545640.859999999</v>
      </c>
    </row>
    <row r="128" spans="1:20" s="3" customFormat="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outlineLevel="1" x14ac:dyDescent="0.25">
      <c r="A131" s="2">
        <f>ROW(DIARIO[[#This Row],[Nombre de Cuenta]])-1</f>
        <v>130</v>
      </c>
      <c r="B131" s="2"/>
      <c r="C131" s="12" t="s">
        <v>46</v>
      </c>
      <c r="D131" s="2">
        <f>VLOOKUP(C131,CATALOGO[],2,FALSE)</f>
        <v>5</v>
      </c>
      <c r="E131" s="12" t="str">
        <f>VLOOKUP(DIARIO[[#This Row],[Objeto de Gasto]],CATALOGO[],3,FALSE)</f>
        <v>11520 Decimocuarto Mes</v>
      </c>
      <c r="F131" s="12"/>
      <c r="G131" s="12" t="s">
        <v>427</v>
      </c>
      <c r="H131" s="2"/>
      <c r="I131" s="8"/>
      <c r="J131" s="2"/>
      <c r="K131" s="8"/>
      <c r="L131" s="2"/>
      <c r="M131" s="8"/>
      <c r="N131" s="13"/>
      <c r="O131" s="13">
        <v>8895921.4499999993</v>
      </c>
      <c r="P131" s="14">
        <f>N131-O131</f>
        <v>-8895921.4499999993</v>
      </c>
      <c r="Q131" s="2" t="s">
        <v>18</v>
      </c>
      <c r="R131" s="38"/>
      <c r="S131" s="12"/>
      <c r="T131" s="13">
        <v>8895921.4499999993</v>
      </c>
    </row>
    <row r="132" spans="1:20" s="3" customFormat="1" outlineLevel="1" x14ac:dyDescent="0.25">
      <c r="A132" s="2">
        <f>ROW(DIARIO[[#This Row],[Nombre de Cuenta]])-1</f>
        <v>131</v>
      </c>
      <c r="B132" s="2"/>
      <c r="C132" s="12" t="s">
        <v>51</v>
      </c>
      <c r="D132" s="2">
        <f>VLOOKUP(C132,CATALOGO[],2,FALSE)</f>
        <v>6</v>
      </c>
      <c r="E132" s="12" t="str">
        <f>VLOOKUP(DIARIO[[#This Row],[Objeto de Gasto]],CATALOGO[],3,FALSE)</f>
        <v>11600 Complementos</v>
      </c>
      <c r="F132" s="12"/>
      <c r="G132" s="12" t="s">
        <v>427</v>
      </c>
      <c r="H132" s="2"/>
      <c r="I132" s="8"/>
      <c r="J132" s="2"/>
      <c r="K132" s="8"/>
      <c r="L132" s="2"/>
      <c r="M132" s="8"/>
      <c r="N132" s="13"/>
      <c r="O132" s="13">
        <v>3855900.66</v>
      </c>
      <c r="P132" s="14">
        <f t="shared" si="15"/>
        <v>-3855900.66</v>
      </c>
      <c r="Q132" s="2" t="s">
        <v>18</v>
      </c>
      <c r="R132" s="38"/>
      <c r="S132" s="12"/>
      <c r="T132" s="13">
        <v>3855900.66</v>
      </c>
    </row>
    <row r="133" spans="1:20" s="3" customFormat="1" outlineLevel="1" x14ac:dyDescent="0.25">
      <c r="A133" s="2">
        <f>ROW(DIARIO[[#This Row],[Nombre de Cuenta]])-1</f>
        <v>132</v>
      </c>
      <c r="B133" s="2"/>
      <c r="C133" s="12" t="s">
        <v>56</v>
      </c>
      <c r="D133" s="2">
        <f>VLOOKUP(C133,CATALOGO[],2,FALSE)</f>
        <v>7</v>
      </c>
      <c r="E133" s="12" t="str">
        <f>VLOOKUP(DIARIO[[#This Row],[Objeto de Gasto]],CATALOGO[],3,FALSE)</f>
        <v>11710 Contribuciones Al Injupemp</v>
      </c>
      <c r="F133" s="12"/>
      <c r="G133" s="12" t="s">
        <v>427</v>
      </c>
      <c r="H133" s="2"/>
      <c r="I133" s="8"/>
      <c r="J133" s="2"/>
      <c r="K133" s="8"/>
      <c r="L133" s="2"/>
      <c r="M133" s="8"/>
      <c r="N133" s="13"/>
      <c r="O133" s="13">
        <v>6343709.8899999997</v>
      </c>
      <c r="P133" s="14">
        <f t="shared" si="15"/>
        <v>-6343709.8899999997</v>
      </c>
      <c r="Q133" s="2" t="s">
        <v>18</v>
      </c>
      <c r="R133" s="38"/>
      <c r="S133" s="12"/>
      <c r="T133" s="13"/>
    </row>
    <row r="134" spans="1:20" s="3" customFormat="1" outlineLevel="1" x14ac:dyDescent="0.25">
      <c r="A134" s="2">
        <f>ROW(DIARIO[[#This Row],[Nombre de Cuenta]])-1</f>
        <v>133</v>
      </c>
      <c r="B134" s="2"/>
      <c r="C134" s="12" t="s">
        <v>61</v>
      </c>
      <c r="D134" s="2">
        <f>VLOOKUP(C134,CATALOGO[],2,FALSE)</f>
        <v>8</v>
      </c>
      <c r="E134" s="12" t="str">
        <f>VLOOKUP(DIARIO[[#This Row],[Objeto de Gasto]],CATALOGO[],3,FALSE)</f>
        <v>11750 Contribuciones Para El Seguro Social</v>
      </c>
      <c r="F134" s="12"/>
      <c r="G134" s="12" t="s">
        <v>427</v>
      </c>
      <c r="H134" s="2"/>
      <c r="I134" s="8"/>
      <c r="J134" s="2"/>
      <c r="K134" s="8"/>
      <c r="L134" s="2"/>
      <c r="M134" s="8"/>
      <c r="N134" s="13"/>
      <c r="O134" s="13">
        <v>660822.77</v>
      </c>
      <c r="P134" s="14">
        <f t="shared" si="15"/>
        <v>-660822.77</v>
      </c>
      <c r="Q134" s="2" t="s">
        <v>18</v>
      </c>
      <c r="R134" s="38"/>
      <c r="S134" s="12"/>
      <c r="T134" s="13">
        <v>660822.77</v>
      </c>
    </row>
    <row r="135" spans="1:20" s="3" customFormat="1" outlineLevel="1" x14ac:dyDescent="0.25">
      <c r="A135" s="2">
        <f>ROW(DIARIO[[#This Row],[Nombre de Cuenta]])-1</f>
        <v>134</v>
      </c>
      <c r="B135" s="2"/>
      <c r="C135" s="12" t="s">
        <v>69</v>
      </c>
      <c r="D135" s="2">
        <f>VLOOKUP(C135,CATALOGO[],2,FALSE)</f>
        <v>9</v>
      </c>
      <c r="E135" s="12" t="str">
        <f>VLOOKUP(DIARIO[[#This Row],[Objeto de Gasto]],CATALOGO[],3,FALSE)</f>
        <v>12100 Sueldos Basicos</v>
      </c>
      <c r="F135" s="12"/>
      <c r="G135" s="12" t="s">
        <v>427</v>
      </c>
      <c r="H135" s="2"/>
      <c r="I135" s="8"/>
      <c r="J135" s="2"/>
      <c r="K135" s="8"/>
      <c r="L135" s="2"/>
      <c r="M135" s="8"/>
      <c r="N135" s="13"/>
      <c r="O135" s="13">
        <v>10659086.655121563</v>
      </c>
      <c r="P135" s="14">
        <f t="shared" ref="P135:P145" si="16">N135-O135</f>
        <v>-10659086.655121563</v>
      </c>
      <c r="Q135" s="2" t="s">
        <v>18</v>
      </c>
      <c r="R135" s="38"/>
      <c r="S135" s="12"/>
      <c r="T135" s="13">
        <v>10659086.655121563</v>
      </c>
    </row>
    <row r="136" spans="1:20" s="3" customFormat="1" outlineLevel="1" x14ac:dyDescent="0.25">
      <c r="A136" s="2">
        <f>ROW(DIARIO[[#This Row],[Nombre de Cuenta]])-1</f>
        <v>135</v>
      </c>
      <c r="B136" s="2"/>
      <c r="C136" s="12" t="s">
        <v>392</v>
      </c>
      <c r="D136" s="2">
        <f>VLOOKUP(C136,CATALOGO[],2,FALSE)</f>
        <v>9</v>
      </c>
      <c r="E136" s="12" t="str">
        <f>VLOOKUP(DIARIO[[#This Row],[Objeto de Gasto]],CATALOGO[],3,FALSE)</f>
        <v>12100 Sueldos Basicos</v>
      </c>
      <c r="F136" s="12"/>
      <c r="G136" s="12" t="s">
        <v>427</v>
      </c>
      <c r="H136" s="2"/>
      <c r="I136" s="8"/>
      <c r="J136" s="2"/>
      <c r="K136" s="8"/>
      <c r="L136" s="2"/>
      <c r="M136" s="8"/>
      <c r="N136" s="13"/>
      <c r="O136" s="13">
        <v>7168849.8839231944</v>
      </c>
      <c r="P136" s="14">
        <f t="shared" si="16"/>
        <v>-7168849.8839231944</v>
      </c>
      <c r="Q136" s="2" t="s">
        <v>18</v>
      </c>
      <c r="R136" s="38"/>
      <c r="S136" s="12"/>
      <c r="T136" s="13">
        <v>7168849.8839231944</v>
      </c>
    </row>
    <row r="137" spans="1:20" s="3" customFormat="1" outlineLevel="1" x14ac:dyDescent="0.25">
      <c r="A137" s="2">
        <f>ROW(DIARIO[[#This Row],[Nombre de Cuenta]])-1</f>
        <v>136</v>
      </c>
      <c r="B137" s="2"/>
      <c r="C137" s="12" t="s">
        <v>70</v>
      </c>
      <c r="D137" s="2">
        <f>VLOOKUP(C137,CATALOGO[],2,FALSE)</f>
        <v>9</v>
      </c>
      <c r="E137" s="12" t="str">
        <f>VLOOKUP(DIARIO[[#This Row],[Objeto de Gasto]],CATALOGO[],3,FALSE)</f>
        <v>12100 Sueldos Basicos</v>
      </c>
      <c r="F137" s="12"/>
      <c r="G137" s="12" t="s">
        <v>427</v>
      </c>
      <c r="H137" s="2"/>
      <c r="I137" s="8"/>
      <c r="J137" s="2"/>
      <c r="K137" s="8"/>
      <c r="L137" s="2"/>
      <c r="M137" s="8"/>
      <c r="N137" s="13"/>
      <c r="O137" s="13">
        <v>7135004.9112153826</v>
      </c>
      <c r="P137" s="14">
        <f t="shared" si="16"/>
        <v>-7135004.9112153826</v>
      </c>
      <c r="Q137" s="2" t="s">
        <v>18</v>
      </c>
      <c r="R137" s="38"/>
      <c r="S137" s="12"/>
      <c r="T137" s="13">
        <v>7135004.9112153826</v>
      </c>
    </row>
    <row r="138" spans="1:20" s="3" customFormat="1" outlineLevel="1" x14ac:dyDescent="0.25">
      <c r="A138" s="2">
        <f>ROW(DIARIO[[#This Row],[Nombre de Cuenta]])-1</f>
        <v>137</v>
      </c>
      <c r="B138" s="2"/>
      <c r="C138" s="12" t="s">
        <v>66</v>
      </c>
      <c r="D138" s="2">
        <f>VLOOKUP(C138,CATALOGO[],2,FALSE)</f>
        <v>9</v>
      </c>
      <c r="E138" s="12" t="str">
        <f>VLOOKUP(DIARIO[[#This Row],[Objeto de Gasto]],CATALOGO[],3,FALSE)</f>
        <v>12100 Sueldos Basicos</v>
      </c>
      <c r="F138" s="12"/>
      <c r="G138" s="12" t="s">
        <v>427</v>
      </c>
      <c r="H138" s="2"/>
      <c r="I138" s="8"/>
      <c r="J138" s="2"/>
      <c r="K138" s="8"/>
      <c r="L138" s="2"/>
      <c r="M138" s="8"/>
      <c r="N138" s="13"/>
      <c r="O138" s="13">
        <v>7206304.9397398606</v>
      </c>
      <c r="P138" s="14">
        <f t="shared" si="16"/>
        <v>-7206304.9397398606</v>
      </c>
      <c r="Q138" s="2" t="s">
        <v>18</v>
      </c>
      <c r="R138" s="38"/>
      <c r="S138" s="12"/>
      <c r="T138" s="13">
        <v>7206304.9397398606</v>
      </c>
    </row>
    <row r="139" spans="1:20" s="3" customFormat="1" outlineLevel="1" x14ac:dyDescent="0.25">
      <c r="A139" s="2">
        <f>ROW(DIARIO[[#This Row],[Nombre de Cuenta]])-1</f>
        <v>138</v>
      </c>
      <c r="B139" s="2"/>
      <c r="C139" s="12" t="s">
        <v>79</v>
      </c>
      <c r="D139" s="2">
        <f>VLOOKUP(C139,CATALOGO[],2,FALSE)</f>
        <v>11</v>
      </c>
      <c r="E139" s="12" t="str">
        <f>VLOOKUP(DIARIO[[#This Row],[Objeto de Gasto]],CATALOGO[],3,FALSE)</f>
        <v>12420 Decimocuarto Mes</v>
      </c>
      <c r="F139" s="12"/>
      <c r="G139" s="12" t="s">
        <v>427</v>
      </c>
      <c r="H139" s="2"/>
      <c r="I139" s="8"/>
      <c r="J139" s="2"/>
      <c r="K139" s="8"/>
      <c r="L139" s="2"/>
      <c r="M139" s="8"/>
      <c r="N139" s="13"/>
      <c r="O139" s="13">
        <v>2985454.8691764362</v>
      </c>
      <c r="P139" s="14">
        <f>N139-O139</f>
        <v>-2985454.8691764362</v>
      </c>
      <c r="Q139" s="2" t="s">
        <v>18</v>
      </c>
      <c r="R139" s="38"/>
      <c r="S139" s="12"/>
      <c r="T139" s="13">
        <v>2985454.8691764362</v>
      </c>
    </row>
    <row r="140" spans="1:20" s="3" customFormat="1" outlineLevel="1" x14ac:dyDescent="0.25">
      <c r="A140" s="2">
        <f>ROW(DIARIO[[#This Row],[Nombre de Cuenta]])-1</f>
        <v>139</v>
      </c>
      <c r="B140" s="2"/>
      <c r="C140" s="12" t="s">
        <v>394</v>
      </c>
      <c r="D140" s="2">
        <f>VLOOKUP(C140,CATALOGO[],2,FALSE)</f>
        <v>11</v>
      </c>
      <c r="E140" s="12" t="str">
        <f>VLOOKUP(DIARIO[[#This Row],[Objeto de Gasto]],CATALOGO[],3,FALSE)</f>
        <v>12420 Decimocuarto Mes</v>
      </c>
      <c r="F140" s="12"/>
      <c r="G140" s="12" t="s">
        <v>427</v>
      </c>
      <c r="H140" s="2"/>
      <c r="I140" s="8"/>
      <c r="J140" s="2"/>
      <c r="K140" s="8"/>
      <c r="L140" s="2"/>
      <c r="M140" s="8"/>
      <c r="N140" s="13"/>
      <c r="O140" s="13">
        <v>1658031.0193925884</v>
      </c>
      <c r="P140" s="14">
        <f>N140-O140</f>
        <v>-1658031.0193925884</v>
      </c>
      <c r="Q140" s="2" t="s">
        <v>18</v>
      </c>
      <c r="R140" s="38"/>
      <c r="S140" s="12"/>
      <c r="T140" s="13">
        <v>1658031.0193925884</v>
      </c>
    </row>
    <row r="141" spans="1:20" s="3" customFormat="1" outlineLevel="1" x14ac:dyDescent="0.25">
      <c r="A141" s="2">
        <f>ROW(DIARIO[[#This Row],[Nombre de Cuenta]])-1</f>
        <v>140</v>
      </c>
      <c r="B141" s="2"/>
      <c r="C141" s="12" t="s">
        <v>80</v>
      </c>
      <c r="D141" s="2">
        <f>VLOOKUP(C141,CATALOGO[],2,FALSE)</f>
        <v>11</v>
      </c>
      <c r="E141" s="12" t="str">
        <f>VLOOKUP(DIARIO[[#This Row],[Objeto de Gasto]],CATALOGO[],3,FALSE)</f>
        <v>12420 Decimocuarto Mes</v>
      </c>
      <c r="F141" s="12"/>
      <c r="G141" s="12" t="s">
        <v>427</v>
      </c>
      <c r="H141" s="2"/>
      <c r="I141" s="8"/>
      <c r="J141" s="2"/>
      <c r="K141" s="8"/>
      <c r="L141" s="2"/>
      <c r="M141" s="8"/>
      <c r="N141" s="13"/>
      <c r="O141" s="13">
        <v>1248778.1641072978</v>
      </c>
      <c r="P141" s="14">
        <f>N141-O141</f>
        <v>-1248778.1641072978</v>
      </c>
      <c r="Q141" s="2" t="s">
        <v>18</v>
      </c>
      <c r="R141" s="38"/>
      <c r="S141" s="12"/>
      <c r="T141" s="13">
        <v>1248778.1641072978</v>
      </c>
    </row>
    <row r="142" spans="1:20" s="3" customFormat="1" outlineLevel="1" x14ac:dyDescent="0.25">
      <c r="A142" s="2">
        <f>ROW(DIARIO[[#This Row],[Nombre de Cuenta]])-1</f>
        <v>141</v>
      </c>
      <c r="B142" s="2"/>
      <c r="C142" s="12" t="s">
        <v>76</v>
      </c>
      <c r="D142" s="2">
        <f>VLOOKUP(C142,CATALOGO[],2,FALSE)</f>
        <v>11</v>
      </c>
      <c r="E142" s="12" t="str">
        <f>VLOOKUP(DIARIO[[#This Row],[Objeto de Gasto]],CATALOGO[],3,FALSE)</f>
        <v>12420 Decimocuarto Mes</v>
      </c>
      <c r="F142" s="12"/>
      <c r="G142" s="12" t="s">
        <v>427</v>
      </c>
      <c r="H142" s="2"/>
      <c r="I142" s="8"/>
      <c r="J142" s="2"/>
      <c r="K142" s="8"/>
      <c r="L142" s="2"/>
      <c r="M142" s="8"/>
      <c r="N142" s="13"/>
      <c r="O142" s="13">
        <v>521758.63732367754</v>
      </c>
      <c r="P142" s="14">
        <f>N142-O142</f>
        <v>-521758.63732367754</v>
      </c>
      <c r="Q142" s="2" t="s">
        <v>18</v>
      </c>
      <c r="R142" s="38"/>
      <c r="S142" s="12"/>
      <c r="T142" s="13">
        <v>521758.63732367754</v>
      </c>
    </row>
    <row r="143" spans="1:20" s="3" customFormat="1" outlineLevel="1" x14ac:dyDescent="0.25">
      <c r="A143" s="2">
        <f>ROW(DIARIO[[#This Row],[Nombre de Cuenta]])-1</f>
        <v>142</v>
      </c>
      <c r="B143" s="2"/>
      <c r="C143" s="12" t="s">
        <v>84</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123077.45982673923</v>
      </c>
      <c r="P143" s="14">
        <f t="shared" si="16"/>
        <v>-123077.45982673923</v>
      </c>
      <c r="Q143" s="2" t="s">
        <v>18</v>
      </c>
      <c r="R143" s="38"/>
      <c r="S143" s="12"/>
      <c r="T143" s="13">
        <v>55648.055386624954</v>
      </c>
    </row>
    <row r="144" spans="1:20" s="3" customFormat="1" outlineLevel="1" x14ac:dyDescent="0.25">
      <c r="A144" s="2">
        <f>ROW(DIARIO[[#This Row],[Nombre de Cuenta]])-1</f>
        <v>143</v>
      </c>
      <c r="B144" s="2"/>
      <c r="C144" s="12" t="s">
        <v>395</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241328.35107589324</v>
      </c>
      <c r="P144" s="14">
        <f t="shared" si="16"/>
        <v>-241328.35107589324</v>
      </c>
      <c r="Q144" s="2" t="s">
        <v>18</v>
      </c>
      <c r="R144" s="38"/>
      <c r="S144" s="12"/>
      <c r="T144" s="13">
        <v>109113.83340165881</v>
      </c>
    </row>
    <row r="145" spans="1:20" s="3" customFormat="1" outlineLevel="1" x14ac:dyDescent="0.25">
      <c r="A145" s="2">
        <f>ROW(DIARIO[[#This Row],[Nombre de Cuenta]])-1</f>
        <v>144</v>
      </c>
      <c r="B145" s="2"/>
      <c r="C145" s="12" t="s">
        <v>81</v>
      </c>
      <c r="D145" s="2">
        <f>VLOOKUP(C145,CATALOGO[],2,FALSE)</f>
        <v>12</v>
      </c>
      <c r="E145" s="12" t="str">
        <f>VLOOKUP(DIARIO[[#This Row],[Objeto de Gasto]],CATALOGO[],3,FALSE)</f>
        <v>12550 Contribuciones Para El Seguro Social</v>
      </c>
      <c r="F145" s="12"/>
      <c r="G145" s="12" t="s">
        <v>427</v>
      </c>
      <c r="H145" s="2"/>
      <c r="I145" s="8"/>
      <c r="J145" s="2"/>
      <c r="K145" s="8"/>
      <c r="L145" s="2"/>
      <c r="M145" s="8"/>
      <c r="N145" s="13"/>
      <c r="O145" s="13">
        <v>57556.63909736753</v>
      </c>
      <c r="P145" s="14">
        <f t="shared" si="16"/>
        <v>-57556.63909736753</v>
      </c>
      <c r="Q145" s="2" t="s">
        <v>18</v>
      </c>
      <c r="R145" s="38"/>
      <c r="S145" s="12"/>
      <c r="T145" s="13">
        <v>26023.571211716226</v>
      </c>
    </row>
    <row r="146" spans="1:20" s="3" customFormat="1" outlineLevel="1" x14ac:dyDescent="0.25">
      <c r="A146" s="2">
        <f>ROW(DIARIO[[#This Row],[Nombre de Cuenta]])-1</f>
        <v>145</v>
      </c>
      <c r="B146" s="2"/>
      <c r="C146" s="12" t="s">
        <v>352</v>
      </c>
      <c r="D146" s="2">
        <f>VLOOKUP(C146,CATALOGO[],2,FALSE)</f>
        <v>63</v>
      </c>
      <c r="E146" s="12" t="str">
        <f>VLOOKUP(DIARIO[[#This Row],[Objeto de Gasto]],CATALOGO[],3,FALSE)</f>
        <v>14100 Horas Extraordinarias</v>
      </c>
      <c r="F146" s="12"/>
      <c r="G146" s="12" t="s">
        <v>427</v>
      </c>
      <c r="H146" s="2"/>
      <c r="I146" s="8"/>
      <c r="J146" s="2"/>
      <c r="K146" s="8"/>
      <c r="L146" s="2"/>
      <c r="M146" s="8"/>
      <c r="N146" s="13"/>
      <c r="O146" s="13">
        <v>293085.44</v>
      </c>
      <c r="P146" s="14">
        <f t="shared" si="15"/>
        <v>-293085.44</v>
      </c>
      <c r="Q146" s="2" t="s">
        <v>18</v>
      </c>
      <c r="R146" s="38"/>
      <c r="S146" s="12"/>
      <c r="T146" s="13">
        <v>293085.44</v>
      </c>
    </row>
    <row r="147" spans="1:20" s="3" customFormat="1" ht="30"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770</v>
      </c>
      <c r="H147" s="2"/>
      <c r="I147" s="8"/>
      <c r="J147" s="2"/>
      <c r="K147" s="8"/>
      <c r="L147" s="2"/>
      <c r="M147" s="8"/>
      <c r="N147" s="13">
        <v>3782189</v>
      </c>
      <c r="O147" s="13"/>
      <c r="P147" s="14">
        <f t="shared" ref="P147:P155" si="17">N147-O147</f>
        <v>3782189</v>
      </c>
      <c r="Q147" s="2" t="s">
        <v>33</v>
      </c>
      <c r="R147" s="38"/>
      <c r="S147" s="12"/>
      <c r="T147" s="13"/>
    </row>
    <row r="148" spans="1:20" s="3" customFormat="1" ht="30" outlineLevel="1" x14ac:dyDescent="0.25">
      <c r="A148" s="2">
        <f>ROW(DIARIO[[#This Row],[Nombre de Cuenta]])-1</f>
        <v>147</v>
      </c>
      <c r="B148" s="2"/>
      <c r="C148" s="12" t="s">
        <v>39</v>
      </c>
      <c r="D148" s="2">
        <f>VLOOKUP(C148,CATALOGO[],2,FALSE)</f>
        <v>3</v>
      </c>
      <c r="E148" s="12" t="str">
        <f>VLOOKUP(DIARIO[[#This Row],[Objeto de Gasto]],CATALOGO[],3,FALSE)</f>
        <v>11400 Adicionales</v>
      </c>
      <c r="F148" s="12"/>
      <c r="G148" s="12" t="s">
        <v>769</v>
      </c>
      <c r="H148" s="2"/>
      <c r="I148" s="8"/>
      <c r="J148" s="2"/>
      <c r="K148" s="8"/>
      <c r="L148" s="2"/>
      <c r="M148" s="8"/>
      <c r="N148" s="13"/>
      <c r="O148" s="13">
        <v>943096.41916965332</v>
      </c>
      <c r="P148" s="14">
        <f t="shared" si="17"/>
        <v>-943096.41916965332</v>
      </c>
      <c r="Q148" s="2" t="s">
        <v>33</v>
      </c>
      <c r="R148" s="38"/>
      <c r="S148" s="12"/>
      <c r="T148" s="13"/>
    </row>
    <row r="149" spans="1:20" s="3" customFormat="1" ht="30" outlineLevel="1" x14ac:dyDescent="0.25">
      <c r="A149" s="2">
        <f>ROW(DIARIO[[#This Row],[Nombre de Cuenta]])-1</f>
        <v>148</v>
      </c>
      <c r="B149" s="2"/>
      <c r="C149" s="12" t="s">
        <v>391</v>
      </c>
      <c r="D149" s="2">
        <f>VLOOKUP(C149,CATALOGO[],2,FALSE)</f>
        <v>3</v>
      </c>
      <c r="E149" s="12" t="str">
        <f>VLOOKUP(DIARIO[[#This Row],[Objeto de Gasto]],CATALOGO[],3,FALSE)</f>
        <v>11400 Adicionales</v>
      </c>
      <c r="F149" s="12"/>
      <c r="G149" s="12" t="s">
        <v>769</v>
      </c>
      <c r="H149" s="2"/>
      <c r="I149" s="8"/>
      <c r="J149" s="2"/>
      <c r="K149" s="8"/>
      <c r="L149" s="2"/>
      <c r="M149" s="8"/>
      <c r="N149" s="13"/>
      <c r="O149" s="13">
        <v>1599661.2959497606</v>
      </c>
      <c r="P149" s="14">
        <f t="shared" si="17"/>
        <v>-1599661.2959497606</v>
      </c>
      <c r="Q149" s="2" t="s">
        <v>33</v>
      </c>
      <c r="R149" s="38"/>
      <c r="S149" s="12"/>
      <c r="T149" s="13"/>
    </row>
    <row r="150" spans="1:20" s="3" customFormat="1" ht="30" outlineLevel="1" x14ac:dyDescent="0.25">
      <c r="A150" s="2">
        <f>ROW(DIARIO[[#This Row],[Nombre de Cuenta]])-1</f>
        <v>149</v>
      </c>
      <c r="B150" s="2"/>
      <c r="C150" s="12" t="s">
        <v>36</v>
      </c>
      <c r="D150" s="2">
        <f>VLOOKUP(C150,CATALOGO[],2,FALSE)</f>
        <v>3</v>
      </c>
      <c r="E150" s="12" t="str">
        <f>VLOOKUP(DIARIO[[#This Row],[Objeto de Gasto]],CATALOGO[],3,FALSE)</f>
        <v>11400 Adicionales</v>
      </c>
      <c r="F150" s="12"/>
      <c r="G150" s="12" t="s">
        <v>769</v>
      </c>
      <c r="H150" s="2"/>
      <c r="I150" s="8"/>
      <c r="J150" s="2"/>
      <c r="K150" s="8"/>
      <c r="L150" s="2"/>
      <c r="M150" s="8"/>
      <c r="N150" s="13"/>
      <c r="O150" s="13">
        <v>4387242.284880586</v>
      </c>
      <c r="P150" s="14">
        <f t="shared" si="17"/>
        <v>-4387242.284880586</v>
      </c>
      <c r="Q150" s="2" t="s">
        <v>33</v>
      </c>
      <c r="R150" s="38"/>
      <c r="S150" s="12"/>
      <c r="T150" s="13"/>
    </row>
    <row r="151" spans="1:20" s="3" customFormat="1" ht="30" outlineLevel="1" x14ac:dyDescent="0.25">
      <c r="A151" s="2">
        <f>ROW(DIARIO[[#This Row],[Nombre de Cuenta]])-1</f>
        <v>150</v>
      </c>
      <c r="B151" s="2"/>
      <c r="C151" s="12" t="s">
        <v>41</v>
      </c>
      <c r="D151" s="2">
        <f>VLOOKUP(C151,CATALOGO[],2,FALSE)</f>
        <v>4</v>
      </c>
      <c r="E151" s="12" t="str">
        <f>VLOOKUP(DIARIO[[#This Row],[Objeto de Gasto]],CATALOGO[],3,FALSE)</f>
        <v>11510 Decimotercer Mes</v>
      </c>
      <c r="F151" s="12"/>
      <c r="G151" s="12" t="s">
        <v>770</v>
      </c>
      <c r="H151" s="2"/>
      <c r="I151" s="8"/>
      <c r="J151" s="2"/>
      <c r="K151" s="8"/>
      <c r="L151" s="2"/>
      <c r="M151" s="8"/>
      <c r="N151" s="13">
        <v>315183</v>
      </c>
      <c r="O151" s="13"/>
      <c r="P151" s="14">
        <f t="shared" si="17"/>
        <v>315183</v>
      </c>
      <c r="Q151" s="2" t="s">
        <v>33</v>
      </c>
      <c r="R151" s="38"/>
      <c r="S151" s="12"/>
      <c r="T151" s="13"/>
    </row>
    <row r="152" spans="1:20" s="3" customFormat="1" ht="30" outlineLevel="1" x14ac:dyDescent="0.25">
      <c r="A152" s="2">
        <f>ROW(DIARIO[[#This Row],[Nombre de Cuenta]])-1</f>
        <v>151</v>
      </c>
      <c r="B152" s="2"/>
      <c r="C152" s="12" t="s">
        <v>46</v>
      </c>
      <c r="D152" s="2">
        <f>VLOOKUP(C152,CATALOGO[],2,FALSE)</f>
        <v>5</v>
      </c>
      <c r="E152" s="12" t="str">
        <f>VLOOKUP(DIARIO[[#This Row],[Objeto de Gasto]],CATALOGO[],3,FALSE)</f>
        <v>11520 Decimocuarto Mes</v>
      </c>
      <c r="F152" s="12"/>
      <c r="G152" s="12" t="s">
        <v>770</v>
      </c>
      <c r="H152" s="2"/>
      <c r="I152" s="8"/>
      <c r="J152" s="2"/>
      <c r="K152" s="8"/>
      <c r="L152" s="2"/>
      <c r="M152" s="8"/>
      <c r="N152" s="13">
        <v>315183</v>
      </c>
      <c r="O152" s="13"/>
      <c r="P152" s="14">
        <f t="shared" si="17"/>
        <v>315183</v>
      </c>
      <c r="Q152" s="2" t="s">
        <v>33</v>
      </c>
      <c r="R152" s="38"/>
      <c r="S152" s="12"/>
      <c r="T152" s="13"/>
    </row>
    <row r="153" spans="1:20" s="3" customFormat="1" ht="30" outlineLevel="1" x14ac:dyDescent="0.25">
      <c r="A153" s="2">
        <f>ROW(DIARIO[[#This Row],[Nombre de Cuenta]])-1</f>
        <v>152</v>
      </c>
      <c r="B153" s="2"/>
      <c r="C153" s="12" t="s">
        <v>51</v>
      </c>
      <c r="D153" s="2">
        <f>VLOOKUP(C153,CATALOGO[],2,FALSE)</f>
        <v>6</v>
      </c>
      <c r="E153" s="12" t="str">
        <f>VLOOKUP(DIARIO[[#This Row],[Objeto de Gasto]],CATALOGO[],3,FALSE)</f>
        <v>11600 Complementos</v>
      </c>
      <c r="F153" s="12"/>
      <c r="G153" s="12" t="s">
        <v>770</v>
      </c>
      <c r="H153" s="2"/>
      <c r="I153" s="8"/>
      <c r="J153" s="2"/>
      <c r="K153" s="8"/>
      <c r="L153" s="2"/>
      <c r="M153" s="8"/>
      <c r="N153" s="13">
        <v>315183</v>
      </c>
      <c r="O153" s="13"/>
      <c r="P153" s="14">
        <f t="shared" si="17"/>
        <v>315183</v>
      </c>
      <c r="Q153" s="2" t="s">
        <v>33</v>
      </c>
      <c r="R153" s="38"/>
      <c r="S153" s="12"/>
      <c r="T153" s="13"/>
    </row>
    <row r="154" spans="1:20" s="3" customFormat="1" ht="30" outlineLevel="1" x14ac:dyDescent="0.25">
      <c r="A154" s="2">
        <f>ROW(DIARIO[[#This Row],[Nombre de Cuenta]])-1</f>
        <v>153</v>
      </c>
      <c r="B154" s="2"/>
      <c r="C154" s="12" t="s">
        <v>56</v>
      </c>
      <c r="D154" s="2">
        <f>VLOOKUP(C154,CATALOGO[],2,FALSE)</f>
        <v>7</v>
      </c>
      <c r="E154" s="12" t="str">
        <f>VLOOKUP(DIARIO[[#This Row],[Objeto de Gasto]],CATALOGO[],3,FALSE)</f>
        <v>11710 Contribuciones Al Injupemp</v>
      </c>
      <c r="F154" s="12"/>
      <c r="G154" s="12" t="s">
        <v>770</v>
      </c>
      <c r="H154" s="2"/>
      <c r="I154" s="8"/>
      <c r="J154" s="2"/>
      <c r="K154" s="8"/>
      <c r="L154" s="2"/>
      <c r="M154" s="8"/>
      <c r="N154" s="13">
        <v>548418</v>
      </c>
      <c r="O154" s="13"/>
      <c r="P154" s="14">
        <f t="shared" si="17"/>
        <v>548418</v>
      </c>
      <c r="Q154" s="2" t="s">
        <v>33</v>
      </c>
      <c r="R154" s="38"/>
      <c r="S154" s="12"/>
      <c r="T154" s="13"/>
    </row>
    <row r="155" spans="1:20" s="3" customFormat="1" ht="30" outlineLevel="1" x14ac:dyDescent="0.25">
      <c r="A155" s="2">
        <f>ROW(DIARIO[[#This Row],[Nombre de Cuenta]])-1</f>
        <v>154</v>
      </c>
      <c r="B155" s="2"/>
      <c r="C155" s="12" t="s">
        <v>352</v>
      </c>
      <c r="D155" s="2">
        <f>VLOOKUP(C155,CATALOGO[],2,FALSE)</f>
        <v>63</v>
      </c>
      <c r="E155" s="12" t="str">
        <f>VLOOKUP(DIARIO[[#This Row],[Objeto de Gasto]],CATALOGO[],3,FALSE)</f>
        <v>14100 Horas Extraordinarias</v>
      </c>
      <c r="F155" s="12"/>
      <c r="G155" s="12" t="s">
        <v>770</v>
      </c>
      <c r="H155" s="2"/>
      <c r="I155" s="8"/>
      <c r="J155" s="2"/>
      <c r="K155" s="8"/>
      <c r="L155" s="2"/>
      <c r="M155" s="8"/>
      <c r="N155" s="13">
        <v>1014081</v>
      </c>
      <c r="O155" s="13"/>
      <c r="P155" s="14">
        <f t="shared" si="17"/>
        <v>1014081</v>
      </c>
      <c r="Q155" s="2" t="s">
        <v>33</v>
      </c>
      <c r="R155" s="38"/>
      <c r="S155" s="12"/>
      <c r="T155" s="13"/>
    </row>
    <row r="156" spans="1:20" s="3" customFormat="1" ht="45" outlineLevel="1" x14ac:dyDescent="0.25">
      <c r="A156" s="53">
        <f>ROW(DIARIO[[#This Row],[Nombre de Cuenta]])-1</f>
        <v>155</v>
      </c>
      <c r="B156" s="55"/>
      <c r="C156" s="56" t="s">
        <v>397</v>
      </c>
      <c r="D156" s="57">
        <f>VLOOKUP(C156,CATALOGO[],2,FALSE)</f>
        <v>15</v>
      </c>
      <c r="E156" s="58" t="str">
        <f>VLOOKUP(DIARIO[[#This Row],[Objeto de Gasto]],CATALOGO[],3,FALSE)</f>
        <v>23200 Mantenimiento Y Reparacion De Equipos Y Medios De Transporte Terrestre</v>
      </c>
      <c r="F156" s="59"/>
      <c r="G156" s="62" t="s">
        <v>428</v>
      </c>
      <c r="H156" s="59"/>
      <c r="I156" s="60"/>
      <c r="J156" s="59"/>
      <c r="K156" s="60"/>
      <c r="L156" s="59"/>
      <c r="M156" s="60"/>
      <c r="N156" s="61"/>
      <c r="O156" s="13">
        <v>660000</v>
      </c>
      <c r="P156" s="61">
        <f t="shared" ref="P156:P166" si="18">N156-O156</f>
        <v>-660000</v>
      </c>
      <c r="Q156" s="55" t="s">
        <v>33</v>
      </c>
      <c r="R156" s="39"/>
      <c r="S156" s="62"/>
      <c r="T156" s="61"/>
    </row>
    <row r="157" spans="1:20" s="3" customFormat="1" ht="30" outlineLevel="1" x14ac:dyDescent="0.25">
      <c r="A157" s="53">
        <f>ROW(DIARIO[[#This Row],[Nombre de Cuenta]])-1</f>
        <v>156</v>
      </c>
      <c r="B157" s="55"/>
      <c r="C157" s="56" t="s">
        <v>155</v>
      </c>
      <c r="D157" s="57">
        <f>VLOOKUP(C157,CATALOGO[],2,FALSE)</f>
        <v>26</v>
      </c>
      <c r="E157" s="58" t="str">
        <f>VLOOKUP(DIARIO[[#This Row],[Objeto de Gasto]],CATALOGO[],3,FALSE)</f>
        <v>27210 Tasas</v>
      </c>
      <c r="F157" s="59"/>
      <c r="G157" s="62" t="s">
        <v>768</v>
      </c>
      <c r="H157" s="59"/>
      <c r="I157" s="60"/>
      <c r="J157" s="59"/>
      <c r="K157" s="60"/>
      <c r="L157" s="59"/>
      <c r="M157" s="60"/>
      <c r="N157" s="61">
        <v>100000</v>
      </c>
      <c r="O157" s="13"/>
      <c r="P157" s="61">
        <f t="shared" si="18"/>
        <v>100000</v>
      </c>
      <c r="Q157" s="55" t="s">
        <v>33</v>
      </c>
      <c r="R157" s="39"/>
      <c r="S157" s="62"/>
      <c r="T157" s="61"/>
    </row>
    <row r="158" spans="1:20" s="3" customFormat="1" ht="30" outlineLevel="1" x14ac:dyDescent="0.25">
      <c r="A158" s="53">
        <f>ROW(DIARIO[[#This Row],[Nombre de Cuenta]])-1</f>
        <v>157</v>
      </c>
      <c r="B158" s="55"/>
      <c r="C158" s="56" t="s">
        <v>154</v>
      </c>
      <c r="D158" s="57">
        <f>VLOOKUP(C158,CATALOGO[],2,FALSE)</f>
        <v>26</v>
      </c>
      <c r="E158" s="58" t="str">
        <f>VLOOKUP(DIARIO[[#This Row],[Objeto de Gasto]],CATALOGO[],3,FALSE)</f>
        <v>27210 Tasas</v>
      </c>
      <c r="F158" s="59"/>
      <c r="G158" s="62" t="s">
        <v>768</v>
      </c>
      <c r="H158" s="59"/>
      <c r="I158" s="60"/>
      <c r="J158" s="59"/>
      <c r="K158" s="60"/>
      <c r="L158" s="59"/>
      <c r="M158" s="60"/>
      <c r="N158" s="61">
        <v>100000</v>
      </c>
      <c r="O158" s="13"/>
      <c r="P158" s="61">
        <f>N158-O158</f>
        <v>100000</v>
      </c>
      <c r="Q158" s="55" t="s">
        <v>33</v>
      </c>
      <c r="R158" s="39"/>
      <c r="S158" s="62"/>
      <c r="T158" s="61"/>
    </row>
    <row r="159" spans="1:20" s="3" customFormat="1" ht="30" outlineLevel="1" x14ac:dyDescent="0.25">
      <c r="A159" s="53">
        <f>ROW(DIARIO[[#This Row],[Nombre de Cuenta]])-1</f>
        <v>158</v>
      </c>
      <c r="B159" s="55"/>
      <c r="C159" s="56" t="s">
        <v>156</v>
      </c>
      <c r="D159" s="57">
        <f>VLOOKUP(C159,CATALOGO[],2,FALSE)</f>
        <v>26</v>
      </c>
      <c r="E159" s="58" t="str">
        <f>VLOOKUP(DIARIO[[#This Row],[Objeto de Gasto]],CATALOGO[],3,FALSE)</f>
        <v>27210 Tasas</v>
      </c>
      <c r="F159" s="59"/>
      <c r="G159" s="62" t="s">
        <v>768</v>
      </c>
      <c r="H159" s="59"/>
      <c r="I159" s="60"/>
      <c r="J159" s="59"/>
      <c r="K159" s="60"/>
      <c r="L159" s="59"/>
      <c r="M159" s="60"/>
      <c r="N159" s="61">
        <v>100000</v>
      </c>
      <c r="O159" s="13"/>
      <c r="P159" s="61">
        <f>N159-O159</f>
        <v>100000</v>
      </c>
      <c r="Q159" s="55" t="s">
        <v>33</v>
      </c>
      <c r="R159" s="39"/>
      <c r="S159" s="62"/>
      <c r="T159" s="61"/>
    </row>
    <row r="160" spans="1:20" s="3" customFormat="1" ht="45" outlineLevel="1" x14ac:dyDescent="0.25">
      <c r="A160" s="53">
        <f>ROW(DIARIO[[#This Row],[Nombre de Cuenta]])-1</f>
        <v>159</v>
      </c>
      <c r="B160" s="55"/>
      <c r="C160" s="56" t="s">
        <v>411</v>
      </c>
      <c r="D160" s="57">
        <f>VLOOKUP(C160,CATALOGO[],2,FALSE)</f>
        <v>66</v>
      </c>
      <c r="E160" s="58" t="str">
        <f>VLOOKUP(DIARIO[[#This Row],[Objeto de Gasto]],CATALOGO[],3,FALSE)</f>
        <v>35610 Gasolina</v>
      </c>
      <c r="F160" s="59"/>
      <c r="G160" s="62" t="s">
        <v>702</v>
      </c>
      <c r="H160" s="59"/>
      <c r="I160" s="60"/>
      <c r="J160" s="59"/>
      <c r="K160" s="60"/>
      <c r="L160" s="59"/>
      <c r="M160" s="60"/>
      <c r="N160" s="61"/>
      <c r="O160" s="13">
        <v>428212</v>
      </c>
      <c r="P160" s="61">
        <f t="shared" si="18"/>
        <v>-428212</v>
      </c>
      <c r="Q160" s="55" t="s">
        <v>33</v>
      </c>
      <c r="R160" s="39"/>
      <c r="S160" s="62"/>
      <c r="T160" s="61"/>
    </row>
    <row r="161" spans="1:20" s="3" customFormat="1" ht="45" outlineLevel="1" x14ac:dyDescent="0.25">
      <c r="A161" s="53">
        <f>ROW(DIARIO[[#This Row],[Nombre de Cuenta]])-1</f>
        <v>160</v>
      </c>
      <c r="B161" s="55"/>
      <c r="C161" s="56" t="s">
        <v>412</v>
      </c>
      <c r="D161" s="57">
        <f>VLOOKUP(C161,CATALOGO[],2,FALSE)</f>
        <v>42</v>
      </c>
      <c r="E161" s="58" t="str">
        <f>VLOOKUP(DIARIO[[#This Row],[Objeto de Gasto]],CATALOGO[],3,FALSE)</f>
        <v>35620 Diesel</v>
      </c>
      <c r="F161" s="59"/>
      <c r="G161" s="62" t="s">
        <v>702</v>
      </c>
      <c r="H161" s="59"/>
      <c r="I161" s="60"/>
      <c r="J161" s="59"/>
      <c r="K161" s="60"/>
      <c r="L161" s="59"/>
      <c r="M161" s="60"/>
      <c r="N161" s="61"/>
      <c r="O161" s="13">
        <v>308901</v>
      </c>
      <c r="P161" s="61">
        <f t="shared" si="18"/>
        <v>-308901</v>
      </c>
      <c r="Q161" s="55" t="s">
        <v>33</v>
      </c>
      <c r="R161" s="39"/>
      <c r="S161" s="62"/>
      <c r="T161" s="61"/>
    </row>
    <row r="162" spans="1:20" s="3" customFormat="1" ht="45" outlineLevel="1" x14ac:dyDescent="0.25">
      <c r="A162" s="53">
        <f>ROW(DIARIO[[#This Row],[Nombre de Cuenta]])-1</f>
        <v>161</v>
      </c>
      <c r="B162" s="55"/>
      <c r="C162" s="56" t="s">
        <v>413</v>
      </c>
      <c r="D162" s="57">
        <f>VLOOKUP(C162,CATALOGO[],2,FALSE)</f>
        <v>44</v>
      </c>
      <c r="E162" s="58" t="str">
        <f>VLOOKUP(DIARIO[[#This Row],[Objeto de Gasto]],CATALOGO[],3,FALSE)</f>
        <v>35650 Aceites Y Grasas Lubricantes</v>
      </c>
      <c r="F162" s="59"/>
      <c r="G162" s="62" t="s">
        <v>702</v>
      </c>
      <c r="H162" s="59"/>
      <c r="I162" s="60"/>
      <c r="J162" s="59"/>
      <c r="K162" s="60"/>
      <c r="L162" s="59"/>
      <c r="M162" s="60"/>
      <c r="N162" s="61"/>
      <c r="O162" s="13">
        <v>200000</v>
      </c>
      <c r="P162" s="61">
        <f t="shared" si="18"/>
        <v>-200000</v>
      </c>
      <c r="Q162" s="55" t="s">
        <v>33</v>
      </c>
      <c r="R162" s="39"/>
      <c r="S162" s="62"/>
      <c r="T162" s="61"/>
    </row>
    <row r="163" spans="1:20" s="3" customFormat="1" ht="45" outlineLevel="1" x14ac:dyDescent="0.25">
      <c r="A163" s="53">
        <f>ROW(DIARIO[[#This Row],[Nombre de Cuenta]])-1</f>
        <v>162</v>
      </c>
      <c r="B163" s="55"/>
      <c r="C163" s="56" t="s">
        <v>423</v>
      </c>
      <c r="D163" s="57">
        <f>VLOOKUP(C163,CATALOGO[],2,FALSE)</f>
        <v>61</v>
      </c>
      <c r="E163" s="58" t="str">
        <f>VLOOKUP(DIARIO[[#This Row],[Objeto de Gasto]],CATALOGO[],3,FALSE)</f>
        <v>42310 Equipo De Transporte Terrestre Para Personas</v>
      </c>
      <c r="F163" s="59"/>
      <c r="G163" s="62" t="s">
        <v>702</v>
      </c>
      <c r="H163" s="59"/>
      <c r="I163" s="60"/>
      <c r="J163" s="59"/>
      <c r="K163" s="60"/>
      <c r="L163" s="59"/>
      <c r="M163" s="60"/>
      <c r="N163" s="61">
        <v>937113</v>
      </c>
      <c r="O163" s="13"/>
      <c r="P163" s="61">
        <f t="shared" si="18"/>
        <v>937113</v>
      </c>
      <c r="Q163" s="55" t="s">
        <v>33</v>
      </c>
      <c r="R163" s="39"/>
      <c r="S163" s="62"/>
      <c r="T163" s="61"/>
    </row>
    <row r="164" spans="1:20" s="3" customFormat="1" ht="45" outlineLevel="1" x14ac:dyDescent="0.25">
      <c r="A164" s="53">
        <f>ROW(DIARIO[[#This Row],[Nombre de Cuenta]])-1</f>
        <v>163</v>
      </c>
      <c r="B164" s="55"/>
      <c r="C164" s="56" t="s">
        <v>271</v>
      </c>
      <c r="D164" s="57">
        <f>VLOOKUP(C164,CATALOGO[],2,FALSE)</f>
        <v>49</v>
      </c>
      <c r="E164" s="58" t="str">
        <f>VLOOKUP(DIARIO[[#This Row],[Objeto de Gasto]],CATALOGO[],3,FALSE)</f>
        <v xml:space="preserve">39520 Intrumental Y Material Para Laboratorio </v>
      </c>
      <c r="F164" s="59"/>
      <c r="G164" s="62" t="s">
        <v>705</v>
      </c>
      <c r="H164" s="59"/>
      <c r="I164" s="60"/>
      <c r="J164" s="59"/>
      <c r="K164" s="60"/>
      <c r="L164" s="59"/>
      <c r="M164" s="60"/>
      <c r="N164" s="61">
        <v>819101.61422576534</v>
      </c>
      <c r="O164" s="13"/>
      <c r="P164" s="61">
        <f t="shared" si="18"/>
        <v>819101.61422576534</v>
      </c>
      <c r="Q164" s="55" t="s">
        <v>33</v>
      </c>
      <c r="R164" s="39"/>
      <c r="S164" s="62"/>
      <c r="T164" s="61"/>
    </row>
    <row r="165" spans="1:20" s="3" customFormat="1" ht="45" outlineLevel="1" x14ac:dyDescent="0.25">
      <c r="A165" s="53">
        <f>ROW(DIARIO[[#This Row],[Nombre de Cuenta]])-1</f>
        <v>164</v>
      </c>
      <c r="B165" s="55"/>
      <c r="C165" s="56" t="s">
        <v>417</v>
      </c>
      <c r="D165" s="57">
        <f>VLOOKUP(C165,CATALOGO[],2,FALSE)</f>
        <v>49</v>
      </c>
      <c r="E165" s="58" t="str">
        <f>VLOOKUP(DIARIO[[#This Row],[Objeto de Gasto]],CATALOGO[],3,FALSE)</f>
        <v xml:space="preserve">39520 Intrumental Y Material Para Laboratorio </v>
      </c>
      <c r="F165" s="59"/>
      <c r="G165" s="62" t="s">
        <v>705</v>
      </c>
      <c r="H165" s="59"/>
      <c r="I165" s="60"/>
      <c r="J165" s="59"/>
      <c r="K165" s="60"/>
      <c r="L165" s="59"/>
      <c r="M165" s="60"/>
      <c r="N165" s="61">
        <v>875082.97485841927</v>
      </c>
      <c r="O165" s="13"/>
      <c r="P165" s="61">
        <f t="shared" si="18"/>
        <v>875082.97485841927</v>
      </c>
      <c r="Q165" s="55" t="s">
        <v>33</v>
      </c>
      <c r="R165" s="39"/>
      <c r="S165" s="62"/>
      <c r="T165" s="61"/>
    </row>
    <row r="166" spans="1:20" s="3" customFormat="1" ht="45" outlineLevel="1" x14ac:dyDescent="0.25">
      <c r="A166" s="53">
        <f>ROW(DIARIO[[#This Row],[Nombre de Cuenta]])-1</f>
        <v>165</v>
      </c>
      <c r="B166" s="55"/>
      <c r="C166" s="56" t="s">
        <v>272</v>
      </c>
      <c r="D166" s="57">
        <f>VLOOKUP(C166,CATALOGO[],2,FALSE)</f>
        <v>49</v>
      </c>
      <c r="E166" s="58" t="str">
        <f>VLOOKUP(DIARIO[[#This Row],[Objeto de Gasto]],CATALOGO[],3,FALSE)</f>
        <v xml:space="preserve">39520 Intrumental Y Material Para Laboratorio </v>
      </c>
      <c r="F166" s="59"/>
      <c r="G166" s="62" t="s">
        <v>705</v>
      </c>
      <c r="H166" s="59"/>
      <c r="I166" s="60"/>
      <c r="J166" s="59"/>
      <c r="K166" s="60"/>
      <c r="L166" s="59"/>
      <c r="M166" s="60"/>
      <c r="N166" s="61">
        <v>667915.4109158155</v>
      </c>
      <c r="O166" s="13"/>
      <c r="P166" s="61">
        <f t="shared" si="18"/>
        <v>667915.4109158155</v>
      </c>
      <c r="Q166" s="55" t="s">
        <v>33</v>
      </c>
      <c r="R166" s="39"/>
      <c r="S166" s="62"/>
      <c r="T166" s="61"/>
    </row>
    <row r="167" spans="1:20" s="3" customFormat="1" ht="30" outlineLevel="1" x14ac:dyDescent="0.25">
      <c r="A167" s="53">
        <f>ROW(DIARIO[[#This Row],[Nombre de Cuenta]])-1</f>
        <v>166</v>
      </c>
      <c r="B167" s="55"/>
      <c r="C167" s="56" t="s">
        <v>717</v>
      </c>
      <c r="D167" s="57">
        <f>VLOOKUP(C167,CATALOGO[],2,FALSE)</f>
        <v>68</v>
      </c>
      <c r="E167" s="58" t="str">
        <f>VLOOKUP(DIARIO[[#This Row],[Objeto de Gasto]],CATALOGO[],3,FALSE)</f>
        <v>42510 Equipo de Comunicación</v>
      </c>
      <c r="F167" s="59"/>
      <c r="G167" s="62" t="s">
        <v>718</v>
      </c>
      <c r="H167" s="59"/>
      <c r="I167" s="60"/>
      <c r="J167" s="59"/>
      <c r="K167" s="60"/>
      <c r="L167" s="59"/>
      <c r="M167" s="60"/>
      <c r="N167" s="61">
        <v>300000</v>
      </c>
      <c r="O167" s="13"/>
      <c r="P167" s="61">
        <f t="shared" ref="P167:P174" si="19">N167-O167</f>
        <v>300000</v>
      </c>
      <c r="Q167" s="55" t="s">
        <v>33</v>
      </c>
      <c r="R167" s="39"/>
      <c r="S167" s="62"/>
      <c r="T167" s="61"/>
    </row>
    <row r="168" spans="1:20" s="3" customFormat="1" ht="30" outlineLevel="1" x14ac:dyDescent="0.25">
      <c r="A168" s="53">
        <f>ROW(DIARIO[[#This Row],[Nombre de Cuenta]])-1</f>
        <v>167</v>
      </c>
      <c r="B168" s="55"/>
      <c r="C168" s="56" t="s">
        <v>413</v>
      </c>
      <c r="D168" s="57">
        <f>VLOOKUP(C168,CATALOGO[],2,FALSE)</f>
        <v>44</v>
      </c>
      <c r="E168" s="58" t="str">
        <f>VLOOKUP(DIARIO[[#This Row],[Objeto de Gasto]],CATALOGO[],3,FALSE)</f>
        <v>35650 Aceites Y Grasas Lubricantes</v>
      </c>
      <c r="F168" s="59"/>
      <c r="G168" s="62" t="s">
        <v>718</v>
      </c>
      <c r="H168" s="59"/>
      <c r="I168" s="60"/>
      <c r="J168" s="59"/>
      <c r="K168" s="60"/>
      <c r="L168" s="59"/>
      <c r="M168" s="60"/>
      <c r="N168" s="61"/>
      <c r="O168" s="13">
        <v>300000</v>
      </c>
      <c r="P168" s="61">
        <f t="shared" si="19"/>
        <v>-300000</v>
      </c>
      <c r="Q168" s="55" t="s">
        <v>33</v>
      </c>
      <c r="R168" s="39"/>
      <c r="S168" s="62"/>
      <c r="T168" s="61"/>
    </row>
    <row r="169" spans="1:20" s="3" customFormat="1" outlineLevel="1" x14ac:dyDescent="0.25">
      <c r="A169" s="53">
        <f>ROW(DIARIO[[#This Row],[Nombre de Cuenta]])-1</f>
        <v>168</v>
      </c>
      <c r="B169" s="55"/>
      <c r="C169" s="56" t="s">
        <v>370</v>
      </c>
      <c r="D169" s="57">
        <f>VLOOKUP(C169,CATALOGO[],2,FALSE)</f>
        <v>67</v>
      </c>
      <c r="E169" s="58" t="str">
        <f>VLOOKUP(DIARIO[[#This Row],[Objeto de Gasto]],CATALOGO[],3,FALSE)</f>
        <v>39300 Utiles Y Materiales Eléctricos</v>
      </c>
      <c r="F169" s="59"/>
      <c r="G169" s="62" t="s">
        <v>770</v>
      </c>
      <c r="H169" s="59"/>
      <c r="I169" s="60"/>
      <c r="J169" s="59"/>
      <c r="K169" s="60"/>
      <c r="L169" s="59"/>
      <c r="M169" s="60"/>
      <c r="N169" s="61">
        <v>2478</v>
      </c>
      <c r="O169" s="13"/>
      <c r="P169" s="61">
        <f>N169-O169</f>
        <v>2478</v>
      </c>
      <c r="Q169" s="55" t="s">
        <v>33</v>
      </c>
      <c r="R169" s="39"/>
      <c r="S169" s="62"/>
      <c r="T169" s="61"/>
    </row>
    <row r="170" spans="1:20" s="3" customFormat="1" ht="45" outlineLevel="1" x14ac:dyDescent="0.25">
      <c r="A170" s="53">
        <f>ROW(DIARIO[[#This Row],[Nombre de Cuenta]])-1</f>
        <v>169</v>
      </c>
      <c r="B170" s="55"/>
      <c r="C170" s="56" t="s">
        <v>147</v>
      </c>
      <c r="D170" s="57">
        <f>VLOOKUP(C170,CATALOGO[],2,FALSE)</f>
        <v>25</v>
      </c>
      <c r="E170" s="58" t="str">
        <f>VLOOKUP(DIARIO[[#This Row],[Objeto de Gasto]],CATALOGO[],3,FALSE)</f>
        <v>26210 Viaticos Nacionales</v>
      </c>
      <c r="F170" s="59"/>
      <c r="G170" s="62" t="s">
        <v>756</v>
      </c>
      <c r="H170" s="59"/>
      <c r="I170" s="60"/>
      <c r="J170" s="59"/>
      <c r="K170" s="60"/>
      <c r="L170" s="59"/>
      <c r="M170" s="60"/>
      <c r="N170" s="61"/>
      <c r="O170" s="13">
        <v>159343.76999999999</v>
      </c>
      <c r="P170" s="61">
        <f t="shared" si="19"/>
        <v>-159343.76999999999</v>
      </c>
      <c r="Q170" s="55" t="s">
        <v>18</v>
      </c>
      <c r="R170" s="39"/>
      <c r="S170" s="62"/>
      <c r="T170" s="61">
        <v>159343.76999999999</v>
      </c>
    </row>
    <row r="171" spans="1:20" s="3" customFormat="1" ht="45" outlineLevel="1" x14ac:dyDescent="0.25">
      <c r="A171" s="53">
        <f>ROW(DIARIO[[#This Row],[Nombre de Cuenta]])-1</f>
        <v>170</v>
      </c>
      <c r="B171" s="55"/>
      <c r="C171" s="56" t="s">
        <v>362</v>
      </c>
      <c r="D171" s="57">
        <f>VLOOKUP(C171,CATALOGO[],2,FALSE)</f>
        <v>65</v>
      </c>
      <c r="E171" s="58" t="str">
        <f>VLOOKUP(DIARIO[[#This Row],[Objeto de Gasto]],CATALOGO[],3,FALSE)</f>
        <v>26220 Viáticos Al Exterior</v>
      </c>
      <c r="F171" s="59"/>
      <c r="G171" s="62" t="s">
        <v>757</v>
      </c>
      <c r="H171" s="59"/>
      <c r="I171" s="60"/>
      <c r="J171" s="59"/>
      <c r="K171" s="60"/>
      <c r="L171" s="59"/>
      <c r="M171" s="60"/>
      <c r="N171" s="61"/>
      <c r="O171" s="13">
        <v>37554.769999999997</v>
      </c>
      <c r="P171" s="61">
        <f t="shared" si="19"/>
        <v>-37554.769999999997</v>
      </c>
      <c r="Q171" s="55" t="s">
        <v>18</v>
      </c>
      <c r="R171" s="39"/>
      <c r="S171" s="62"/>
      <c r="T171" s="61">
        <v>37554.769999999997</v>
      </c>
    </row>
    <row r="172" spans="1:20" s="3" customFormat="1" outlineLevel="1" x14ac:dyDescent="0.25">
      <c r="A172" s="53">
        <f>ROW(DIARIO[[#This Row],[Nombre de Cuenta]])-1</f>
        <v>171</v>
      </c>
      <c r="B172" s="55"/>
      <c r="C172" s="56" t="s">
        <v>155</v>
      </c>
      <c r="D172" s="57">
        <f>VLOOKUP(C172,CATALOGO[],2,FALSE)</f>
        <v>26</v>
      </c>
      <c r="E172" s="58" t="str">
        <f>VLOOKUP(DIARIO[[#This Row],[Objeto de Gasto]],CATALOGO[],3,FALSE)</f>
        <v>27210 Tasas</v>
      </c>
      <c r="F172" s="59"/>
      <c r="G172" s="62" t="s">
        <v>928</v>
      </c>
      <c r="H172" s="59"/>
      <c r="I172" s="60"/>
      <c r="J172" s="59"/>
      <c r="K172" s="60"/>
      <c r="L172" s="59"/>
      <c r="M172" s="60"/>
      <c r="N172" s="61"/>
      <c r="O172" s="13">
        <f>293235.38/3</f>
        <v>97745.126666666663</v>
      </c>
      <c r="P172" s="61">
        <f t="shared" si="19"/>
        <v>-97745.126666666663</v>
      </c>
      <c r="Q172" s="55" t="s">
        <v>18</v>
      </c>
      <c r="R172" s="39"/>
      <c r="S172" s="62"/>
      <c r="T172" s="13">
        <f>293235.38/3</f>
        <v>97745.126666666663</v>
      </c>
    </row>
    <row r="173" spans="1:20" s="3" customFormat="1" outlineLevel="1" x14ac:dyDescent="0.25">
      <c r="A173" s="53">
        <f>ROW(DIARIO[[#This Row],[Nombre de Cuenta]])-1</f>
        <v>172</v>
      </c>
      <c r="B173" s="55"/>
      <c r="C173" s="56" t="s">
        <v>154</v>
      </c>
      <c r="D173" s="57">
        <f>VLOOKUP(C173,CATALOGO[],2,FALSE)</f>
        <v>26</v>
      </c>
      <c r="E173" s="58" t="str">
        <f>VLOOKUP(DIARIO[[#This Row],[Objeto de Gasto]],CATALOGO[],3,FALSE)</f>
        <v>27210 Tasas</v>
      </c>
      <c r="F173" s="59"/>
      <c r="G173" s="62" t="s">
        <v>928</v>
      </c>
      <c r="H173" s="59"/>
      <c r="I173" s="60"/>
      <c r="J173" s="59"/>
      <c r="K173" s="60"/>
      <c r="L173" s="59"/>
      <c r="M173" s="60"/>
      <c r="N173" s="61"/>
      <c r="O173" s="13">
        <f t="shared" ref="O173:O174" si="20">293235.38/3</f>
        <v>97745.126666666663</v>
      </c>
      <c r="P173" s="61">
        <f t="shared" si="19"/>
        <v>-97745.126666666663</v>
      </c>
      <c r="Q173" s="55" t="s">
        <v>18</v>
      </c>
      <c r="R173" s="39"/>
      <c r="S173" s="62"/>
      <c r="T173" s="13">
        <f t="shared" ref="T173:T174" si="21">293235.38/3</f>
        <v>97745.126666666663</v>
      </c>
    </row>
    <row r="174" spans="1:20" s="3" customFormat="1" outlineLevel="1" x14ac:dyDescent="0.25">
      <c r="A174" s="53">
        <f>ROW(DIARIO[[#This Row],[Nombre de Cuenta]])-1</f>
        <v>173</v>
      </c>
      <c r="B174" s="55"/>
      <c r="C174" s="56" t="s">
        <v>156</v>
      </c>
      <c r="D174" s="57">
        <f>VLOOKUP(C174,CATALOGO[],2,FALSE)</f>
        <v>26</v>
      </c>
      <c r="E174" s="58" t="str">
        <f>VLOOKUP(DIARIO[[#This Row],[Objeto de Gasto]],CATALOGO[],3,FALSE)</f>
        <v>27210 Tasas</v>
      </c>
      <c r="F174" s="59"/>
      <c r="G174" s="62" t="s">
        <v>928</v>
      </c>
      <c r="H174" s="59"/>
      <c r="I174" s="60"/>
      <c r="J174" s="59"/>
      <c r="K174" s="60"/>
      <c r="L174" s="59"/>
      <c r="M174" s="60"/>
      <c r="N174" s="61"/>
      <c r="O174" s="13">
        <f t="shared" si="20"/>
        <v>97745.126666666663</v>
      </c>
      <c r="P174" s="61">
        <f t="shared" si="19"/>
        <v>-97745.126666666663</v>
      </c>
      <c r="Q174" s="55" t="s">
        <v>18</v>
      </c>
      <c r="R174" s="39"/>
      <c r="S174" s="62"/>
      <c r="T174" s="13">
        <f t="shared" si="21"/>
        <v>97745.126666666663</v>
      </c>
    </row>
    <row r="175" spans="1:20" s="3" customFormat="1" ht="60" outlineLevel="1" x14ac:dyDescent="0.25">
      <c r="A175" s="53">
        <f>ROW(DIARIO[[#This Row],[Nombre de Cuenta]])-1</f>
        <v>174</v>
      </c>
      <c r="B175" s="55"/>
      <c r="C175" s="56" t="s">
        <v>408</v>
      </c>
      <c r="D175" s="57">
        <f>VLOOKUP(C175,CATALOGO[],2,FALSE)</f>
        <v>39</v>
      </c>
      <c r="E175" s="58" t="str">
        <f>VLOOKUP(DIARIO[[#This Row],[Objeto de Gasto]],CATALOGO[],3,FALSE)</f>
        <v>35210 Productos Farmaceuticos Y Medicinales</v>
      </c>
      <c r="F175" s="59"/>
      <c r="G175" s="62" t="s">
        <v>942</v>
      </c>
      <c r="H175" s="59" t="s">
        <v>937</v>
      </c>
      <c r="I175" s="60">
        <v>45327</v>
      </c>
      <c r="J175" s="59"/>
      <c r="K175" s="60"/>
      <c r="L175" s="59"/>
      <c r="M175" s="60"/>
      <c r="N175" s="61"/>
      <c r="O175" s="13">
        <v>89000</v>
      </c>
      <c r="P175" s="61">
        <f>N175-O175</f>
        <v>-89000</v>
      </c>
      <c r="Q175" s="55" t="s">
        <v>18</v>
      </c>
      <c r="R175" s="39"/>
      <c r="S175" s="62" t="s">
        <v>939</v>
      </c>
      <c r="T175" s="13">
        <v>89000</v>
      </c>
    </row>
    <row r="176" spans="1:20" s="3" customFormat="1" ht="60" outlineLevel="1" x14ac:dyDescent="0.25">
      <c r="A176" s="53">
        <f>ROW(DIARIO[[#This Row],[Nombre de Cuenta]])-1</f>
        <v>175</v>
      </c>
      <c r="B176" s="55"/>
      <c r="C176" s="56" t="s">
        <v>222</v>
      </c>
      <c r="D176" s="57">
        <f>VLOOKUP(C176,CATALOGO[],2,FALSE)</f>
        <v>39</v>
      </c>
      <c r="E176" s="58" t="str">
        <f>VLOOKUP(DIARIO[[#This Row],[Objeto de Gasto]],CATALOGO[],3,FALSE)</f>
        <v>35210 Productos Farmaceuticos Y Medicinales</v>
      </c>
      <c r="F176" s="59"/>
      <c r="G176" s="62" t="s">
        <v>942</v>
      </c>
      <c r="H176" s="59" t="s">
        <v>936</v>
      </c>
      <c r="I176" s="60">
        <v>45328</v>
      </c>
      <c r="J176" s="59"/>
      <c r="K176" s="60"/>
      <c r="L176" s="59"/>
      <c r="M176" s="60"/>
      <c r="N176" s="61"/>
      <c r="O176" s="13">
        <f>2061760.18-89000+59742.57+601.32</f>
        <v>2033104.07</v>
      </c>
      <c r="P176" s="61">
        <f>N176-O176</f>
        <v>-2033104.07</v>
      </c>
      <c r="Q176" s="55" t="s">
        <v>18</v>
      </c>
      <c r="R176" s="39"/>
      <c r="S176" s="62" t="s">
        <v>938</v>
      </c>
      <c r="T176" s="13">
        <v>2033104.07</v>
      </c>
    </row>
    <row r="177" spans="1:25" s="3" customFormat="1" outlineLevel="1" x14ac:dyDescent="0.25">
      <c r="A177" s="142">
        <f>ROW(DIARIO[[#This Row],[Nombre de Cuenta]])-1</f>
        <v>176</v>
      </c>
      <c r="B177" s="142"/>
      <c r="C177" s="143"/>
      <c r="D177" s="2" t="e">
        <f>VLOOKUP(C177,CATALOGO[],2,FALSE)</f>
        <v>#N/A</v>
      </c>
      <c r="E177" s="143" t="e">
        <f>VLOOKUP(DIARIO[[#This Row],[Objeto de Gasto]],CATALOGO[],3,FALSE)</f>
        <v>#N/A</v>
      </c>
      <c r="F177" s="143"/>
      <c r="G177" s="143"/>
      <c r="H177" s="142"/>
      <c r="I177" s="144"/>
      <c r="J177" s="142"/>
      <c r="K177" s="144"/>
      <c r="L177" s="142"/>
      <c r="M177" s="144"/>
      <c r="N177" s="145"/>
      <c r="O177" s="145"/>
      <c r="P177" s="14">
        <f t="shared" si="15"/>
        <v>0</v>
      </c>
      <c r="Q177" s="142" t="s">
        <v>18</v>
      </c>
      <c r="R177" s="146"/>
      <c r="S177" s="143"/>
      <c r="T177" s="145"/>
    </row>
    <row r="178" spans="1:25" s="3" customFormat="1" x14ac:dyDescent="0.25">
      <c r="A178" s="2">
        <f>ROW(DIARIO[[#This Row],[Nombre de Cuenta]])-$A$177-1</f>
        <v>1</v>
      </c>
      <c r="B178" s="15" t="s">
        <v>21</v>
      </c>
      <c r="C178" s="16" t="s">
        <v>226</v>
      </c>
      <c r="D178" s="15">
        <f>VLOOKUP(C178,CATALOGO[],2,FALSE)</f>
        <v>40</v>
      </c>
      <c r="E178" s="36" t="str">
        <f>VLOOKUP(DIARIO[[#This Row],[Objeto de Gasto]],CATALOGO[],3,FALSE)</f>
        <v>35252 Reactivo (VIH)</v>
      </c>
      <c r="F178" s="1" t="s">
        <v>11</v>
      </c>
      <c r="G178" s="16" t="s">
        <v>429</v>
      </c>
      <c r="H178" s="15" t="s">
        <v>430</v>
      </c>
      <c r="I178" s="17">
        <v>45117</v>
      </c>
      <c r="J178" s="15" t="s">
        <v>431</v>
      </c>
      <c r="K178" s="17">
        <v>45152</v>
      </c>
      <c r="L178" s="15" t="s">
        <v>432</v>
      </c>
      <c r="M178" s="17">
        <v>45146</v>
      </c>
      <c r="N178" s="18"/>
      <c r="O178" s="18">
        <v>23605072.5</v>
      </c>
      <c r="P178" s="14">
        <f t="shared" ref="P178:P188" si="22">N178-O178</f>
        <v>-23605072.5</v>
      </c>
      <c r="Q178" s="2" t="s">
        <v>18</v>
      </c>
      <c r="R178" s="38" t="s">
        <v>433</v>
      </c>
      <c r="S178" s="16" t="s">
        <v>434</v>
      </c>
      <c r="T178" s="13">
        <v>23605072.5</v>
      </c>
    </row>
    <row r="179" spans="1:25" s="3" customFormat="1" x14ac:dyDescent="0.25">
      <c r="A179" s="2">
        <f>ROW(DIARIO[[#This Row],[Nombre de Cuenta]])-$A$177-1</f>
        <v>2</v>
      </c>
      <c r="B179" s="15" t="s">
        <v>21</v>
      </c>
      <c r="C179" s="16" t="s">
        <v>270</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2" t="s">
        <v>18</v>
      </c>
      <c r="R179" s="38" t="s">
        <v>940</v>
      </c>
      <c r="S179" s="16"/>
      <c r="T179" s="13">
        <v>67979.385922791829</v>
      </c>
    </row>
    <row r="180" spans="1:25" s="3" customFormat="1" x14ac:dyDescent="0.25">
      <c r="A180" s="2">
        <f>ROW(DIARIO[[#This Row],[Nombre de Cuenta]])-$A$177-1</f>
        <v>3</v>
      </c>
      <c r="B180" s="15" t="s">
        <v>21</v>
      </c>
      <c r="C180" s="16" t="s">
        <v>271</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2" t="s">
        <v>18</v>
      </c>
      <c r="R180" s="38" t="s">
        <v>940</v>
      </c>
      <c r="S180" s="16"/>
      <c r="T180" s="13">
        <v>71983.529817512579</v>
      </c>
    </row>
    <row r="181" spans="1:25" s="3" customFormat="1" x14ac:dyDescent="0.25">
      <c r="A181" s="2">
        <f>ROW(DIARIO[[#This Row],[Nombre de Cuenta]])-$A$177-1</f>
        <v>4</v>
      </c>
      <c r="B181" s="15" t="s">
        <v>21</v>
      </c>
      <c r="C181" s="16" t="s">
        <v>272</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2" t="s">
        <v>18</v>
      </c>
      <c r="R181" s="38" t="s">
        <v>940</v>
      </c>
      <c r="S181" s="16"/>
      <c r="T181" s="13">
        <v>57137.314259695617</v>
      </c>
      <c r="Y181" s="148"/>
    </row>
    <row r="182" spans="1:25" s="3" customFormat="1" ht="45" x14ac:dyDescent="0.25">
      <c r="A182" s="2">
        <f>ROW(DIARIO[[#This Row],[Nombre de Cuenta]])-$A$177-1</f>
        <v>5</v>
      </c>
      <c r="B182" s="15" t="s">
        <v>21</v>
      </c>
      <c r="C182" s="16" t="s">
        <v>270</v>
      </c>
      <c r="D182" s="15">
        <f>VLOOKUP(C182,CATALOGO[],2,FALSE)</f>
        <v>49</v>
      </c>
      <c r="E182" s="36" t="str">
        <f>VLOOKUP(DIARIO[[#This Row],[Objeto de Gasto]],CATALOGO[],3,FALSE)</f>
        <v xml:space="preserve">39520 Intrumental Y Material Para Laboratorio </v>
      </c>
      <c r="F182" s="1" t="s">
        <v>11</v>
      </c>
      <c r="G182" s="16" t="s">
        <v>435</v>
      </c>
      <c r="H182" s="15" t="s">
        <v>436</v>
      </c>
      <c r="I182" s="17">
        <v>45065</v>
      </c>
      <c r="J182" s="15" t="s">
        <v>437</v>
      </c>
      <c r="K182" s="17">
        <v>45078</v>
      </c>
      <c r="L182" s="15"/>
      <c r="M182" s="17"/>
      <c r="N182" s="18"/>
      <c r="O182" s="18">
        <v>741424.83</v>
      </c>
      <c r="P182" s="14">
        <f t="shared" si="22"/>
        <v>-741424.83</v>
      </c>
      <c r="Q182" s="2" t="s">
        <v>18</v>
      </c>
      <c r="R182" s="38" t="s">
        <v>438</v>
      </c>
      <c r="S182" s="16" t="s">
        <v>941</v>
      </c>
      <c r="T182" s="13">
        <v>714090.91971011111</v>
      </c>
      <c r="X182" s="90"/>
      <c r="Y182" s="148"/>
    </row>
    <row r="183" spans="1:25" s="3" customFormat="1" ht="45" x14ac:dyDescent="0.25">
      <c r="A183" s="2">
        <f>ROW(DIARIO[[#This Row],[Nombre de Cuenta]])-$A$177-1</f>
        <v>6</v>
      </c>
      <c r="B183" s="15" t="s">
        <v>21</v>
      </c>
      <c r="C183" s="16" t="s">
        <v>271</v>
      </c>
      <c r="D183" s="15">
        <f>VLOOKUP(C183,CATALOGO[],2,FALSE)</f>
        <v>49</v>
      </c>
      <c r="E183" s="36" t="str">
        <f>VLOOKUP(DIARIO[[#This Row],[Objeto de Gasto]],CATALOGO[],3,FALSE)</f>
        <v xml:space="preserve">39520 Intrumental Y Material Para Laboratorio </v>
      </c>
      <c r="F183" s="1" t="s">
        <v>11</v>
      </c>
      <c r="G183" s="16" t="s">
        <v>435</v>
      </c>
      <c r="H183" s="15" t="s">
        <v>436</v>
      </c>
      <c r="I183" s="17">
        <v>45065</v>
      </c>
      <c r="J183" s="15" t="s">
        <v>437</v>
      </c>
      <c r="K183" s="17">
        <v>45078</v>
      </c>
      <c r="L183" s="15"/>
      <c r="M183" s="17"/>
      <c r="N183" s="18"/>
      <c r="O183" s="18">
        <v>785096.47</v>
      </c>
      <c r="P183" s="14">
        <f t="shared" si="22"/>
        <v>-785096.47</v>
      </c>
      <c r="Q183" s="2" t="s">
        <v>18</v>
      </c>
      <c r="R183" s="38" t="s">
        <v>438</v>
      </c>
      <c r="S183" s="16" t="s">
        <v>941</v>
      </c>
      <c r="T183" s="13">
        <v>756152.53526633675</v>
      </c>
      <c r="X183" s="90"/>
      <c r="Y183" s="148"/>
    </row>
    <row r="184" spans="1:25" s="3" customFormat="1" ht="45" x14ac:dyDescent="0.25">
      <c r="A184" s="2">
        <f>ROW(DIARIO[[#This Row],[Nombre de Cuenta]])-$A$177-1</f>
        <v>7</v>
      </c>
      <c r="B184" s="15" t="s">
        <v>21</v>
      </c>
      <c r="C184" s="16" t="s">
        <v>272</v>
      </c>
      <c r="D184" s="15">
        <f>VLOOKUP(C184,CATALOGO[],2,FALSE)</f>
        <v>49</v>
      </c>
      <c r="E184" s="36" t="str">
        <f>VLOOKUP(DIARIO[[#This Row],[Objeto de Gasto]],CATALOGO[],3,FALSE)</f>
        <v xml:space="preserve">39520 Intrumental Y Material Para Laboratorio </v>
      </c>
      <c r="F184" s="1" t="s">
        <v>11</v>
      </c>
      <c r="G184" s="16" t="s">
        <v>435</v>
      </c>
      <c r="H184" s="15" t="s">
        <v>436</v>
      </c>
      <c r="I184" s="17">
        <v>45065</v>
      </c>
      <c r="J184" s="15" t="s">
        <v>437</v>
      </c>
      <c r="K184" s="17">
        <v>45078</v>
      </c>
      <c r="L184" s="15"/>
      <c r="M184" s="17"/>
      <c r="N184" s="18"/>
      <c r="O184" s="18">
        <v>623174.55000000005</v>
      </c>
      <c r="P184" s="14">
        <f t="shared" si="22"/>
        <v>-623174.55000000005</v>
      </c>
      <c r="Q184" s="2" t="s">
        <v>18</v>
      </c>
      <c r="R184" s="38" t="s">
        <v>438</v>
      </c>
      <c r="S184" s="16" t="s">
        <v>941</v>
      </c>
      <c r="T184" s="13">
        <v>600200.14502355235</v>
      </c>
      <c r="X184" s="90"/>
      <c r="Y184" s="148"/>
    </row>
    <row r="185" spans="1:25" s="3" customFormat="1" ht="30" x14ac:dyDescent="0.25">
      <c r="A185" s="2">
        <f>ROW(DIARIO[[#This Row],[Nombre de Cuenta]])-$A$177-1</f>
        <v>8</v>
      </c>
      <c r="B185" s="15" t="s">
        <v>21</v>
      </c>
      <c r="C185" s="16" t="s">
        <v>316</v>
      </c>
      <c r="D185" s="15">
        <f>VLOOKUP(C185,CATALOGO[],2,FALSE)</f>
        <v>58</v>
      </c>
      <c r="E185" s="36" t="str">
        <f>VLOOKUP(DIARIO[[#This Row],[Objeto de Gasto]],CATALOGO[],3,FALSE)</f>
        <v>42420 Equipo De Laboratorio Medico</v>
      </c>
      <c r="F185" s="1" t="s">
        <v>11</v>
      </c>
      <c r="G185" s="16" t="s">
        <v>439</v>
      </c>
      <c r="H185" s="15" t="s">
        <v>440</v>
      </c>
      <c r="I185" s="17">
        <v>45065</v>
      </c>
      <c r="J185" s="15" t="s">
        <v>441</v>
      </c>
      <c r="K185" s="17">
        <v>45078</v>
      </c>
      <c r="L185" s="15"/>
      <c r="M185" s="17"/>
      <c r="N185" s="18"/>
      <c r="O185" s="18">
        <v>6025770.7636850812</v>
      </c>
      <c r="P185" s="14">
        <f t="shared" si="22"/>
        <v>-6025770.7636850812</v>
      </c>
      <c r="Q185" s="2" t="s">
        <v>18</v>
      </c>
      <c r="R185" s="38" t="s">
        <v>442</v>
      </c>
      <c r="S185" s="16" t="s">
        <v>443</v>
      </c>
      <c r="T185" s="13">
        <v>767589.89619481331</v>
      </c>
      <c r="Y185" s="90"/>
    </row>
    <row r="186" spans="1:25" s="3" customFormat="1" ht="30" x14ac:dyDescent="0.25">
      <c r="A186" s="2">
        <f>ROW(DIARIO[[#This Row],[Nombre de Cuenta]])-$A$177-1</f>
        <v>9</v>
      </c>
      <c r="B186" s="15" t="s">
        <v>21</v>
      </c>
      <c r="C186" s="16" t="s">
        <v>318</v>
      </c>
      <c r="D186" s="15">
        <f>VLOOKUP(C186,CATALOGO[],2,FALSE)</f>
        <v>58</v>
      </c>
      <c r="E186" s="36" t="str">
        <f>VLOOKUP(DIARIO[[#This Row],[Objeto de Gasto]],CATALOGO[],3,FALSE)</f>
        <v>42420 Equipo De Laboratorio Medico</v>
      </c>
      <c r="F186" s="1" t="s">
        <v>11</v>
      </c>
      <c r="G186" s="16" t="s">
        <v>439</v>
      </c>
      <c r="H186" s="15" t="s">
        <v>440</v>
      </c>
      <c r="I186" s="17">
        <v>45065</v>
      </c>
      <c r="J186" s="15" t="s">
        <v>441</v>
      </c>
      <c r="K186" s="17">
        <v>45078</v>
      </c>
      <c r="L186" s="15"/>
      <c r="M186" s="17"/>
      <c r="N186" s="18"/>
      <c r="O186" s="18">
        <v>4580463.6959707029</v>
      </c>
      <c r="P186" s="14">
        <f t="shared" si="22"/>
        <v>-4580463.6959707029</v>
      </c>
      <c r="Q186" s="2" t="s">
        <v>18</v>
      </c>
      <c r="R186" s="38" t="s">
        <v>442</v>
      </c>
      <c r="S186" s="16" t="s">
        <v>443</v>
      </c>
      <c r="T186" s="13">
        <v>583480.15395861014</v>
      </c>
      <c r="Y186" s="90"/>
    </row>
    <row r="187" spans="1:25" s="3" customFormat="1" ht="30" x14ac:dyDescent="0.25">
      <c r="A187" s="2">
        <f>ROW(DIARIO[[#This Row],[Nombre de Cuenta]])-$A$177-1</f>
        <v>10</v>
      </c>
      <c r="B187" s="15" t="s">
        <v>21</v>
      </c>
      <c r="C187" s="16" t="s">
        <v>317</v>
      </c>
      <c r="D187" s="15">
        <f>VLOOKUP(C187,CATALOGO[],2,FALSE)</f>
        <v>58</v>
      </c>
      <c r="E187" s="36" t="str">
        <f>VLOOKUP(DIARIO[[#This Row],[Objeto de Gasto]],CATALOGO[],3,FALSE)</f>
        <v>42420 Equipo De Laboratorio Medico</v>
      </c>
      <c r="F187" s="1" t="s">
        <v>11</v>
      </c>
      <c r="G187" s="16" t="s">
        <v>439</v>
      </c>
      <c r="H187" s="15" t="s">
        <v>440</v>
      </c>
      <c r="I187" s="17">
        <v>45065</v>
      </c>
      <c r="J187" s="15" t="s">
        <v>441</v>
      </c>
      <c r="K187" s="17">
        <v>45078</v>
      </c>
      <c r="L187" s="15"/>
      <c r="M187" s="17"/>
      <c r="N187" s="18"/>
      <c r="O187" s="18">
        <v>8243780.15034422</v>
      </c>
      <c r="P187" s="14">
        <f t="shared" si="22"/>
        <v>-8243780.15034422</v>
      </c>
      <c r="Q187" s="2" t="s">
        <v>18</v>
      </c>
      <c r="R187" s="38" t="s">
        <v>442</v>
      </c>
      <c r="S187" s="16" t="s">
        <v>443</v>
      </c>
      <c r="T187" s="13">
        <v>1050129.9498465767</v>
      </c>
      <c r="Y187" s="90"/>
    </row>
    <row r="188" spans="1:25" s="3" customFormat="1" ht="60" x14ac:dyDescent="0.25">
      <c r="A188" s="2">
        <f>ROW(DIARIO[[#This Row],[Nombre de Cuenta]])-$A$177-1</f>
        <v>11</v>
      </c>
      <c r="B188" s="15" t="s">
        <v>17</v>
      </c>
      <c r="C188" s="16" t="s">
        <v>409</v>
      </c>
      <c r="D188" s="15">
        <f>VLOOKUP(C188,CATALOGO[],2,FALSE)</f>
        <v>37</v>
      </c>
      <c r="E188" s="36" t="str">
        <f>VLOOKUP(DIARIO[[#This Row],[Objeto de Gasto]],CATALOGO[],3,FALSE)</f>
        <v>35251 Reactivos</v>
      </c>
      <c r="F188" s="1" t="s">
        <v>11</v>
      </c>
      <c r="G188" s="16" t="s">
        <v>444</v>
      </c>
      <c r="H188" s="15" t="s">
        <v>445</v>
      </c>
      <c r="I188" s="17">
        <v>45154</v>
      </c>
      <c r="J188" s="15" t="s">
        <v>446</v>
      </c>
      <c r="K188" s="17"/>
      <c r="L188" s="15" t="s">
        <v>447</v>
      </c>
      <c r="M188" s="17">
        <v>45159</v>
      </c>
      <c r="N188" s="18"/>
      <c r="O188" s="18">
        <v>389530</v>
      </c>
      <c r="P188" s="14">
        <f t="shared" si="22"/>
        <v>-389530</v>
      </c>
      <c r="Q188" s="2" t="s">
        <v>18</v>
      </c>
      <c r="R188" s="38" t="s">
        <v>448</v>
      </c>
      <c r="S188" s="16" t="s">
        <v>449</v>
      </c>
      <c r="T188" s="13"/>
    </row>
    <row r="189" spans="1:25" s="3" customFormat="1" ht="30" x14ac:dyDescent="0.25">
      <c r="A189" s="2">
        <f>ROW(DIARIO[[#This Row],[Nombre de Cuenta]])-$A$177-1</f>
        <v>12</v>
      </c>
      <c r="B189" s="15" t="s">
        <v>21</v>
      </c>
      <c r="C189" s="16" t="s">
        <v>281</v>
      </c>
      <c r="D189" s="15">
        <f>VLOOKUP(C189,CATALOGO[],2,FALSE)</f>
        <v>51</v>
      </c>
      <c r="E189" s="36" t="str">
        <f>VLOOKUP(DIARIO[[#This Row],[Objeto de Gasto]],CATALOGO[],3,FALSE)</f>
        <v>39540 Otro Instrumental, Accesorios Y Material Medico</v>
      </c>
      <c r="F189" s="1" t="s">
        <v>11</v>
      </c>
      <c r="G189" s="16" t="s">
        <v>450</v>
      </c>
      <c r="H189" s="15" t="s">
        <v>451</v>
      </c>
      <c r="I189" s="17">
        <v>45065</v>
      </c>
      <c r="J189" s="15" t="s">
        <v>452</v>
      </c>
      <c r="K189" s="17">
        <v>45078</v>
      </c>
      <c r="L189" s="15"/>
      <c r="M189" s="17"/>
      <c r="N189" s="18"/>
      <c r="O189" s="18">
        <v>83069.899326067505</v>
      </c>
      <c r="P189" s="14">
        <f>N189-O189</f>
        <v>-83069.899326067505</v>
      </c>
      <c r="Q189" s="2" t="s">
        <v>18</v>
      </c>
      <c r="R189" s="38" t="s">
        <v>453</v>
      </c>
      <c r="S189" s="16" t="s">
        <v>454</v>
      </c>
      <c r="T189" s="13">
        <v>48814.484342566844</v>
      </c>
      <c r="X189" s="90"/>
    </row>
    <row r="190" spans="1:25" s="3" customFormat="1" ht="30" x14ac:dyDescent="0.25">
      <c r="A190" s="2">
        <f>ROW(DIARIO[[#This Row],[Nombre de Cuenta]])-$A$177-1</f>
        <v>13</v>
      </c>
      <c r="B190" s="15" t="s">
        <v>21</v>
      </c>
      <c r="C190" s="16" t="s">
        <v>282</v>
      </c>
      <c r="D190" s="15">
        <f>VLOOKUP(C190,CATALOGO[],2,FALSE)</f>
        <v>51</v>
      </c>
      <c r="E190" s="36" t="str">
        <f>VLOOKUP(DIARIO[[#This Row],[Objeto de Gasto]],CATALOGO[],3,FALSE)</f>
        <v>39540 Otro Instrumental, Accesorios Y Material Medico</v>
      </c>
      <c r="F190" s="1" t="s">
        <v>11</v>
      </c>
      <c r="G190" s="16" t="s">
        <v>450</v>
      </c>
      <c r="H190" s="15" t="s">
        <v>451</v>
      </c>
      <c r="I190" s="17">
        <v>45065</v>
      </c>
      <c r="J190" s="15" t="s">
        <v>452</v>
      </c>
      <c r="K190" s="17">
        <v>45078</v>
      </c>
      <c r="L190" s="15"/>
      <c r="M190" s="17"/>
      <c r="N190" s="18"/>
      <c r="O190" s="18">
        <v>13778.957573410133</v>
      </c>
      <c r="P190" s="14">
        <f>N190-O190</f>
        <v>-13778.957573410133</v>
      </c>
      <c r="Q190" s="2" t="s">
        <v>18</v>
      </c>
      <c r="R190" s="38" t="s">
        <v>453</v>
      </c>
      <c r="S190" s="16" t="s">
        <v>454</v>
      </c>
      <c r="T190" s="13">
        <v>8096.9486442251473</v>
      </c>
      <c r="X190" s="90"/>
    </row>
    <row r="191" spans="1:25" ht="60" x14ac:dyDescent="0.25">
      <c r="A191" s="2">
        <f>ROW(DIARIO[[#This Row],[Nombre de Cuenta]])-$A$177-1</f>
        <v>14</v>
      </c>
      <c r="B191" s="15" t="s">
        <v>21</v>
      </c>
      <c r="C191" s="16" t="s">
        <v>280</v>
      </c>
      <c r="D191" s="15">
        <f>VLOOKUP(C191,CATALOGO[],2,FALSE)</f>
        <v>51</v>
      </c>
      <c r="E191" s="36" t="str">
        <f>VLOOKUP(DIARIO[[#This Row],[Objeto de Gasto]],CATALOGO[],3,FALSE)</f>
        <v>39540 Otro Instrumental, Accesorios Y Material Medico</v>
      </c>
      <c r="F191" s="1" t="s">
        <v>11</v>
      </c>
      <c r="G191" s="16" t="s">
        <v>450</v>
      </c>
      <c r="H191" s="15" t="s">
        <v>451</v>
      </c>
      <c r="I191" s="17">
        <v>45065</v>
      </c>
      <c r="J191" s="15" t="s">
        <v>452</v>
      </c>
      <c r="K191" s="17">
        <v>45078</v>
      </c>
      <c r="L191" s="15"/>
      <c r="M191" s="17"/>
      <c r="N191" s="18"/>
      <c r="O191" s="18">
        <v>143625.0031005221</v>
      </c>
      <c r="P191" s="14">
        <f>N191-O191</f>
        <v>-143625.0031005221</v>
      </c>
      <c r="Q191" s="2" t="s">
        <v>18</v>
      </c>
      <c r="R191" s="38" t="s">
        <v>453</v>
      </c>
      <c r="S191" s="16" t="s">
        <v>455</v>
      </c>
      <c r="T191" s="13">
        <v>84398.567013207998</v>
      </c>
      <c r="X191" s="127"/>
      <c r="Y191" s="3"/>
    </row>
    <row r="192" spans="1:25" ht="45" x14ac:dyDescent="0.25">
      <c r="A192" s="2">
        <f>ROW(DIARIO[[#This Row],[Nombre de Cuenta]])-$A$177-1</f>
        <v>15</v>
      </c>
      <c r="B192" s="23" t="s">
        <v>17</v>
      </c>
      <c r="C192" s="34" t="s">
        <v>230</v>
      </c>
      <c r="D192" s="7">
        <f>VLOOKUP(C192,CATALOGO[],2,FALSE)</f>
        <v>41</v>
      </c>
      <c r="E192" s="36" t="str">
        <f>VLOOKUP(DIARIO[[#This Row],[Objeto de Gasto]],CATALOGO[],3,FALSE)</f>
        <v>35400 Insecticidas, Fumigantes Y Otros</v>
      </c>
      <c r="F192" s="1" t="s">
        <v>11</v>
      </c>
      <c r="G192" s="6" t="s">
        <v>456</v>
      </c>
      <c r="H192" s="1" t="s">
        <v>457</v>
      </c>
      <c r="I192" s="9">
        <v>45180</v>
      </c>
      <c r="J192" s="1" t="s">
        <v>458</v>
      </c>
      <c r="K192" s="9">
        <v>45208</v>
      </c>
      <c r="L192" s="1"/>
      <c r="M192" s="9"/>
      <c r="N192" s="19"/>
      <c r="O192" s="21">
        <v>12000000</v>
      </c>
      <c r="P192" s="4">
        <f t="shared" si="14"/>
        <v>-12000000</v>
      </c>
      <c r="Q192" s="23" t="s">
        <v>26</v>
      </c>
      <c r="R192" s="39"/>
      <c r="S192" s="6" t="s">
        <v>459</v>
      </c>
    </row>
    <row r="193" spans="1:23" ht="30" x14ac:dyDescent="0.25">
      <c r="A193" s="2">
        <f>ROW(DIARIO[[#This Row],[Nombre de Cuenta]])-$A$177-1</f>
        <v>16</v>
      </c>
      <c r="B193" s="23" t="s">
        <v>17</v>
      </c>
      <c r="C193" s="34" t="s">
        <v>226</v>
      </c>
      <c r="D193" s="7">
        <f>VLOOKUP(C193,CATALOGO[],2,FALSE)</f>
        <v>40</v>
      </c>
      <c r="E193" s="36" t="str">
        <f>VLOOKUP(DIARIO[[#This Row],[Objeto de Gasto]],CATALOGO[],3,FALSE)</f>
        <v>35252 Reactivo (VIH)</v>
      </c>
      <c r="F193" s="1" t="s">
        <v>11</v>
      </c>
      <c r="G193" s="6" t="s">
        <v>429</v>
      </c>
      <c r="H193" s="1" t="s">
        <v>460</v>
      </c>
      <c r="I193" s="9">
        <v>45189</v>
      </c>
      <c r="J193" s="1" t="s">
        <v>461</v>
      </c>
      <c r="K193" s="9">
        <v>45210</v>
      </c>
      <c r="L193" s="1"/>
      <c r="M193" s="9"/>
      <c r="N193" s="19"/>
      <c r="O193" s="21">
        <v>45215293.5</v>
      </c>
      <c r="P193" s="4">
        <f t="shared" si="14"/>
        <v>-45215293.5</v>
      </c>
      <c r="Q193" s="23" t="s">
        <v>10</v>
      </c>
      <c r="R193" s="39"/>
      <c r="S193" s="6" t="s">
        <v>462</v>
      </c>
    </row>
    <row r="194" spans="1:23" ht="30"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463</v>
      </c>
      <c r="H194" s="1"/>
      <c r="I194" s="9"/>
      <c r="J194" s="1"/>
      <c r="K194" s="9"/>
      <c r="L194" s="1"/>
      <c r="M194" s="9"/>
      <c r="N194" s="19"/>
      <c r="O194" s="13"/>
      <c r="P194" s="4">
        <f t="shared" si="14"/>
        <v>0</v>
      </c>
      <c r="Q194" s="23" t="s">
        <v>14</v>
      </c>
      <c r="R194" s="39"/>
      <c r="S194" s="6"/>
    </row>
    <row r="195" spans="1:23" ht="30" x14ac:dyDescent="0.25">
      <c r="A195" s="2">
        <f>ROW(DIARIO[[#This Row],[Nombre de Cuenta]])-$A$177-1</f>
        <v>18</v>
      </c>
      <c r="B195" s="23" t="s">
        <v>30</v>
      </c>
      <c r="C195" s="34" t="s">
        <v>327</v>
      </c>
      <c r="D195" s="7">
        <f>VLOOKUP(C195,CATALOGO[],2,FALSE)</f>
        <v>60</v>
      </c>
      <c r="E195" s="36" t="str">
        <f>VLOOKUP(DIARIO[[#This Row],[Objeto de Gasto]],CATALOGO[],3,FALSE)</f>
        <v>45100 Aplicaciones Informaticas</v>
      </c>
      <c r="F195" s="1" t="s">
        <v>19</v>
      </c>
      <c r="G195" s="6" t="s">
        <v>464</v>
      </c>
      <c r="H195" s="1" t="s">
        <v>465</v>
      </c>
      <c r="I195" s="9">
        <v>45314</v>
      </c>
      <c r="J195" s="1" t="s">
        <v>466</v>
      </c>
      <c r="K195" s="9">
        <v>45351</v>
      </c>
      <c r="L195" s="1"/>
      <c r="M195" s="9"/>
      <c r="O195" s="22">
        <v>200000</v>
      </c>
      <c r="P195" s="4">
        <f t="shared" ref="P195:P204" si="23">N195-O195</f>
        <v>-200000</v>
      </c>
      <c r="Q195" s="23" t="s">
        <v>22</v>
      </c>
      <c r="R195" s="39"/>
      <c r="S195" s="6"/>
    </row>
    <row r="196" spans="1:23" ht="30" x14ac:dyDescent="0.25">
      <c r="A196" s="2">
        <f>ROW(DIARIO[[#This Row],[Nombre de Cuenta]])-$A$177-1</f>
        <v>19</v>
      </c>
      <c r="B196" s="33" t="s">
        <v>17</v>
      </c>
      <c r="C196" s="35" t="s">
        <v>181</v>
      </c>
      <c r="D196" s="28">
        <f>VLOOKUP(C196,CATALOGO[],2,FALSE)</f>
        <v>31</v>
      </c>
      <c r="E196" s="37" t="str">
        <f>VLOOKUP(DIARIO[[#This Row],[Objeto de Gasto]],CATALOGO[],3,FALSE)</f>
        <v>32310 Prendas De Vestir</v>
      </c>
      <c r="F196" s="27" t="s">
        <v>11</v>
      </c>
      <c r="G196" s="29" t="s">
        <v>467</v>
      </c>
      <c r="H196" s="27" t="s">
        <v>468</v>
      </c>
      <c r="I196" s="30">
        <v>45315</v>
      </c>
      <c r="J196" s="27"/>
      <c r="K196" s="30"/>
      <c r="L196" s="27"/>
      <c r="M196" s="30"/>
      <c r="N196" s="31"/>
      <c r="O196" s="32">
        <v>2657500</v>
      </c>
      <c r="P196" s="31">
        <f t="shared" si="23"/>
        <v>-2657500</v>
      </c>
      <c r="Q196" s="33" t="s">
        <v>10</v>
      </c>
      <c r="R196" s="40"/>
      <c r="S196" s="29" t="s">
        <v>658</v>
      </c>
      <c r="T196" s="31"/>
    </row>
    <row r="197" spans="1:23" ht="90" x14ac:dyDescent="0.25">
      <c r="A197" s="2">
        <f>ROW(DIARIO[[#This Row],[Nombre de Cuenta]])-$A$177-1</f>
        <v>20</v>
      </c>
      <c r="B197" s="23" t="s">
        <v>21</v>
      </c>
      <c r="C197" s="34" t="s">
        <v>410</v>
      </c>
      <c r="D197" s="7">
        <f>VLOOKUP(C197,CATALOGO[],2,FALSE)</f>
        <v>41</v>
      </c>
      <c r="E197" s="36" t="str">
        <f>VLOOKUP(DIARIO[[#This Row],[Objeto de Gasto]],CATALOGO[],3,FALSE)</f>
        <v>35400 Insecticidas, Fumigantes Y Otros</v>
      </c>
      <c r="F197" s="1" t="s">
        <v>11</v>
      </c>
      <c r="G197" s="6" t="s">
        <v>456</v>
      </c>
      <c r="H197" s="1" t="s">
        <v>469</v>
      </c>
      <c r="I197" s="9">
        <v>45322</v>
      </c>
      <c r="J197" s="1" t="s">
        <v>470</v>
      </c>
      <c r="K197" s="9">
        <v>45322</v>
      </c>
      <c r="L197" s="1"/>
      <c r="M197" s="9"/>
      <c r="O197" s="22">
        <v>11200000</v>
      </c>
      <c r="P197" s="4">
        <f t="shared" si="23"/>
        <v>-11200000</v>
      </c>
      <c r="Q197" s="55" t="s">
        <v>18</v>
      </c>
      <c r="R197" s="39" t="s">
        <v>471</v>
      </c>
      <c r="S197" s="6" t="s">
        <v>711</v>
      </c>
    </row>
    <row r="198" spans="1:23" ht="75" x14ac:dyDescent="0.25">
      <c r="A198" s="2">
        <f>ROW(DIARIO[[#This Row],[Nombre de Cuenta]])-$A$177-1</f>
        <v>21</v>
      </c>
      <c r="B198" s="23" t="s">
        <v>30</v>
      </c>
      <c r="C198" s="34" t="s">
        <v>322</v>
      </c>
      <c r="D198" s="7">
        <f>VLOOKUP(C198,CATALOGO[],2,FALSE)</f>
        <v>59</v>
      </c>
      <c r="E198" s="36" t="str">
        <f>VLOOKUP(DIARIO[[#This Row],[Objeto de Gasto]],CATALOGO[],3,FALSE)</f>
        <v>42600 Equipo Para Computacion</v>
      </c>
      <c r="F198" s="1" t="s">
        <v>19</v>
      </c>
      <c r="G198" s="6" t="s">
        <v>472</v>
      </c>
      <c r="H198" s="1" t="s">
        <v>473</v>
      </c>
      <c r="I198" s="9">
        <v>45320</v>
      </c>
      <c r="J198" s="1" t="s">
        <v>474</v>
      </c>
      <c r="K198" s="9">
        <v>45345</v>
      </c>
      <c r="L198" s="1"/>
      <c r="M198" s="9"/>
      <c r="O198" s="22">
        <f>(21645.55*26)+(30164.5*25)+(45482.5*25)+15482.5+42859.1</f>
        <v>2512300.9</v>
      </c>
      <c r="P198" s="4">
        <f t="shared" si="23"/>
        <v>-2512300.9</v>
      </c>
      <c r="Q198" s="55" t="s">
        <v>18</v>
      </c>
      <c r="R198" s="39"/>
      <c r="S198" s="6" t="s">
        <v>933</v>
      </c>
      <c r="V198" s="25"/>
    </row>
    <row r="199" spans="1:23" ht="30" x14ac:dyDescent="0.25">
      <c r="A199" s="2">
        <f>ROW(DIARIO[[#This Row],[Nombre de Cuenta]])-$A$177-1</f>
        <v>22</v>
      </c>
      <c r="B199" s="23" t="s">
        <v>21</v>
      </c>
      <c r="C199" s="34" t="s">
        <v>422</v>
      </c>
      <c r="D199" s="7">
        <f>VLOOKUP(C199,CATALOGO[],2,FALSE)</f>
        <v>57</v>
      </c>
      <c r="E199" s="36" t="str">
        <f>VLOOKUP(DIARIO[[#This Row],[Objeto de Gasto]],CATALOGO[],3,FALSE)</f>
        <v>42220 Maquinaria Y Equipo De Producción Agropecuaria Y Forestal</v>
      </c>
      <c r="F199" s="1" t="s">
        <v>11</v>
      </c>
      <c r="G199" s="6" t="s">
        <v>475</v>
      </c>
      <c r="H199" s="1" t="s">
        <v>476</v>
      </c>
      <c r="I199" s="9">
        <v>45322</v>
      </c>
      <c r="J199" s="1" t="s">
        <v>477</v>
      </c>
      <c r="K199" s="9">
        <v>45347</v>
      </c>
      <c r="L199" s="1"/>
      <c r="M199" s="9"/>
      <c r="O199" s="22">
        <v>1500000</v>
      </c>
      <c r="P199" s="4">
        <f t="shared" si="23"/>
        <v>-1500000</v>
      </c>
      <c r="Q199" s="23" t="s">
        <v>14</v>
      </c>
      <c r="R199" s="39" t="s">
        <v>478</v>
      </c>
      <c r="S199" s="6"/>
    </row>
    <row r="200" spans="1:23" ht="75" x14ac:dyDescent="0.25">
      <c r="A200" s="2">
        <f>ROW(DIARIO[[#This Row],[Nombre de Cuenta]])-$A$177-1</f>
        <v>23</v>
      </c>
      <c r="B200" s="23" t="s">
        <v>9</v>
      </c>
      <c r="C200" s="34" t="s">
        <v>421</v>
      </c>
      <c r="D200" s="7">
        <f>VLOOKUP(C200,CATALOGO[],2,FALSE)</f>
        <v>55</v>
      </c>
      <c r="E200" s="36" t="str">
        <f>VLOOKUP(DIARIO[[#This Row],[Objeto de Gasto]],CATALOGO[],3,FALSE)</f>
        <v>42120 Equipos Varios De Oficina</v>
      </c>
      <c r="F200" s="1" t="s">
        <v>11</v>
      </c>
      <c r="G200" s="6" t="s">
        <v>479</v>
      </c>
      <c r="H200" s="1" t="s">
        <v>480</v>
      </c>
      <c r="I200" s="9">
        <v>45327</v>
      </c>
      <c r="J200" s="1" t="s">
        <v>674</v>
      </c>
      <c r="K200" s="9">
        <v>45404</v>
      </c>
      <c r="L200" s="1"/>
      <c r="M200" s="9"/>
      <c r="O200" s="22">
        <v>896998</v>
      </c>
      <c r="P200" s="4">
        <f t="shared" si="23"/>
        <v>-896998</v>
      </c>
      <c r="Q200" s="23" t="s">
        <v>14</v>
      </c>
      <c r="R200" s="39"/>
      <c r="S200" s="6" t="s">
        <v>749</v>
      </c>
    </row>
    <row r="201" spans="1:23" ht="60" x14ac:dyDescent="0.25">
      <c r="A201" s="2">
        <f>ROW(DIARIO[[#This Row],[Nombre de Cuenta]])-$A$177-1</f>
        <v>24</v>
      </c>
      <c r="B201" s="33" t="s">
        <v>30</v>
      </c>
      <c r="C201" s="35" t="s">
        <v>425</v>
      </c>
      <c r="D201" s="28">
        <f>VLOOKUP(C201,CATALOGO[],2,FALSE)</f>
        <v>59</v>
      </c>
      <c r="E201" s="37" t="str">
        <f>VLOOKUP(DIARIO[[#This Row],[Objeto de Gasto]],CATALOGO[],3,FALSE)</f>
        <v>42600 Equipo Para Computacion</v>
      </c>
      <c r="F201" s="27" t="s">
        <v>19</v>
      </c>
      <c r="G201" s="29" t="s">
        <v>482</v>
      </c>
      <c r="H201" s="27" t="s">
        <v>483</v>
      </c>
      <c r="I201" s="30">
        <v>45327</v>
      </c>
      <c r="J201" s="27"/>
      <c r="K201" s="30"/>
      <c r="L201" s="27"/>
      <c r="M201" s="30"/>
      <c r="N201" s="31"/>
      <c r="O201" s="32">
        <v>393985</v>
      </c>
      <c r="P201" s="31">
        <f t="shared" si="23"/>
        <v>-393985</v>
      </c>
      <c r="Q201" s="33" t="s">
        <v>10</v>
      </c>
      <c r="R201" s="40"/>
      <c r="S201" s="29"/>
      <c r="T201" s="31"/>
    </row>
    <row r="202" spans="1:23" ht="75" x14ac:dyDescent="0.25">
      <c r="A202" s="2">
        <f>ROW(DIARIO[[#This Row],[Nombre de Cuenta]])-$A$177-1</f>
        <v>25</v>
      </c>
      <c r="B202" s="23" t="s">
        <v>30</v>
      </c>
      <c r="C202" s="34" t="s">
        <v>419</v>
      </c>
      <c r="D202" s="7">
        <f>VLOOKUP(C202,CATALOGO[],2,FALSE)</f>
        <v>52</v>
      </c>
      <c r="E202" s="36" t="str">
        <f>VLOOKUP(DIARIO[[#This Row],[Objeto de Gasto]],CATALOGO[],3,FALSE)</f>
        <v>39600 Otros Repuestos Y Accesorios Menores</v>
      </c>
      <c r="F202" s="1" t="s">
        <v>19</v>
      </c>
      <c r="G202" s="6" t="s">
        <v>484</v>
      </c>
      <c r="H202" s="1" t="s">
        <v>485</v>
      </c>
      <c r="I202" s="9">
        <v>45327</v>
      </c>
      <c r="J202" s="1" t="s">
        <v>486</v>
      </c>
      <c r="K202" s="9">
        <v>45345</v>
      </c>
      <c r="L202" s="1"/>
      <c r="M202" s="9"/>
      <c r="O202" s="22">
        <f>(14892.5)+(8050)+22467.5</f>
        <v>45410</v>
      </c>
      <c r="P202" s="4">
        <f t="shared" si="23"/>
        <v>-45410</v>
      </c>
      <c r="Q202" s="23" t="s">
        <v>18</v>
      </c>
      <c r="R202" s="39"/>
      <c r="S202" s="6"/>
      <c r="T202" s="4">
        <f>(14892.5)+(8050)</f>
        <v>22942.5</v>
      </c>
      <c r="V202" s="150"/>
      <c r="W202" s="25"/>
    </row>
    <row r="203" spans="1:23" ht="60" x14ac:dyDescent="0.25">
      <c r="A203" s="2">
        <f>ROW(DIARIO[[#This Row],[Nombre de Cuenta]])-$A$177-1</f>
        <v>26</v>
      </c>
      <c r="B203" s="23" t="s">
        <v>30</v>
      </c>
      <c r="C203" s="34" t="s">
        <v>416</v>
      </c>
      <c r="D203" s="7">
        <f>VLOOKUP(C203,CATALOGO[],2,FALSE)</f>
        <v>48</v>
      </c>
      <c r="E203" s="36" t="str">
        <f>VLOOKUP(DIARIO[[#This Row],[Objeto de Gasto]],CATALOGO[],3,FALSE)</f>
        <v>39200 Utiles De Esritorio, Oficina  Y Enseñanza</v>
      </c>
      <c r="F203" s="1" t="s">
        <v>19</v>
      </c>
      <c r="G203" s="6" t="s">
        <v>487</v>
      </c>
      <c r="H203" s="1" t="s">
        <v>488</v>
      </c>
      <c r="I203" s="9">
        <v>45327</v>
      </c>
      <c r="J203" s="1" t="s">
        <v>489</v>
      </c>
      <c r="K203" s="9">
        <v>45345</v>
      </c>
      <c r="L203" s="1"/>
      <c r="M203" s="9"/>
      <c r="O203" s="22">
        <f>5395.05+12111.32+1741.69+1019.5</f>
        <v>20267.559999999998</v>
      </c>
      <c r="P203" s="4">
        <f t="shared" si="23"/>
        <v>-20267.559999999998</v>
      </c>
      <c r="Q203" s="23" t="s">
        <v>18</v>
      </c>
      <c r="R203" s="39"/>
      <c r="S203" s="6"/>
      <c r="T203" s="4">
        <v>20267.559999999998</v>
      </c>
      <c r="V203" s="150"/>
      <c r="W203" s="25"/>
    </row>
    <row r="204" spans="1:23" ht="30" x14ac:dyDescent="0.25">
      <c r="A204" s="2">
        <f>ROW(DIARIO[[#This Row],[Nombre de Cuenta]])-$A$177-1</f>
        <v>27</v>
      </c>
      <c r="B204" s="23" t="s">
        <v>30</v>
      </c>
      <c r="C204" s="34" t="s">
        <v>405</v>
      </c>
      <c r="D204" s="7">
        <f>VLOOKUP(C204,CATALOGO[],2,FALSE)</f>
        <v>33</v>
      </c>
      <c r="E204" s="36" t="str">
        <f>VLOOKUP(DIARIO[[#This Row],[Objeto de Gasto]],CATALOGO[],3,FALSE)</f>
        <v xml:space="preserve">33100 Productos De Papel Y Carton </v>
      </c>
      <c r="F204" s="1" t="s">
        <v>15</v>
      </c>
      <c r="G204" s="6" t="s">
        <v>490</v>
      </c>
      <c r="H204" s="1" t="s">
        <v>491</v>
      </c>
      <c r="I204" s="9">
        <v>45327</v>
      </c>
      <c r="J204" s="1" t="s">
        <v>492</v>
      </c>
      <c r="K204" s="9">
        <v>45345</v>
      </c>
      <c r="L204" s="1"/>
      <c r="M204" s="9"/>
      <c r="O204" s="22">
        <f>7718.8+1431.06+1661.06</f>
        <v>10810.92</v>
      </c>
      <c r="P204" s="4">
        <f t="shared" si="23"/>
        <v>-10810.92</v>
      </c>
      <c r="Q204" s="55" t="s">
        <v>18</v>
      </c>
      <c r="R204" s="39"/>
      <c r="S204" t="s">
        <v>934</v>
      </c>
      <c r="T204" s="4">
        <v>10810.92</v>
      </c>
    </row>
    <row r="205" spans="1:23" ht="45" x14ac:dyDescent="0.25">
      <c r="A205" s="2">
        <f>ROW(DIARIO[[#This Row],[Nombre de Cuenta]])-$A$177-1</f>
        <v>28</v>
      </c>
      <c r="B205" s="23" t="s">
        <v>30</v>
      </c>
      <c r="C205" s="34" t="s">
        <v>261</v>
      </c>
      <c r="D205" s="7">
        <f>VLOOKUP(C205,CATALOGO[],2,FALSE)</f>
        <v>47</v>
      </c>
      <c r="E205" s="36" t="str">
        <f>VLOOKUP(DIARIO[[#This Row],[Objeto de Gasto]],CATALOGO[],3,FALSE)</f>
        <v>39100 Elementos De Limpieza Y Aseo Personal</v>
      </c>
      <c r="F205" s="1" t="s">
        <v>11</v>
      </c>
      <c r="G205" s="6" t="s">
        <v>493</v>
      </c>
      <c r="H205" s="1" t="s">
        <v>494</v>
      </c>
      <c r="I205" s="9">
        <v>45331</v>
      </c>
      <c r="J205" s="1" t="s">
        <v>495</v>
      </c>
      <c r="K205" s="9">
        <v>45345</v>
      </c>
      <c r="L205" s="1"/>
      <c r="M205" s="9"/>
      <c r="O205" s="22">
        <v>1024.6500000000001</v>
      </c>
      <c r="P205" s="4">
        <f>N205-O205</f>
        <v>-1024.6500000000001</v>
      </c>
      <c r="Q205" s="23" t="s">
        <v>18</v>
      </c>
      <c r="R205" s="39"/>
      <c r="S205" s="6" t="s">
        <v>722</v>
      </c>
      <c r="T205" s="4">
        <v>1024.6500000000001</v>
      </c>
    </row>
    <row r="206" spans="1:23" ht="45" x14ac:dyDescent="0.25">
      <c r="A206" s="2">
        <f>ROW(DIARIO[[#This Row],[Nombre de Cuenta]])-$A$177-1</f>
        <v>29</v>
      </c>
      <c r="B206" s="23" t="s">
        <v>9</v>
      </c>
      <c r="C206" s="34" t="s">
        <v>370</v>
      </c>
      <c r="D206" s="7">
        <f>VLOOKUP(C206,CATALOGO[],2,FALSE)</f>
        <v>67</v>
      </c>
      <c r="E206" s="36" t="str">
        <f>VLOOKUP(DIARIO[[#This Row],[Objeto de Gasto]],CATALOGO[],3,FALSE)</f>
        <v>39300 Utiles Y Materiales Eléctricos</v>
      </c>
      <c r="F206" s="1" t="s">
        <v>19</v>
      </c>
      <c r="G206" s="6" t="s">
        <v>496</v>
      </c>
      <c r="H206" s="1" t="s">
        <v>497</v>
      </c>
      <c r="I206" s="9">
        <v>45331</v>
      </c>
      <c r="J206" s="1" t="s">
        <v>498</v>
      </c>
      <c r="K206" s="9">
        <v>45336</v>
      </c>
      <c r="L206" s="1"/>
      <c r="M206" s="9"/>
      <c r="O206" s="22">
        <v>10000</v>
      </c>
      <c r="P206" s="4">
        <f>N206-O206</f>
        <v>-10000</v>
      </c>
      <c r="Q206" s="23" t="s">
        <v>14</v>
      </c>
      <c r="R206" s="39"/>
      <c r="S206" s="6"/>
    </row>
    <row r="207" spans="1:23" ht="30" x14ac:dyDescent="0.25">
      <c r="A207" s="2">
        <f>ROW(DIARIO[[#This Row],[Nombre de Cuenta]])-$A$177-1</f>
        <v>30</v>
      </c>
      <c r="B207" s="23" t="s">
        <v>17</v>
      </c>
      <c r="C207" s="34" t="s">
        <v>181</v>
      </c>
      <c r="D207" s="7">
        <v>31</v>
      </c>
      <c r="E207" s="36" t="str">
        <f>VLOOKUP(DIARIO[[#This Row],[Objeto de Gasto]],CATALOGO[],3,FALSE)</f>
        <v>32310 Prendas De Vestir</v>
      </c>
      <c r="F207" s="1" t="s">
        <v>11</v>
      </c>
      <c r="G207" s="6" t="s">
        <v>467</v>
      </c>
      <c r="H207" s="1" t="s">
        <v>499</v>
      </c>
      <c r="I207" s="9">
        <v>45334</v>
      </c>
      <c r="J207" s="1" t="s">
        <v>655</v>
      </c>
      <c r="K207" s="9">
        <v>45358</v>
      </c>
      <c r="L207" s="1"/>
      <c r="M207" s="9"/>
      <c r="O207" s="22">
        <v>2657500</v>
      </c>
      <c r="P207" s="4">
        <v>-2657500</v>
      </c>
      <c r="Q207" s="23" t="s">
        <v>14</v>
      </c>
      <c r="R207" s="39" t="s">
        <v>788</v>
      </c>
      <c r="S207" s="6" t="s">
        <v>656</v>
      </c>
    </row>
    <row r="208" spans="1:23" ht="45" x14ac:dyDescent="0.25">
      <c r="A208" s="2">
        <f>ROW(DIARIO[[#This Row],[Nombre de Cuenta]])-$A$177-1</f>
        <v>31</v>
      </c>
      <c r="B208" s="23" t="s">
        <v>30</v>
      </c>
      <c r="C208" s="34" t="s">
        <v>425</v>
      </c>
      <c r="D208" s="7">
        <f>VLOOKUP(C208,CATALOGO[],2,FALSE)</f>
        <v>59</v>
      </c>
      <c r="E208" s="36" t="str">
        <f>VLOOKUP(DIARIO[[#This Row],[Objeto de Gasto]],CATALOGO[],3,FALSE)</f>
        <v>42600 Equipo Para Computacion</v>
      </c>
      <c r="F208" s="1" t="s">
        <v>19</v>
      </c>
      <c r="G208" s="6" t="s">
        <v>500</v>
      </c>
      <c r="H208" s="1" t="s">
        <v>483</v>
      </c>
      <c r="I208" s="9">
        <v>45327</v>
      </c>
      <c r="J208" s="1" t="s">
        <v>474</v>
      </c>
      <c r="K208" s="9">
        <v>45345</v>
      </c>
      <c r="L208" s="1"/>
      <c r="M208" s="9"/>
      <c r="O208" s="22">
        <f>(21645.55*2)+(30164.5*4)+(45482.5*6)-42859.1</f>
        <v>393985</v>
      </c>
      <c r="P208" s="4">
        <f t="shared" ref="P208:P214" si="24">N208-O208</f>
        <v>-393985</v>
      </c>
      <c r="Q208" s="55" t="s">
        <v>18</v>
      </c>
      <c r="R208" s="39"/>
      <c r="S208" s="6" t="s">
        <v>929</v>
      </c>
      <c r="V208" s="25"/>
    </row>
    <row r="209" spans="1:22" x14ac:dyDescent="0.25">
      <c r="A209" s="2">
        <f>ROW(DIARIO[[#This Row],[Nombre de Cuenta]])-$A$177-1</f>
        <v>32</v>
      </c>
      <c r="B209" s="23" t="s">
        <v>30</v>
      </c>
      <c r="C209" s="34" t="s">
        <v>426</v>
      </c>
      <c r="D209" s="7">
        <f>VLOOKUP(C209,CATALOGO[],2,FALSE)</f>
        <v>60</v>
      </c>
      <c r="E209" s="36" t="str">
        <f>VLOOKUP(DIARIO[[#This Row],[Objeto de Gasto]],CATALOGO[],3,FALSE)</f>
        <v>45100 Aplicaciones Informaticas</v>
      </c>
      <c r="F209" s="1" t="s">
        <v>19</v>
      </c>
      <c r="G209" s="6" t="s">
        <v>501</v>
      </c>
      <c r="H209" s="1" t="s">
        <v>502</v>
      </c>
      <c r="I209" s="9">
        <v>45345</v>
      </c>
      <c r="J209" s="1" t="s">
        <v>466</v>
      </c>
      <c r="K209" s="9">
        <v>45351</v>
      </c>
      <c r="L209" s="1"/>
      <c r="M209" s="9"/>
      <c r="O209" s="22">
        <v>200000</v>
      </c>
      <c r="P209" s="4">
        <f t="shared" si="24"/>
        <v>-200000</v>
      </c>
      <c r="Q209" s="23" t="s">
        <v>22</v>
      </c>
      <c r="R209" s="39"/>
      <c r="S209" s="6"/>
    </row>
    <row r="210" spans="1:22" ht="30" x14ac:dyDescent="0.25">
      <c r="A210" s="2">
        <f>ROW(DIARIO[[#This Row],[Nombre de Cuenta]])-$A$177-1</f>
        <v>33</v>
      </c>
      <c r="B210" s="23" t="s">
        <v>17</v>
      </c>
      <c r="C210" s="34" t="s">
        <v>412</v>
      </c>
      <c r="D210" s="7">
        <f>VLOOKUP(C210,CATALOGO[],2,FALSE)</f>
        <v>42</v>
      </c>
      <c r="E210" s="36" t="str">
        <f>VLOOKUP(DIARIO[[#This Row],[Objeto de Gasto]],CATALOGO[],3,FALSE)</f>
        <v>35620 Diesel</v>
      </c>
      <c r="F210" s="1" t="s">
        <v>15</v>
      </c>
      <c r="G210" s="6" t="s">
        <v>503</v>
      </c>
      <c r="H210" s="1" t="s">
        <v>504</v>
      </c>
      <c r="I210" s="9">
        <v>45344</v>
      </c>
      <c r="J210" s="1" t="s">
        <v>505</v>
      </c>
      <c r="K210" s="9">
        <v>45349</v>
      </c>
      <c r="L210" s="1"/>
      <c r="M210" s="9"/>
      <c r="O210" s="22">
        <f>1332973-308901</f>
        <v>1024072</v>
      </c>
      <c r="P210" s="4">
        <f t="shared" si="24"/>
        <v>-1024072</v>
      </c>
      <c r="Q210" s="23" t="s">
        <v>14</v>
      </c>
      <c r="R210" s="39"/>
      <c r="S210" s="6"/>
    </row>
    <row r="211" spans="1:22" ht="30" x14ac:dyDescent="0.25">
      <c r="A211" s="2">
        <f>ROW(DIARIO[[#This Row],[Nombre de Cuenta]])-$A$177-1</f>
        <v>34</v>
      </c>
      <c r="B211" s="23" t="s">
        <v>17</v>
      </c>
      <c r="C211" s="34" t="s">
        <v>411</v>
      </c>
      <c r="D211" s="7">
        <f>VLOOKUP(C211,CATALOGO[],2,FALSE)</f>
        <v>66</v>
      </c>
      <c r="E211" s="36" t="str">
        <f>VLOOKUP(DIARIO[[#This Row],[Objeto de Gasto]],CATALOGO[],3,FALSE)</f>
        <v>35610 Gasolina</v>
      </c>
      <c r="F211" s="1" t="s">
        <v>15</v>
      </c>
      <c r="G211" s="6" t="s">
        <v>506</v>
      </c>
      <c r="H211" s="1" t="s">
        <v>507</v>
      </c>
      <c r="I211" s="9">
        <v>45344</v>
      </c>
      <c r="J211" s="1" t="s">
        <v>508</v>
      </c>
      <c r="K211" s="9">
        <v>45349</v>
      </c>
      <c r="L211" s="1"/>
      <c r="M211" s="9"/>
      <c r="O211" s="22">
        <v>1071788</v>
      </c>
      <c r="P211" s="4">
        <f t="shared" si="24"/>
        <v>-1071788</v>
      </c>
      <c r="Q211" s="23" t="s">
        <v>14</v>
      </c>
      <c r="R211" s="39"/>
      <c r="S211" s="6"/>
    </row>
    <row r="212" spans="1:22" ht="45" x14ac:dyDescent="0.25">
      <c r="A212" s="2">
        <f>ROW(DIARIO[[#This Row],[Nombre de Cuenta]])-$A$177-1</f>
        <v>35</v>
      </c>
      <c r="B212" s="23" t="s">
        <v>9</v>
      </c>
      <c r="C212" s="34" t="s">
        <v>161</v>
      </c>
      <c r="D212" s="7">
        <f>VLOOKUP(C212,CATALOGO[],2,FALSE)</f>
        <v>27</v>
      </c>
      <c r="E212" s="36" t="str">
        <f>VLOOKUP(DIARIO[[#This Row],[Objeto de Gasto]],CATALOGO[],3,FALSE)</f>
        <v>29100 Ceremonial Y Protocolo</v>
      </c>
      <c r="F212" s="1" t="s">
        <v>19</v>
      </c>
      <c r="G212" s="6" t="s">
        <v>509</v>
      </c>
      <c r="H212" s="1" t="s">
        <v>510</v>
      </c>
      <c r="I212" s="9">
        <v>45349</v>
      </c>
      <c r="J212" s="1" t="s">
        <v>511</v>
      </c>
      <c r="K212" s="9">
        <v>45350</v>
      </c>
      <c r="L212" s="1"/>
      <c r="M212" s="9"/>
      <c r="O212" s="22">
        <v>118910</v>
      </c>
      <c r="P212" s="4">
        <f t="shared" si="24"/>
        <v>-118910</v>
      </c>
      <c r="Q212" s="55" t="s">
        <v>18</v>
      </c>
      <c r="R212" s="39" t="s">
        <v>667</v>
      </c>
      <c r="S212" s="6"/>
      <c r="T212" s="22">
        <v>118910</v>
      </c>
    </row>
    <row r="213" spans="1:22" ht="45" x14ac:dyDescent="0.25">
      <c r="A213" s="2">
        <f>ROW(DIARIO[[#This Row],[Nombre de Cuenta]])-$A$177-1</f>
        <v>36</v>
      </c>
      <c r="B213" s="23" t="s">
        <v>30</v>
      </c>
      <c r="C213" s="34" t="s">
        <v>323</v>
      </c>
      <c r="D213" s="7">
        <f>VLOOKUP(C213,CATALOGO[],2,FALSE)</f>
        <v>59</v>
      </c>
      <c r="E213" s="36" t="str">
        <f>VLOOKUP(DIARIO[[#This Row],[Objeto de Gasto]],CATALOGO[],3,FALSE)</f>
        <v>42600 Equipo Para Computacion</v>
      </c>
      <c r="F213" s="1" t="s">
        <v>19</v>
      </c>
      <c r="G213" s="6" t="s">
        <v>512</v>
      </c>
      <c r="H213" s="1" t="s">
        <v>513</v>
      </c>
      <c r="I213" s="9">
        <v>45349</v>
      </c>
      <c r="J213" s="1" t="s">
        <v>514</v>
      </c>
      <c r="K213" s="9">
        <v>45356</v>
      </c>
      <c r="L213" s="1"/>
      <c r="M213" s="9"/>
      <c r="O213" s="22">
        <f>43291.11+239062</f>
        <v>282353.11</v>
      </c>
      <c r="P213" s="4">
        <f t="shared" si="24"/>
        <v>-282353.11</v>
      </c>
      <c r="Q213" s="55" t="s">
        <v>18</v>
      </c>
      <c r="R213" s="39"/>
      <c r="S213" s="147" t="s">
        <v>931</v>
      </c>
      <c r="V213" s="25"/>
    </row>
    <row r="214" spans="1:22" ht="30" x14ac:dyDescent="0.25">
      <c r="A214" s="2">
        <f>ROW(DIARIO[[#This Row],[Nombre de Cuenta]])-$A$177-1</f>
        <v>37</v>
      </c>
      <c r="B214" s="23" t="s">
        <v>30</v>
      </c>
      <c r="C214" s="34" t="s">
        <v>328</v>
      </c>
      <c r="D214" s="7">
        <f>VLOOKUP(C214,CATALOGO[],2,FALSE)</f>
        <v>60</v>
      </c>
      <c r="E214" s="36" t="str">
        <f>VLOOKUP(DIARIO[[#This Row],[Objeto de Gasto]],CATALOGO[],3,FALSE)</f>
        <v>45100 Aplicaciones Informaticas</v>
      </c>
      <c r="F214" s="1" t="s">
        <v>19</v>
      </c>
      <c r="G214" s="6" t="s">
        <v>515</v>
      </c>
      <c r="H214" s="1" t="s">
        <v>516</v>
      </c>
      <c r="I214" s="9">
        <v>45349</v>
      </c>
      <c r="J214" s="1" t="s">
        <v>466</v>
      </c>
      <c r="K214" s="9">
        <v>45351</v>
      </c>
      <c r="L214" s="1"/>
      <c r="M214" s="9"/>
      <c r="O214" s="22">
        <v>110047</v>
      </c>
      <c r="P214" s="4">
        <f t="shared" si="24"/>
        <v>-110047</v>
      </c>
      <c r="Q214" s="23" t="s">
        <v>22</v>
      </c>
      <c r="R214" s="39"/>
      <c r="S214" s="6" t="s">
        <v>616</v>
      </c>
    </row>
    <row r="215" spans="1:22" ht="45" x14ac:dyDescent="0.25">
      <c r="A215" s="2">
        <f>ROW(DIARIO[[#This Row],[Nombre de Cuenta]])-$A$177-1</f>
        <v>38</v>
      </c>
      <c r="B215" s="23" t="s">
        <v>17</v>
      </c>
      <c r="C215" s="34" t="s">
        <v>403</v>
      </c>
      <c r="D215" s="7">
        <f>VLOOKUP(C215,CATALOGO[],2,FALSE)</f>
        <v>31</v>
      </c>
      <c r="E215" s="36" t="str">
        <f>VLOOKUP(DIARIO[[#This Row],[Objeto de Gasto]],CATALOGO[],3,FALSE)</f>
        <v>32310 Prendas De Vestir</v>
      </c>
      <c r="F215" s="1" t="s">
        <v>11</v>
      </c>
      <c r="G215" s="6" t="s">
        <v>517</v>
      </c>
      <c r="H215" s="1" t="s">
        <v>518</v>
      </c>
      <c r="I215" s="9">
        <v>45355</v>
      </c>
      <c r="J215" s="1" t="s">
        <v>655</v>
      </c>
      <c r="K215" s="9">
        <v>45358</v>
      </c>
      <c r="L215" s="1"/>
      <c r="M215" s="9"/>
      <c r="O215" s="22">
        <v>0</v>
      </c>
      <c r="P215" s="4">
        <f t="shared" ref="P215:P225" si="25">N215-O215</f>
        <v>0</v>
      </c>
      <c r="Q215" s="23" t="s">
        <v>14</v>
      </c>
      <c r="R215" s="39" t="s">
        <v>788</v>
      </c>
      <c r="S215" s="6" t="s">
        <v>657</v>
      </c>
    </row>
    <row r="216" spans="1:22" ht="45" x14ac:dyDescent="0.25">
      <c r="A216" s="2">
        <f>ROW(DIARIO[[#This Row],[Nombre de Cuenta]])-$A$177-1</f>
        <v>39</v>
      </c>
      <c r="B216" s="23" t="s">
        <v>17</v>
      </c>
      <c r="C216" s="34" t="s">
        <v>403</v>
      </c>
      <c r="D216" s="7">
        <f>VLOOKUP(C216,CATALOGO[],2,FALSE)</f>
        <v>31</v>
      </c>
      <c r="E216" s="36" t="str">
        <f>VLOOKUP(DIARIO[[#This Row],[Objeto de Gasto]],CATALOGO[],3,FALSE)</f>
        <v>32310 Prendas De Vestir</v>
      </c>
      <c r="F216" s="1" t="s">
        <v>11</v>
      </c>
      <c r="G216" s="6" t="s">
        <v>519</v>
      </c>
      <c r="H216" s="1" t="s">
        <v>520</v>
      </c>
      <c r="I216" s="9">
        <v>45327</v>
      </c>
      <c r="J216" s="1" t="s">
        <v>655</v>
      </c>
      <c r="K216" s="9">
        <v>45358</v>
      </c>
      <c r="L216" s="1"/>
      <c r="M216" s="9"/>
      <c r="O216" s="22">
        <v>1331518</v>
      </c>
      <c r="P216" s="4">
        <f t="shared" si="25"/>
        <v>-1331518</v>
      </c>
      <c r="Q216" s="23" t="s">
        <v>14</v>
      </c>
      <c r="R216" s="39" t="s">
        <v>788</v>
      </c>
      <c r="S216" s="6" t="s">
        <v>657</v>
      </c>
    </row>
    <row r="217" spans="1:22" ht="30" x14ac:dyDescent="0.25">
      <c r="A217" s="2">
        <f>ROW(DIARIO[[#This Row],[Nombre de Cuenta]])-$A$177-1</f>
        <v>40</v>
      </c>
      <c r="B217" s="23" t="s">
        <v>17</v>
      </c>
      <c r="C217" s="34" t="s">
        <v>182</v>
      </c>
      <c r="D217" s="7">
        <f>VLOOKUP(C217,CATALOGO[],2,FALSE)</f>
        <v>31</v>
      </c>
      <c r="E217" s="36" t="str">
        <f>VLOOKUP(DIARIO[[#This Row],[Objeto de Gasto]],CATALOGO[],3,FALSE)</f>
        <v>32310 Prendas De Vestir</v>
      </c>
      <c r="F217" s="1" t="s">
        <v>11</v>
      </c>
      <c r="G217" s="6" t="s">
        <v>521</v>
      </c>
      <c r="H217" s="1" t="s">
        <v>522</v>
      </c>
      <c r="I217" s="9">
        <v>45330</v>
      </c>
      <c r="J217" s="1" t="s">
        <v>655</v>
      </c>
      <c r="K217" s="9">
        <v>45358</v>
      </c>
      <c r="L217" s="1"/>
      <c r="M217" s="9"/>
      <c r="O217" s="22">
        <v>1950000</v>
      </c>
      <c r="P217" s="4">
        <f t="shared" si="25"/>
        <v>-1950000</v>
      </c>
      <c r="Q217" s="23" t="s">
        <v>14</v>
      </c>
      <c r="R217" s="39" t="s">
        <v>788</v>
      </c>
      <c r="S217" s="6" t="s">
        <v>656</v>
      </c>
    </row>
    <row r="218" spans="1:22" ht="60" x14ac:dyDescent="0.25">
      <c r="A218" s="2">
        <f>ROW(DIARIO[[#This Row],[Nombre de Cuenta]])-$A$177-1</f>
        <v>41</v>
      </c>
      <c r="B218" s="23" t="s">
        <v>17</v>
      </c>
      <c r="C218" s="34" t="s">
        <v>406</v>
      </c>
      <c r="D218" s="7">
        <f>VLOOKUP(C218,CATALOGO[],2,FALSE)</f>
        <v>34</v>
      </c>
      <c r="E218" s="36" t="str">
        <f>VLOOKUP(DIARIO[[#This Row],[Objeto de Gasto]],CATALOGO[],3,FALSE)</f>
        <v>33300 Productos De Artes Graficas</v>
      </c>
      <c r="F218" s="1" t="s">
        <v>11</v>
      </c>
      <c r="G218" s="6" t="s">
        <v>523</v>
      </c>
      <c r="H218" s="1" t="s">
        <v>524</v>
      </c>
      <c r="I218" s="9">
        <v>45355</v>
      </c>
      <c r="J218" s="1" t="s">
        <v>680</v>
      </c>
      <c r="K218" s="9">
        <v>45405</v>
      </c>
      <c r="L218" s="1"/>
      <c r="M218" s="9"/>
      <c r="O218" s="22">
        <f>IF(DIARIO[[#This Row],[Estatus]]="Proceso",SUMIFS(DIARIO[Entrada],DIARIO[Objeto de Gasto],DIARIO[[#This Row],[Objeto de Gasto]],DIARIO[Estatus],"Saldo Inicial"),0)</f>
        <v>959000</v>
      </c>
      <c r="P218" s="4">
        <f t="shared" si="25"/>
        <v>-959000</v>
      </c>
      <c r="Q218" s="23" t="s">
        <v>14</v>
      </c>
      <c r="R218" s="39"/>
      <c r="S218" s="6" t="s">
        <v>525</v>
      </c>
    </row>
    <row r="219" spans="1:22" ht="30" x14ac:dyDescent="0.25">
      <c r="A219" s="2">
        <f>ROW(DIARIO[[#This Row],[Nombre de Cuenta]])-$A$177-1</f>
        <v>42</v>
      </c>
      <c r="B219" s="23" t="s">
        <v>17</v>
      </c>
      <c r="C219" s="34" t="s">
        <v>421</v>
      </c>
      <c r="D219" s="7">
        <f>VLOOKUP(C219,CATALOGO[],2,FALSE)</f>
        <v>55</v>
      </c>
      <c r="E219" s="36" t="str">
        <f>VLOOKUP(DIARIO[[#This Row],[Objeto de Gasto]],CATALOGO[],3,FALSE)</f>
        <v>42120 Equipos Varios De Oficina</v>
      </c>
      <c r="F219" s="1" t="s">
        <v>19</v>
      </c>
      <c r="G219" s="6" t="s">
        <v>526</v>
      </c>
      <c r="H219" s="1" t="s">
        <v>527</v>
      </c>
      <c r="I219" s="9">
        <v>45355</v>
      </c>
      <c r="J219" s="1" t="s">
        <v>674</v>
      </c>
      <c r="K219" s="9">
        <v>45404</v>
      </c>
      <c r="L219" s="1"/>
      <c r="M219" s="9"/>
      <c r="O219" s="22">
        <v>0</v>
      </c>
      <c r="P219" s="4">
        <f t="shared" si="25"/>
        <v>0</v>
      </c>
      <c r="Q219" s="23" t="s">
        <v>14</v>
      </c>
      <c r="R219" s="39"/>
      <c r="S219" s="6" t="s">
        <v>481</v>
      </c>
    </row>
    <row r="220" spans="1:22" ht="240" x14ac:dyDescent="0.25">
      <c r="A220" s="2">
        <f>ROW(DIARIO[[#This Row],[Nombre de Cuenta]])-$A$177-1</f>
        <v>43</v>
      </c>
      <c r="B220" s="23" t="s">
        <v>30</v>
      </c>
      <c r="C220" s="34" t="s">
        <v>415</v>
      </c>
      <c r="D220" s="7">
        <f>VLOOKUP(C220,CATALOGO[],2,FALSE)</f>
        <v>47</v>
      </c>
      <c r="E220" s="36" t="str">
        <f>VLOOKUP(DIARIO[[#This Row],[Objeto de Gasto]],CATALOGO[],3,FALSE)</f>
        <v>39100 Elementos De Limpieza Y Aseo Personal</v>
      </c>
      <c r="F220" s="1" t="s">
        <v>19</v>
      </c>
      <c r="G220" s="6" t="s">
        <v>528</v>
      </c>
      <c r="H220" s="1" t="s">
        <v>529</v>
      </c>
      <c r="I220" s="9">
        <v>45355</v>
      </c>
      <c r="J220" s="1" t="s">
        <v>530</v>
      </c>
      <c r="K220" s="9">
        <v>45370</v>
      </c>
      <c r="L220" s="1"/>
      <c r="M220" s="9"/>
      <c r="O220" s="22">
        <v>470316</v>
      </c>
      <c r="P220" s="4">
        <f t="shared" si="25"/>
        <v>-470316</v>
      </c>
      <c r="Q220" s="23" t="s">
        <v>14</v>
      </c>
      <c r="R220" s="39"/>
      <c r="S220" s="6"/>
    </row>
    <row r="221" spans="1:22" ht="135" x14ac:dyDescent="0.25">
      <c r="A221" s="2">
        <f>ROW(DIARIO[[#This Row],[Nombre de Cuenta]])-$A$177-1</f>
        <v>44</v>
      </c>
      <c r="B221" s="23" t="s">
        <v>30</v>
      </c>
      <c r="C221" s="34" t="s">
        <v>415</v>
      </c>
      <c r="D221" s="7">
        <f>VLOOKUP(C221,CATALOGO[],2,FALSE)</f>
        <v>47</v>
      </c>
      <c r="E221" s="36" t="str">
        <f>VLOOKUP(DIARIO[[#This Row],[Objeto de Gasto]],CATALOGO[],3,FALSE)</f>
        <v>39100 Elementos De Limpieza Y Aseo Personal</v>
      </c>
      <c r="F221" s="1" t="s">
        <v>19</v>
      </c>
      <c r="G221" s="6" t="s">
        <v>531</v>
      </c>
      <c r="H221" s="1" t="s">
        <v>532</v>
      </c>
      <c r="I221" s="9">
        <v>45355</v>
      </c>
      <c r="J221" s="1" t="s">
        <v>530</v>
      </c>
      <c r="K221" s="9">
        <v>45370</v>
      </c>
      <c r="L221" s="1"/>
      <c r="M221" s="9"/>
      <c r="O221" s="22"/>
      <c r="P221" s="4">
        <f t="shared" si="25"/>
        <v>0</v>
      </c>
      <c r="Q221" s="23" t="s">
        <v>14</v>
      </c>
      <c r="R221" s="39"/>
      <c r="S221" s="6" t="s">
        <v>481</v>
      </c>
    </row>
    <row r="222" spans="1:22" ht="30" x14ac:dyDescent="0.25">
      <c r="A222" s="91">
        <f>ROW(DIARIO[[#This Row],[Nombre de Cuenta]])-$A$177-1</f>
        <v>45</v>
      </c>
      <c r="B222" s="33" t="s">
        <v>30</v>
      </c>
      <c r="C222" s="35" t="s">
        <v>416</v>
      </c>
      <c r="D222" s="7">
        <f>VLOOKUP(C222,CATALOGO[],2,FALSE)</f>
        <v>48</v>
      </c>
      <c r="E222" s="37" t="str">
        <f>VLOOKUP(DIARIO[[#This Row],[Objeto de Gasto]],CATALOGO[],3,FALSE)</f>
        <v>39200 Utiles De Esritorio, Oficina  Y Enseñanza</v>
      </c>
      <c r="F222" s="27" t="s">
        <v>15</v>
      </c>
      <c r="G222" s="29" t="s">
        <v>533</v>
      </c>
      <c r="H222" s="27" t="s">
        <v>534</v>
      </c>
      <c r="I222" s="30">
        <v>45355</v>
      </c>
      <c r="J222" s="27"/>
      <c r="K222" s="30"/>
      <c r="L222" s="27"/>
      <c r="M222" s="30"/>
      <c r="N222" s="31"/>
      <c r="O222" s="32">
        <v>691300</v>
      </c>
      <c r="P222" s="4">
        <f t="shared" si="25"/>
        <v>-691300</v>
      </c>
      <c r="Q222" s="33" t="s">
        <v>10</v>
      </c>
      <c r="R222" s="40"/>
      <c r="S222" s="92" t="s">
        <v>535</v>
      </c>
      <c r="T222" s="31"/>
    </row>
    <row r="223" spans="1:22" ht="30" x14ac:dyDescent="0.25">
      <c r="A223" s="2">
        <f>ROW(DIARIO[[#This Row],[Nombre de Cuenta]])-$A$177-1</f>
        <v>46</v>
      </c>
      <c r="B223" s="23" t="s">
        <v>30</v>
      </c>
      <c r="C223" s="34" t="s">
        <v>426</v>
      </c>
      <c r="D223" s="7">
        <f>VLOOKUP(C223,CATALOGO[],2,FALSE)</f>
        <v>60</v>
      </c>
      <c r="E223" s="36" t="str">
        <f>VLOOKUP(DIARIO[[#This Row],[Objeto de Gasto]],CATALOGO[],3,FALSE)</f>
        <v>45100 Aplicaciones Informaticas</v>
      </c>
      <c r="F223" s="1" t="s">
        <v>19</v>
      </c>
      <c r="G223" s="6" t="s">
        <v>536</v>
      </c>
      <c r="H223" s="1" t="s">
        <v>537</v>
      </c>
      <c r="I223" s="9">
        <v>45355</v>
      </c>
      <c r="J223" s="1"/>
      <c r="K223" s="9"/>
      <c r="L223" s="1"/>
      <c r="M223" s="9"/>
      <c r="O223" s="22">
        <v>0</v>
      </c>
      <c r="P223" s="4">
        <f t="shared" si="25"/>
        <v>0</v>
      </c>
      <c r="Q223" s="23" t="s">
        <v>10</v>
      </c>
      <c r="R223" s="39"/>
      <c r="S223" s="54" t="s">
        <v>538</v>
      </c>
    </row>
    <row r="224" spans="1:22" ht="45" x14ac:dyDescent="0.25">
      <c r="A224" s="2">
        <f>ROW(DIARIO[[#This Row],[Nombre de Cuenta]])-$A$177-1</f>
        <v>47</v>
      </c>
      <c r="B224" s="23" t="s">
        <v>9</v>
      </c>
      <c r="C224" s="34" t="s">
        <v>420</v>
      </c>
      <c r="D224" s="7">
        <f>VLOOKUP(C224,CATALOGO[],2,FALSE)</f>
        <v>54</v>
      </c>
      <c r="E224" s="36" t="str">
        <f>VLOOKUP(DIARIO[[#This Row],[Objeto de Gasto]],CATALOGO[],3,FALSE)</f>
        <v>42110 Muebles Varios De Oficina</v>
      </c>
      <c r="F224" s="1" t="s">
        <v>11</v>
      </c>
      <c r="G224" s="6" t="s">
        <v>539</v>
      </c>
      <c r="H224" s="1" t="s">
        <v>540</v>
      </c>
      <c r="I224" s="9">
        <v>45341</v>
      </c>
      <c r="J224" s="1" t="s">
        <v>652</v>
      </c>
      <c r="K224" s="9">
        <v>45404</v>
      </c>
      <c r="L224" s="1"/>
      <c r="M224" s="9"/>
      <c r="O224" s="22">
        <v>200000</v>
      </c>
      <c r="P224" s="4">
        <f t="shared" si="25"/>
        <v>-200000</v>
      </c>
      <c r="Q224" s="23" t="s">
        <v>14</v>
      </c>
      <c r="R224" s="39" t="s">
        <v>766</v>
      </c>
      <c r="S224" s="6"/>
    </row>
    <row r="225" spans="1:20" x14ac:dyDescent="0.25">
      <c r="A225" s="2">
        <f>ROW(DIARIO[[#This Row],[Nombre de Cuenta]])-$A$177-1</f>
        <v>48</v>
      </c>
      <c r="B225" s="23" t="s">
        <v>9</v>
      </c>
      <c r="C225" s="34" t="s">
        <v>399</v>
      </c>
      <c r="D225" s="7">
        <f>VLOOKUP(C225,CATALOGO[],2,FALSE)</f>
        <v>20</v>
      </c>
      <c r="E225" s="36" t="str">
        <f>VLOOKUP(DIARIO[[#This Row],[Objeto de Gasto]],CATALOGO[],3,FALSE)</f>
        <v>25100 Servicios De Transporte</v>
      </c>
      <c r="F225" s="1" t="s">
        <v>11</v>
      </c>
      <c r="G225" s="6" t="s">
        <v>541</v>
      </c>
      <c r="H225" s="1" t="s">
        <v>542</v>
      </c>
      <c r="I225" s="9">
        <v>45356</v>
      </c>
      <c r="J225" s="1" t="s">
        <v>543</v>
      </c>
      <c r="K225" s="9">
        <v>45358</v>
      </c>
      <c r="L225" s="1"/>
      <c r="M225" s="9"/>
      <c r="O225" s="22">
        <v>100000</v>
      </c>
      <c r="P225" s="4">
        <f t="shared" si="25"/>
        <v>-100000</v>
      </c>
      <c r="Q225" s="23" t="s">
        <v>14</v>
      </c>
      <c r="R225" s="39"/>
      <c r="S225" s="6"/>
    </row>
    <row r="226" spans="1:20" ht="45" x14ac:dyDescent="0.25">
      <c r="A226" s="53">
        <f>ROW(DIARIO[[#This Row],[Nombre de Cuenta]])-$A$177-1</f>
        <v>49</v>
      </c>
      <c r="B226" s="23" t="s">
        <v>9</v>
      </c>
      <c r="C226" s="34" t="s">
        <v>95</v>
      </c>
      <c r="D226" s="7">
        <f>VLOOKUP(C226,CATALOGO[],2,FALSE)</f>
        <v>14</v>
      </c>
      <c r="E226" s="36" t="str">
        <f>VLOOKUP(DIARIO[[#This Row],[Objeto de Gasto]],CATALOGO[],3,FALSE)</f>
        <v>23100 Mantenimiento Y Reparacion De Edificios Y Locales</v>
      </c>
      <c r="F226" s="1" t="s">
        <v>11</v>
      </c>
      <c r="G226" s="6" t="s">
        <v>544</v>
      </c>
      <c r="H226" s="1" t="s">
        <v>545</v>
      </c>
      <c r="I226" s="9">
        <v>45362</v>
      </c>
      <c r="J226" s="1" t="s">
        <v>546</v>
      </c>
      <c r="K226" s="9">
        <v>45365</v>
      </c>
      <c r="L226" s="1"/>
      <c r="M226" s="9"/>
      <c r="O226" s="22">
        <v>3498345</v>
      </c>
      <c r="P226" s="4">
        <f t="shared" ref="P226:P232" si="26">N226-O226</f>
        <v>-3498345</v>
      </c>
      <c r="Q226" s="23" t="s">
        <v>14</v>
      </c>
      <c r="R226" s="39" t="s">
        <v>767</v>
      </c>
      <c r="S226" s="6"/>
    </row>
    <row r="227" spans="1:20" ht="45" x14ac:dyDescent="0.25">
      <c r="A227" s="53">
        <f>ROW(DIARIO[[#This Row],[Nombre de Cuenta]])-$A$177-1</f>
        <v>50</v>
      </c>
      <c r="B227" s="23" t="s">
        <v>9</v>
      </c>
      <c r="C227" s="34" t="s">
        <v>396</v>
      </c>
      <c r="D227" s="7">
        <f>VLOOKUP(C227,CATALOGO[],2,FALSE)</f>
        <v>14</v>
      </c>
      <c r="E227" s="36" t="str">
        <f>VLOOKUP(DIARIO[[#This Row],[Objeto de Gasto]],CATALOGO[],3,FALSE)</f>
        <v>23100 Mantenimiento Y Reparacion De Edificios Y Locales</v>
      </c>
      <c r="F227" s="1" t="s">
        <v>11</v>
      </c>
      <c r="G227" s="6" t="s">
        <v>544</v>
      </c>
      <c r="H227" s="1" t="s">
        <v>545</v>
      </c>
      <c r="I227" s="9">
        <v>45362</v>
      </c>
      <c r="J227" s="1" t="s">
        <v>546</v>
      </c>
      <c r="K227" s="9">
        <v>45365</v>
      </c>
      <c r="L227" s="1"/>
      <c r="M227" s="9"/>
      <c r="O227" s="22">
        <v>569656</v>
      </c>
      <c r="P227" s="4">
        <f t="shared" si="26"/>
        <v>-569656</v>
      </c>
      <c r="Q227" s="23" t="s">
        <v>14</v>
      </c>
      <c r="R227" s="39" t="s">
        <v>767</v>
      </c>
      <c r="S227" s="6"/>
    </row>
    <row r="228" spans="1:20" ht="45" x14ac:dyDescent="0.25">
      <c r="A228" s="53">
        <f>ROW(DIARIO[[#This Row],[Nombre de Cuenta]])-$A$177-1</f>
        <v>51</v>
      </c>
      <c r="B228" s="23" t="s">
        <v>9</v>
      </c>
      <c r="C228" s="34" t="s">
        <v>96</v>
      </c>
      <c r="D228" s="7">
        <f>VLOOKUP(C228,CATALOGO[],2,FALSE)</f>
        <v>14</v>
      </c>
      <c r="E228" s="36" t="str">
        <f>VLOOKUP(DIARIO[[#This Row],[Objeto de Gasto]],CATALOGO[],3,FALSE)</f>
        <v>23100 Mantenimiento Y Reparacion De Edificios Y Locales</v>
      </c>
      <c r="F228" s="1" t="s">
        <v>11</v>
      </c>
      <c r="G228" s="6" t="s">
        <v>544</v>
      </c>
      <c r="H228" s="1" t="s">
        <v>545</v>
      </c>
      <c r="I228" s="9">
        <v>45362</v>
      </c>
      <c r="J228" s="1" t="s">
        <v>546</v>
      </c>
      <c r="K228" s="9">
        <v>45365</v>
      </c>
      <c r="L228" s="1"/>
      <c r="M228" s="9"/>
      <c r="O228" s="22">
        <v>400000</v>
      </c>
      <c r="P228" s="4">
        <f t="shared" si="26"/>
        <v>-400000</v>
      </c>
      <c r="Q228" s="23" t="s">
        <v>14</v>
      </c>
      <c r="R228" s="39" t="s">
        <v>767</v>
      </c>
      <c r="S228" s="6"/>
    </row>
    <row r="229" spans="1:20" ht="30" x14ac:dyDescent="0.25">
      <c r="A229" s="53">
        <f>ROW(DIARIO[[#This Row],[Nombre de Cuenta]])-$A$177-1</f>
        <v>52</v>
      </c>
      <c r="B229" s="23" t="s">
        <v>30</v>
      </c>
      <c r="C229" s="34" t="s">
        <v>426</v>
      </c>
      <c r="D229" s="7">
        <f>VLOOKUP(C229,CATALOGO[],2,FALSE)</f>
        <v>60</v>
      </c>
      <c r="E229" s="36" t="str">
        <f>VLOOKUP(DIARIO[[#This Row],[Objeto de Gasto]],CATALOGO[],3,FALSE)</f>
        <v>45100 Aplicaciones Informaticas</v>
      </c>
      <c r="F229" s="1" t="s">
        <v>19</v>
      </c>
      <c r="G229" s="6" t="s">
        <v>547</v>
      </c>
      <c r="H229" s="1" t="s">
        <v>548</v>
      </c>
      <c r="I229" s="9">
        <v>45365</v>
      </c>
      <c r="J229" s="1" t="s">
        <v>659</v>
      </c>
      <c r="K229" s="9">
        <v>45370</v>
      </c>
      <c r="L229" s="1"/>
      <c r="M229" s="9"/>
      <c r="O229" s="22">
        <v>0</v>
      </c>
      <c r="P229" s="4">
        <f t="shared" si="26"/>
        <v>0</v>
      </c>
      <c r="Q229" s="23" t="s">
        <v>22</v>
      </c>
      <c r="R229" s="39"/>
      <c r="S229" s="6" t="s">
        <v>660</v>
      </c>
    </row>
    <row r="230" spans="1:20" ht="45" x14ac:dyDescent="0.25">
      <c r="A230" s="53">
        <f>ROW(DIARIO[[#This Row],[Nombre de Cuenta]])-$A$177-1</f>
        <v>53</v>
      </c>
      <c r="B230" s="23" t="s">
        <v>30</v>
      </c>
      <c r="C230" s="34" t="s">
        <v>191</v>
      </c>
      <c r="D230" s="7">
        <f>VLOOKUP(C230,CATALOGO[],2,FALSE)</f>
        <v>33</v>
      </c>
      <c r="E230" s="36" t="str">
        <f>VLOOKUP(DIARIO[[#This Row],[Objeto de Gasto]],CATALOGO[],3,FALSE)</f>
        <v xml:space="preserve">33100 Productos De Papel Y Carton </v>
      </c>
      <c r="F230" s="1" t="s">
        <v>11</v>
      </c>
      <c r="G230" s="6" t="s">
        <v>549</v>
      </c>
      <c r="H230" s="1" t="s">
        <v>550</v>
      </c>
      <c r="I230" s="9">
        <v>45357</v>
      </c>
      <c r="J230" s="1" t="s">
        <v>551</v>
      </c>
      <c r="K230" s="9">
        <v>45369</v>
      </c>
      <c r="L230" s="1"/>
      <c r="M230" s="9"/>
      <c r="O230" s="22">
        <f>((50*149.5)+(50*86.95)+(50*149)+(50*37.5))*(1.15)</f>
        <v>24319.624999999996</v>
      </c>
      <c r="P230" s="4">
        <f t="shared" si="26"/>
        <v>-24319.624999999996</v>
      </c>
      <c r="Q230" s="55" t="s">
        <v>18</v>
      </c>
      <c r="R230" s="39"/>
      <c r="S230" s="6" t="s">
        <v>732</v>
      </c>
      <c r="T230" s="4">
        <v>24319.624999999996</v>
      </c>
    </row>
    <row r="231" spans="1:20" ht="30" x14ac:dyDescent="0.25">
      <c r="A231" s="53">
        <f>ROW(DIARIO[[#This Row],[Nombre de Cuenta]])-$A$177-1</f>
        <v>54</v>
      </c>
      <c r="B231" s="23" t="s">
        <v>30</v>
      </c>
      <c r="C231" s="34" t="s">
        <v>188</v>
      </c>
      <c r="D231" s="7">
        <f>VLOOKUP(C231,CATALOGO[],2,FALSE)</f>
        <v>33</v>
      </c>
      <c r="E231" s="36" t="str">
        <f>VLOOKUP(DIARIO[[#This Row],[Objeto de Gasto]],CATALOGO[],3,FALSE)</f>
        <v xml:space="preserve">33100 Productos De Papel Y Carton </v>
      </c>
      <c r="F231" s="1" t="s">
        <v>11</v>
      </c>
      <c r="G231" s="6" t="s">
        <v>552</v>
      </c>
      <c r="H231" s="1"/>
      <c r="I231" s="9"/>
      <c r="J231" s="1" t="s">
        <v>551</v>
      </c>
      <c r="K231" s="9">
        <v>45369</v>
      </c>
      <c r="L231" s="1"/>
      <c r="M231" s="9"/>
      <c r="O231" s="22">
        <f>((10*149.5)+(170*86.95)+(50*149)+(50*37.5))*(1.15)</f>
        <v>29441.724999999999</v>
      </c>
      <c r="P231" s="4">
        <f t="shared" si="26"/>
        <v>-29441.724999999999</v>
      </c>
      <c r="Q231" s="55" t="s">
        <v>18</v>
      </c>
      <c r="R231" s="39"/>
      <c r="S231" s="6" t="s">
        <v>732</v>
      </c>
      <c r="T231" s="4">
        <v>29441.724999999999</v>
      </c>
    </row>
    <row r="232" spans="1:20" ht="30" x14ac:dyDescent="0.25">
      <c r="A232" s="53">
        <f>ROW(DIARIO[[#This Row],[Nombre de Cuenta]])-$A$177-1</f>
        <v>55</v>
      </c>
      <c r="B232" s="23" t="s">
        <v>30</v>
      </c>
      <c r="C232" s="34" t="s">
        <v>263</v>
      </c>
      <c r="D232" s="7">
        <f>VLOOKUP(C232,CATALOGO[],2,FALSE)</f>
        <v>48</v>
      </c>
      <c r="E232" s="36" t="str">
        <f>VLOOKUP(DIARIO[[#This Row],[Objeto de Gasto]],CATALOGO[],3,FALSE)</f>
        <v>39200 Utiles De Esritorio, Oficina  Y Enseñanza</v>
      </c>
      <c r="F232" s="1" t="s">
        <v>15</v>
      </c>
      <c r="G232" s="6" t="s">
        <v>553</v>
      </c>
      <c r="H232" s="1"/>
      <c r="I232" s="9"/>
      <c r="J232" s="1" t="s">
        <v>554</v>
      </c>
      <c r="K232" s="9">
        <v>45369</v>
      </c>
      <c r="L232" s="1"/>
      <c r="M232" s="9"/>
      <c r="O232" s="22">
        <f>168+1138.05+886.18+1567.5</f>
        <v>3759.73</v>
      </c>
      <c r="P232" s="4">
        <f t="shared" si="26"/>
        <v>-3759.73</v>
      </c>
      <c r="Q232" s="23" t="s">
        <v>18</v>
      </c>
      <c r="R232" s="39"/>
      <c r="S232" s="6"/>
      <c r="T232" s="22">
        <v>3759.73</v>
      </c>
    </row>
    <row r="233" spans="1:20" ht="30" x14ac:dyDescent="0.25">
      <c r="A233" s="53">
        <f>ROW(DIARIO[[#This Row],[Nombre de Cuenta]])-$A$177-1</f>
        <v>56</v>
      </c>
      <c r="B233" s="23" t="s">
        <v>30</v>
      </c>
      <c r="C233" s="34" t="s">
        <v>423</v>
      </c>
      <c r="D233" s="7">
        <f>VLOOKUP(C233,CATALOGO[],2,FALSE)</f>
        <v>61</v>
      </c>
      <c r="E233" s="36" t="str">
        <f>VLOOKUP(DIARIO[[#This Row],[Objeto de Gasto]],CATALOGO[],3,FALSE)</f>
        <v>42310 Equipo De Transporte Terrestre Para Personas</v>
      </c>
      <c r="F233" s="1" t="s">
        <v>11</v>
      </c>
      <c r="G233" s="6" t="s">
        <v>555</v>
      </c>
      <c r="H233" s="1" t="s">
        <v>556</v>
      </c>
      <c r="I233" s="9">
        <v>45344</v>
      </c>
      <c r="J233" s="1" t="s">
        <v>557</v>
      </c>
      <c r="K233" s="9">
        <v>45370</v>
      </c>
      <c r="L233" s="1"/>
      <c r="M233" s="9"/>
      <c r="O233" s="22">
        <f>800000+937113</f>
        <v>1737113</v>
      </c>
      <c r="P233" s="4">
        <f>N233-O233</f>
        <v>-1737113</v>
      </c>
      <c r="Q233" s="23" t="s">
        <v>14</v>
      </c>
      <c r="R233" s="39"/>
      <c r="S233" s="6"/>
    </row>
    <row r="234" spans="1:20" ht="30" x14ac:dyDescent="0.25">
      <c r="A234" s="53">
        <f>ROW(DIARIO[[#This Row],[Nombre de Cuenta]])-$A$177-1</f>
        <v>57</v>
      </c>
      <c r="B234" s="23" t="s">
        <v>9</v>
      </c>
      <c r="C234" s="34" t="s">
        <v>400</v>
      </c>
      <c r="D234" s="7">
        <f>VLOOKUP(C234,CATALOGO[],2,FALSE)</f>
        <v>24</v>
      </c>
      <c r="E234" s="36" t="str">
        <f>VLOOKUP(DIARIO[[#This Row],[Objeto de Gasto]],CATALOGO[],3,FALSE)</f>
        <v>26110 Pasajes  Nacionales</v>
      </c>
      <c r="F234" s="1" t="s">
        <v>11</v>
      </c>
      <c r="G234" s="6" t="s">
        <v>615</v>
      </c>
      <c r="H234" s="1" t="s">
        <v>614</v>
      </c>
      <c r="I234" s="9">
        <v>45371</v>
      </c>
      <c r="J234" s="1" t="s">
        <v>613</v>
      </c>
      <c r="K234" s="9">
        <v>45372</v>
      </c>
      <c r="L234" s="1"/>
      <c r="M234" s="9"/>
      <c r="O234" s="22">
        <v>57934</v>
      </c>
      <c r="P234" s="4">
        <f>N234-O234</f>
        <v>-57934</v>
      </c>
      <c r="Q234" s="23" t="s">
        <v>18</v>
      </c>
      <c r="R234" s="39"/>
      <c r="S234" s="6"/>
    </row>
    <row r="235" spans="1:20" x14ac:dyDescent="0.25">
      <c r="A235" s="53">
        <f>ROW(DIARIO[[#This Row],[Nombre de Cuenta]])-$A$177-1</f>
        <v>58</v>
      </c>
      <c r="B235" s="23" t="s">
        <v>9</v>
      </c>
      <c r="C235" s="34" t="s">
        <v>401</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23" t="s">
        <v>10</v>
      </c>
      <c r="R235" s="39"/>
      <c r="S235" s="6" t="s">
        <v>629</v>
      </c>
    </row>
    <row r="236" spans="1:20" ht="30" x14ac:dyDescent="0.25">
      <c r="A236" s="53">
        <f>ROW(DIARIO[[#This Row],[Nombre de Cuenta]])-$A$177-1</f>
        <v>59</v>
      </c>
      <c r="B236" s="23" t="s">
        <v>30</v>
      </c>
      <c r="C236" s="34" t="s">
        <v>266</v>
      </c>
      <c r="D236" s="7">
        <f>VLOOKUP(C236,CATALOGO[],2,FALSE)</f>
        <v>48</v>
      </c>
      <c r="E236" s="36" t="str">
        <f>VLOOKUP(DIARIO[[#This Row],[Objeto de Gasto]],CATALOGO[],3,FALSE)</f>
        <v>39200 Utiles De Esritorio, Oficina  Y Enseñanza</v>
      </c>
      <c r="F236" s="1" t="s">
        <v>15</v>
      </c>
      <c r="G236" s="6" t="s">
        <v>620</v>
      </c>
      <c r="H236" s="1" t="s">
        <v>617</v>
      </c>
      <c r="I236" s="9">
        <v>45385</v>
      </c>
      <c r="J236" s="1" t="s">
        <v>624</v>
      </c>
      <c r="K236" s="9">
        <v>45386</v>
      </c>
      <c r="L236" s="1"/>
      <c r="M236" s="9"/>
      <c r="O236" s="22">
        <f>77683+30779.75+44239.08+25536.74+49416.3</f>
        <v>227654.87</v>
      </c>
      <c r="P236" s="4">
        <f>N236-O236</f>
        <v>-227654.87</v>
      </c>
      <c r="Q236" s="23" t="s">
        <v>18</v>
      </c>
      <c r="R236" s="39"/>
      <c r="S236" s="6"/>
      <c r="T236" s="22">
        <f>77683+30779.75+44239.08+25536.74+49416.3-1971.07</f>
        <v>225683.8</v>
      </c>
    </row>
    <row r="237" spans="1:20" ht="30" x14ac:dyDescent="0.25">
      <c r="A237" s="53">
        <f>ROW(DIARIO[[#This Row],[Nombre de Cuenta]])-$A$177-1</f>
        <v>60</v>
      </c>
      <c r="B237" s="23" t="s">
        <v>30</v>
      </c>
      <c r="C237" s="34" t="s">
        <v>192</v>
      </c>
      <c r="D237" s="7">
        <f>VLOOKUP(C237,CATALOGO[],2,FALSE)</f>
        <v>33</v>
      </c>
      <c r="E237" s="36" t="str">
        <f>VLOOKUP(DIARIO[[#This Row],[Objeto de Gasto]],CATALOGO[],3,FALSE)</f>
        <v xml:space="preserve">33100 Productos De Papel Y Carton </v>
      </c>
      <c r="F237" s="1" t="s">
        <v>15</v>
      </c>
      <c r="G237" s="6" t="s">
        <v>618</v>
      </c>
      <c r="H237" s="1" t="s">
        <v>619</v>
      </c>
      <c r="I237" s="9">
        <v>45385</v>
      </c>
      <c r="J237" s="1" t="s">
        <v>623</v>
      </c>
      <c r="K237" s="9">
        <v>45386</v>
      </c>
      <c r="L237" s="1"/>
      <c r="M237" s="9"/>
      <c r="O237" s="22">
        <f>21864.38+4312.5+5097.9</f>
        <v>31274.78</v>
      </c>
      <c r="P237" s="4">
        <f>N237-O237</f>
        <v>-31274.78</v>
      </c>
      <c r="Q237" s="55" t="s">
        <v>18</v>
      </c>
      <c r="R237" s="39"/>
      <c r="S237" s="6" t="s">
        <v>935</v>
      </c>
      <c r="T237" s="4">
        <v>31274.78</v>
      </c>
    </row>
    <row r="238" spans="1:20" ht="30" x14ac:dyDescent="0.25">
      <c r="A238" s="53">
        <f>ROW(DIARIO[[#This Row],[Nombre de Cuenta]])-$A$177-1</f>
        <v>61</v>
      </c>
      <c r="B238" s="23" t="s">
        <v>9</v>
      </c>
      <c r="C238" s="34" t="s">
        <v>401</v>
      </c>
      <c r="D238" s="7">
        <f>VLOOKUP(C238,CATALOGO[],2,FALSE)</f>
        <v>25</v>
      </c>
      <c r="E238" s="36" t="str">
        <f>VLOOKUP(DIARIO[[#This Row],[Objeto de Gasto]],CATALOGO[],3,FALSE)</f>
        <v>26210 Viaticos Nacionales</v>
      </c>
      <c r="F238" s="1" t="s">
        <v>19</v>
      </c>
      <c r="G238" s="6" t="s">
        <v>627</v>
      </c>
      <c r="H238" s="1" t="s">
        <v>625</v>
      </c>
      <c r="I238" s="9">
        <v>45386</v>
      </c>
      <c r="J238" s="1" t="s">
        <v>650</v>
      </c>
      <c r="K238" s="9">
        <v>45390</v>
      </c>
      <c r="L238" s="1"/>
      <c r="M238" s="9"/>
      <c r="O238" s="22">
        <v>688200</v>
      </c>
      <c r="P238" s="4">
        <f t="shared" ref="P238:P239" si="27">N238-O238</f>
        <v>-688200</v>
      </c>
      <c r="Q238" s="23" t="s">
        <v>26</v>
      </c>
      <c r="R238" s="39"/>
      <c r="S238" s="6" t="s">
        <v>755</v>
      </c>
    </row>
    <row r="239" spans="1:20" ht="30" x14ac:dyDescent="0.25">
      <c r="A239" s="53">
        <f>ROW(DIARIO[[#This Row],[Nombre de Cuenta]])-$A$177-1</f>
        <v>62</v>
      </c>
      <c r="B239" s="23" t="s">
        <v>9</v>
      </c>
      <c r="C239" s="34" t="s">
        <v>400</v>
      </c>
      <c r="D239" s="7">
        <f>VLOOKUP(C239,CATALOGO[],2,FALSE)</f>
        <v>24</v>
      </c>
      <c r="E239" s="36" t="str">
        <f>VLOOKUP(DIARIO[[#This Row],[Objeto de Gasto]],CATALOGO[],3,FALSE)</f>
        <v>26110 Pasajes  Nacionales</v>
      </c>
      <c r="F239" s="1" t="s">
        <v>19</v>
      </c>
      <c r="G239" s="6" t="s">
        <v>628</v>
      </c>
      <c r="H239" s="1" t="s">
        <v>626</v>
      </c>
      <c r="I239" s="9">
        <v>45386</v>
      </c>
      <c r="J239" s="1"/>
      <c r="K239" s="9"/>
      <c r="L239" s="1"/>
      <c r="M239" s="9"/>
      <c r="O239" s="22">
        <v>0</v>
      </c>
      <c r="P239" s="4">
        <f t="shared" si="27"/>
        <v>0</v>
      </c>
      <c r="Q239" s="23" t="s">
        <v>10</v>
      </c>
      <c r="R239" s="39"/>
      <c r="S239" s="6" t="s">
        <v>630</v>
      </c>
    </row>
    <row r="240" spans="1:20" ht="90" x14ac:dyDescent="0.25">
      <c r="A240" s="53">
        <f>ROW(DIARIO[[#This Row],[Nombre de Cuenta]])-$A$177-1</f>
        <v>63</v>
      </c>
      <c r="B240" s="23" t="s">
        <v>30</v>
      </c>
      <c r="C240" s="34" t="s">
        <v>286</v>
      </c>
      <c r="D240" s="7">
        <f>VLOOKUP(C240,CATALOGO[],2,FALSE)</f>
        <v>52</v>
      </c>
      <c r="E240" s="36" t="str">
        <f>VLOOKUP(DIARIO[[#This Row],[Objeto de Gasto]],CATALOGO[],3,FALSE)</f>
        <v>39600 Otros Repuestos Y Accesorios Menores</v>
      </c>
      <c r="F240" s="1" t="s">
        <v>11</v>
      </c>
      <c r="G240" s="6" t="s">
        <v>631</v>
      </c>
      <c r="H240" s="1" t="s">
        <v>632</v>
      </c>
      <c r="I240" s="9">
        <v>45386</v>
      </c>
      <c r="J240" s="1" t="s">
        <v>648</v>
      </c>
      <c r="K240" s="9">
        <v>45394</v>
      </c>
      <c r="L240" s="1"/>
      <c r="M240" s="9"/>
      <c r="O240" s="22">
        <v>0</v>
      </c>
      <c r="P240" s="4">
        <f t="shared" ref="P240:P245" si="28">N240-O240</f>
        <v>0</v>
      </c>
      <c r="Q240" s="23" t="s">
        <v>14</v>
      </c>
      <c r="R240" s="39"/>
      <c r="S240" s="6" t="s">
        <v>787</v>
      </c>
    </row>
    <row r="241" spans="1:20" ht="30" x14ac:dyDescent="0.25">
      <c r="A241" s="53">
        <f>ROW(DIARIO[[#This Row],[Nombre de Cuenta]])-$A$177-1</f>
        <v>64</v>
      </c>
      <c r="B241" s="23" t="s">
        <v>30</v>
      </c>
      <c r="C241" s="34" t="s">
        <v>287</v>
      </c>
      <c r="D241" s="7">
        <f>VLOOKUP(C241,CATALOGO[],2,FALSE)</f>
        <v>52</v>
      </c>
      <c r="E241" s="36" t="str">
        <f>VLOOKUP(DIARIO[[#This Row],[Objeto de Gasto]],CATALOGO[],3,FALSE)</f>
        <v>39600 Otros Repuestos Y Accesorios Menores</v>
      </c>
      <c r="F241" s="1" t="s">
        <v>19</v>
      </c>
      <c r="G241" s="6" t="s">
        <v>633</v>
      </c>
      <c r="H241" s="1" t="s">
        <v>634</v>
      </c>
      <c r="I241" s="9">
        <v>45391</v>
      </c>
      <c r="J241" s="1" t="s">
        <v>648</v>
      </c>
      <c r="K241" s="9">
        <v>45394</v>
      </c>
      <c r="L241" s="1"/>
      <c r="M241" s="9"/>
      <c r="O241" s="22">
        <v>0</v>
      </c>
      <c r="P241" s="4">
        <f t="shared" si="28"/>
        <v>0</v>
      </c>
      <c r="Q241" s="23" t="s">
        <v>14</v>
      </c>
      <c r="R241" s="39"/>
      <c r="S241" s="6" t="s">
        <v>787</v>
      </c>
    </row>
    <row r="242" spans="1:20" x14ac:dyDescent="0.25">
      <c r="A242" s="53">
        <f>ROW(DIARIO[[#This Row],[Nombre de Cuenta]])-$A$177-1</f>
        <v>65</v>
      </c>
      <c r="B242" s="23" t="s">
        <v>30</v>
      </c>
      <c r="C242" s="34" t="s">
        <v>267</v>
      </c>
      <c r="D242" s="7">
        <f>VLOOKUP(C242,CATALOGO[],2,FALSE)</f>
        <v>48</v>
      </c>
      <c r="E242" s="36" t="str">
        <f>VLOOKUP(DIARIO[[#This Row],[Objeto de Gasto]],CATALOGO[],3,FALSE)</f>
        <v>39200 Utiles De Esritorio, Oficina  Y Enseñanza</v>
      </c>
      <c r="F242" s="1" t="s">
        <v>15</v>
      </c>
      <c r="G242" s="6" t="s">
        <v>635</v>
      </c>
      <c r="H242" s="1" t="s">
        <v>636</v>
      </c>
      <c r="I242" s="9">
        <v>45391</v>
      </c>
      <c r="J242" s="1" t="s">
        <v>649</v>
      </c>
      <c r="K242" s="9">
        <v>45394</v>
      </c>
      <c r="L242" s="1"/>
      <c r="M242" s="9"/>
      <c r="O242" s="22">
        <f>4618.6+3860+1183</f>
        <v>9661.6</v>
      </c>
      <c r="P242" s="4">
        <f t="shared" si="28"/>
        <v>-9661.6</v>
      </c>
      <c r="Q242" s="23" t="s">
        <v>18</v>
      </c>
      <c r="R242" s="39"/>
      <c r="S242" s="6"/>
      <c r="T242" s="4">
        <v>9661.6</v>
      </c>
    </row>
    <row r="243" spans="1:20" ht="30" x14ac:dyDescent="0.25">
      <c r="A243" s="53">
        <f>ROW(DIARIO[[#This Row],[Nombre de Cuenta]])-$A$177-1</f>
        <v>66</v>
      </c>
      <c r="B243" s="23" t="s">
        <v>9</v>
      </c>
      <c r="C243" s="34" t="s">
        <v>298</v>
      </c>
      <c r="D243" s="7">
        <f>VLOOKUP(C243,CATALOGO[],2,FALSE)</f>
        <v>54</v>
      </c>
      <c r="E243" s="36" t="str">
        <f>VLOOKUP(DIARIO[[#This Row],[Objeto de Gasto]],CATALOGO[],3,FALSE)</f>
        <v>42110 Muebles Varios De Oficina</v>
      </c>
      <c r="F243" s="1" t="s">
        <v>11</v>
      </c>
      <c r="G243" s="6" t="s">
        <v>637</v>
      </c>
      <c r="H243" s="1" t="s">
        <v>638</v>
      </c>
      <c r="I243" s="9">
        <v>45391</v>
      </c>
      <c r="J243" s="1" t="s">
        <v>652</v>
      </c>
      <c r="K243" s="9">
        <v>45404</v>
      </c>
      <c r="L243" s="1"/>
      <c r="M243" s="9"/>
      <c r="O243" s="22">
        <v>100000</v>
      </c>
      <c r="P243" s="4">
        <f t="shared" si="28"/>
        <v>-100000</v>
      </c>
      <c r="Q243" s="23" t="s">
        <v>14</v>
      </c>
      <c r="R243" s="39" t="s">
        <v>766</v>
      </c>
      <c r="S243" s="6"/>
    </row>
    <row r="244" spans="1:20" ht="30" x14ac:dyDescent="0.25">
      <c r="A244" s="53">
        <f>ROW(DIARIO[[#This Row],[Nombre de Cuenta]])-$A$177-1</f>
        <v>67</v>
      </c>
      <c r="B244" s="23" t="s">
        <v>9</v>
      </c>
      <c r="C244" s="34" t="s">
        <v>419</v>
      </c>
      <c r="D244" s="7">
        <f>VLOOKUP(C244,CATALOGO[],2,FALSE)</f>
        <v>52</v>
      </c>
      <c r="E244" s="36" t="str">
        <f>VLOOKUP(DIARIO[[#This Row],[Objeto de Gasto]],CATALOGO[],3,FALSE)</f>
        <v>39600 Otros Repuestos Y Accesorios Menores</v>
      </c>
      <c r="F244" s="1" t="s">
        <v>19</v>
      </c>
      <c r="G244" s="6" t="s">
        <v>639</v>
      </c>
      <c r="H244" s="1" t="s">
        <v>640</v>
      </c>
      <c r="I244" s="9">
        <v>45387</v>
      </c>
      <c r="J244" s="1" t="s">
        <v>719</v>
      </c>
      <c r="K244" s="9">
        <v>45422</v>
      </c>
      <c r="L244" s="1"/>
      <c r="M244" s="9"/>
      <c r="O244" s="22">
        <v>0</v>
      </c>
      <c r="P244" s="4">
        <f t="shared" si="28"/>
        <v>0</v>
      </c>
      <c r="Q244" s="23" t="s">
        <v>14</v>
      </c>
      <c r="R244" s="39"/>
      <c r="S244" s="6" t="s">
        <v>641</v>
      </c>
    </row>
    <row r="245" spans="1:20" ht="30" x14ac:dyDescent="0.25">
      <c r="A245" s="53">
        <f>ROW(DIARIO[[#This Row],[Nombre de Cuenta]])-$A$177-1</f>
        <v>68</v>
      </c>
      <c r="B245" s="23" t="s">
        <v>30</v>
      </c>
      <c r="C245" s="34" t="s">
        <v>262</v>
      </c>
      <c r="D245" s="7">
        <f>VLOOKUP(C245,CATALOGO[],2,FALSE)</f>
        <v>47</v>
      </c>
      <c r="E245" s="36" t="str">
        <f>VLOOKUP(DIARIO[[#This Row],[Objeto de Gasto]],CATALOGO[],3,FALSE)</f>
        <v>39100 Elementos De Limpieza Y Aseo Personal</v>
      </c>
      <c r="F245" s="1" t="s">
        <v>19</v>
      </c>
      <c r="G245" s="6" t="s">
        <v>642</v>
      </c>
      <c r="H245" s="1" t="s">
        <v>653</v>
      </c>
      <c r="I245" s="9">
        <v>45393</v>
      </c>
      <c r="J245" s="1" t="s">
        <v>654</v>
      </c>
      <c r="K245" s="9">
        <v>45397</v>
      </c>
      <c r="L245" s="1"/>
      <c r="M245" s="9"/>
      <c r="O245" s="22">
        <v>1950</v>
      </c>
      <c r="P245" s="4">
        <f t="shared" si="28"/>
        <v>-1950</v>
      </c>
      <c r="Q245" s="55" t="s">
        <v>18</v>
      </c>
      <c r="R245" s="39"/>
      <c r="S245" s="6"/>
      <c r="T245" s="4">
        <v>1950</v>
      </c>
    </row>
    <row r="246" spans="1:20" x14ac:dyDescent="0.25">
      <c r="A246" s="53">
        <f>ROW(DIARIO[[#This Row],[Nombre de Cuenta]])-$A$177-1</f>
        <v>69</v>
      </c>
      <c r="B246" s="23" t="s">
        <v>21</v>
      </c>
      <c r="C246" s="34" t="s">
        <v>276</v>
      </c>
      <c r="D246" s="7">
        <f>VLOOKUP(C246,CATALOGO[],2,FALSE)</f>
        <v>50</v>
      </c>
      <c r="E246" s="36" t="str">
        <f>VLOOKUP(DIARIO[[#This Row],[Objeto de Gasto]],CATALOGO[],3,FALSE)</f>
        <v>39530 Material Medico Quirurgico Menor</v>
      </c>
      <c r="F246" s="1" t="s">
        <v>23</v>
      </c>
      <c r="G246" s="6" t="s">
        <v>643</v>
      </c>
      <c r="H246" s="1" t="s">
        <v>644</v>
      </c>
      <c r="I246" s="9">
        <v>45393</v>
      </c>
      <c r="J246" s="1"/>
      <c r="K246" s="9"/>
      <c r="L246" s="1"/>
      <c r="M246" s="9"/>
      <c r="O246" s="22">
        <v>48000</v>
      </c>
      <c r="P246" s="4">
        <f t="shared" ref="P246" si="29">N246-O246</f>
        <v>-48000</v>
      </c>
      <c r="Q246" s="23" t="s">
        <v>10</v>
      </c>
      <c r="R246" s="39"/>
      <c r="S246" s="6" t="s">
        <v>681</v>
      </c>
    </row>
    <row r="247" spans="1:20" ht="30" x14ac:dyDescent="0.25">
      <c r="A247" s="53">
        <f>ROW(DIARIO[[#This Row],[Nombre de Cuenta]])-$A$177-1</f>
        <v>70</v>
      </c>
      <c r="B247" s="23" t="s">
        <v>30</v>
      </c>
      <c r="C247" s="34" t="s">
        <v>423</v>
      </c>
      <c r="D247" s="7">
        <f>VLOOKUP(C247,CATALOGO[],2,FALSE)</f>
        <v>61</v>
      </c>
      <c r="E247" s="36" t="str">
        <f>VLOOKUP(DIARIO[[#This Row],[Objeto de Gasto]],CATALOGO[],3,FALSE)</f>
        <v>42310 Equipo De Transporte Terrestre Para Personas</v>
      </c>
      <c r="F247" s="1" t="s">
        <v>11</v>
      </c>
      <c r="G247" s="6" t="s">
        <v>645</v>
      </c>
      <c r="H247" s="1" t="s">
        <v>646</v>
      </c>
      <c r="I247" s="9">
        <v>45393</v>
      </c>
      <c r="J247" s="1" t="s">
        <v>666</v>
      </c>
      <c r="K247" s="9">
        <v>45394</v>
      </c>
      <c r="L247" s="1"/>
      <c r="M247" s="9"/>
      <c r="O247" s="22">
        <v>0</v>
      </c>
      <c r="P247" s="4">
        <f t="shared" ref="P247:P252" si="30">N247-O247</f>
        <v>0</v>
      </c>
      <c r="Q247" s="23" t="s">
        <v>14</v>
      </c>
      <c r="R247" s="39"/>
      <c r="S247" s="6" t="s">
        <v>647</v>
      </c>
    </row>
    <row r="248" spans="1:20" ht="45" x14ac:dyDescent="0.25">
      <c r="A248" s="53">
        <f>ROW(DIARIO[[#This Row],[Nombre de Cuenta]])-$A$177-1</f>
        <v>71</v>
      </c>
      <c r="B248" s="23" t="s">
        <v>17</v>
      </c>
      <c r="C248" s="34" t="s">
        <v>196</v>
      </c>
      <c r="D248" s="7">
        <f>VLOOKUP(C248,CATALOGO[],2,FALSE)</f>
        <v>34</v>
      </c>
      <c r="E248" s="36" t="str">
        <f>VLOOKUP(DIARIO[[#This Row],[Objeto de Gasto]],CATALOGO[],3,FALSE)</f>
        <v>33300 Productos De Artes Graficas</v>
      </c>
      <c r="F248" s="1" t="s">
        <v>11</v>
      </c>
      <c r="G248" s="6" t="s">
        <v>663</v>
      </c>
      <c r="H248" s="1" t="s">
        <v>664</v>
      </c>
      <c r="I248" s="9" t="s">
        <v>665</v>
      </c>
      <c r="J248" s="1" t="s">
        <v>680</v>
      </c>
      <c r="K248" s="9">
        <v>45405</v>
      </c>
      <c r="L248" s="1"/>
      <c r="M248" s="9"/>
      <c r="O248" s="22">
        <f>IF(DIARIO[[#This Row],[Estatus]]="Proceso",SUMIFS(DIARIO[Entrada],DIARIO[Objeto de Gasto],DIARIO[[#This Row],[Objeto de Gasto]],DIARIO[Estatus],"Saldo Inicial"),0)</f>
        <v>2708000</v>
      </c>
      <c r="P248" s="4">
        <f t="shared" si="30"/>
        <v>-2708000</v>
      </c>
      <c r="Q248" s="23" t="s">
        <v>14</v>
      </c>
      <c r="R248" s="39"/>
      <c r="S248" s="6"/>
    </row>
    <row r="249" spans="1:20" ht="30" x14ac:dyDescent="0.25">
      <c r="A249" s="53">
        <f>ROW(DIARIO[[#This Row],[Nombre de Cuenta]])-$A$177-1</f>
        <v>72</v>
      </c>
      <c r="B249" s="23" t="s">
        <v>21</v>
      </c>
      <c r="C249" s="34" t="s">
        <v>409</v>
      </c>
      <c r="D249" s="7">
        <f>VLOOKUP(C249,CATALOGO[],2,FALSE)</f>
        <v>37</v>
      </c>
      <c r="E249" s="36" t="str">
        <f>VLOOKUP(DIARIO[[#This Row],[Objeto de Gasto]],CATALOGO[],3,FALSE)</f>
        <v>35251 Reactivos</v>
      </c>
      <c r="F249" s="1" t="s">
        <v>23</v>
      </c>
      <c r="G249" s="6" t="s">
        <v>672</v>
      </c>
      <c r="H249" s="1" t="s">
        <v>668</v>
      </c>
      <c r="I249" s="9">
        <v>45400</v>
      </c>
      <c r="J249" s="1" t="s">
        <v>670</v>
      </c>
      <c r="K249" s="9">
        <v>45400</v>
      </c>
      <c r="L249" s="1"/>
      <c r="M249" s="9"/>
      <c r="O249" s="22">
        <v>4098337.95</v>
      </c>
      <c r="P249" s="4">
        <f t="shared" si="30"/>
        <v>-4098337.95</v>
      </c>
      <c r="Q249" s="55" t="s">
        <v>18</v>
      </c>
      <c r="R249" s="39"/>
      <c r="S249" s="6" t="s">
        <v>724</v>
      </c>
      <c r="T249" s="4">
        <v>4098337.95</v>
      </c>
    </row>
    <row r="250" spans="1:20" ht="60" x14ac:dyDescent="0.25">
      <c r="A250" s="53">
        <f>ROW(DIARIO[[#This Row],[Nombre de Cuenta]])-$A$177-1</f>
        <v>73</v>
      </c>
      <c r="B250" s="23" t="s">
        <v>21</v>
      </c>
      <c r="C250" s="34" t="s">
        <v>212</v>
      </c>
      <c r="D250" s="7">
        <f>VLOOKUP(C250,CATALOGO[],2,FALSE)</f>
        <v>37</v>
      </c>
      <c r="E250" s="36" t="str">
        <f>VLOOKUP(DIARIO[[#This Row],[Objeto de Gasto]],CATALOGO[],3,FALSE)</f>
        <v>35251 Reactivos</v>
      </c>
      <c r="F250" s="1" t="s">
        <v>23</v>
      </c>
      <c r="G250" s="6" t="s">
        <v>673</v>
      </c>
      <c r="H250" s="1" t="s">
        <v>669</v>
      </c>
      <c r="I250" s="9">
        <v>45400</v>
      </c>
      <c r="J250" s="1" t="s">
        <v>671</v>
      </c>
      <c r="K250" s="9">
        <v>45400</v>
      </c>
      <c r="L250" s="1"/>
      <c r="M250" s="9"/>
      <c r="O250" s="22">
        <f>4906493.63+1509.95</f>
        <v>4908003.58</v>
      </c>
      <c r="P250" s="4">
        <f t="shared" si="30"/>
        <v>-4908003.58</v>
      </c>
      <c r="Q250" s="23" t="s">
        <v>18</v>
      </c>
      <c r="R250" s="39"/>
      <c r="S250" s="6" t="s">
        <v>723</v>
      </c>
      <c r="T250" s="4">
        <v>4908003.58</v>
      </c>
    </row>
    <row r="251" spans="1:20" ht="75" x14ac:dyDescent="0.25">
      <c r="A251" s="53">
        <f>ROW(DIARIO[[#This Row],[Nombre de Cuenta]])-$A$177-1</f>
        <v>74</v>
      </c>
      <c r="B251" s="23" t="s">
        <v>9</v>
      </c>
      <c r="C251" s="34" t="s">
        <v>302</v>
      </c>
      <c r="D251" s="7">
        <f>VLOOKUP(C251,CATALOGO[],2,FALSE)</f>
        <v>55</v>
      </c>
      <c r="E251" s="36" t="str">
        <f>VLOOKUP(DIARIO[[#This Row],[Objeto de Gasto]],CATALOGO[],3,FALSE)</f>
        <v>42120 Equipos Varios De Oficina</v>
      </c>
      <c r="F251" s="1" t="s">
        <v>11</v>
      </c>
      <c r="G251" s="6" t="s">
        <v>676</v>
      </c>
      <c r="H251" s="1" t="s">
        <v>675</v>
      </c>
      <c r="I251" s="9">
        <v>45400</v>
      </c>
      <c r="J251" s="1" t="s">
        <v>677</v>
      </c>
      <c r="K251" s="9">
        <v>45404</v>
      </c>
      <c r="L251" s="1"/>
      <c r="M251" s="9"/>
      <c r="O251" s="22">
        <f>IF(DIARIO[[#This Row],[Estatus]]="Proceso",SUMIFS(DIARIO[Entrada],DIARIO[Objeto de Gasto],DIARIO[[#This Row],[Objeto de Gasto]],DIARIO[Estatus],"Saldo Inicial"),0)</f>
        <v>100000</v>
      </c>
      <c r="P251" s="4">
        <f t="shared" si="30"/>
        <v>-100000</v>
      </c>
      <c r="Q251" s="23" t="s">
        <v>14</v>
      </c>
      <c r="R251" s="39"/>
      <c r="S251" s="6" t="s">
        <v>749</v>
      </c>
    </row>
    <row r="252" spans="1:20" ht="75" x14ac:dyDescent="0.25">
      <c r="A252" s="53">
        <f>ROW(DIARIO[[#This Row],[Nombre de Cuenta]])-$A$177-1</f>
        <v>75</v>
      </c>
      <c r="B252" s="23" t="s">
        <v>9</v>
      </c>
      <c r="C252" s="34" t="s">
        <v>303</v>
      </c>
      <c r="D252" s="7">
        <f>VLOOKUP(C252,CATALOGO[],2,FALSE)</f>
        <v>55</v>
      </c>
      <c r="E252" s="36" t="str">
        <f>VLOOKUP(DIARIO[[#This Row],[Objeto de Gasto]],CATALOGO[],3,FALSE)</f>
        <v>42120 Equipos Varios De Oficina</v>
      </c>
      <c r="F252" s="1" t="s">
        <v>11</v>
      </c>
      <c r="G252" s="6" t="s">
        <v>679</v>
      </c>
      <c r="H252" s="1" t="s">
        <v>678</v>
      </c>
      <c r="I252" s="9">
        <v>45400</v>
      </c>
      <c r="J252" s="1" t="s">
        <v>677</v>
      </c>
      <c r="K252" s="9">
        <v>45404</v>
      </c>
      <c r="L252" s="1"/>
      <c r="M252" s="9"/>
      <c r="O252" s="22">
        <f>IF(DIARIO[[#This Row],[Estatus]]="Proceso",SUMIFS(DIARIO[Entrada],DIARIO[Objeto de Gasto],DIARIO[[#This Row],[Objeto de Gasto]],DIARIO[Estatus],"Saldo Inicial"),0)</f>
        <v>100000</v>
      </c>
      <c r="P252" s="4">
        <f t="shared" si="30"/>
        <v>-100000</v>
      </c>
      <c r="Q252" s="23" t="s">
        <v>14</v>
      </c>
      <c r="R252" s="39"/>
      <c r="S252" s="6" t="s">
        <v>749</v>
      </c>
    </row>
    <row r="253" spans="1:20" x14ac:dyDescent="0.25">
      <c r="A253" s="53">
        <f>ROW(DIARIO[[#This Row],[Nombre de Cuenta]])-$A$177-1</f>
        <v>76</v>
      </c>
      <c r="B253" s="23" t="s">
        <v>9</v>
      </c>
      <c r="C253" s="34" t="s">
        <v>276</v>
      </c>
      <c r="D253" s="7">
        <f>VLOOKUP(C253,CATALOGO[],2,FALSE)</f>
        <v>50</v>
      </c>
      <c r="E253" s="36" t="str">
        <f>VLOOKUP(DIARIO[[#This Row],[Objeto de Gasto]],CATALOGO[],3,FALSE)</f>
        <v>39530 Material Medico Quirurgico Menor</v>
      </c>
      <c r="F253" s="1" t="s">
        <v>23</v>
      </c>
      <c r="G253" s="6" t="s">
        <v>643</v>
      </c>
      <c r="H253" s="1" t="s">
        <v>644</v>
      </c>
      <c r="I253" s="9">
        <v>45406</v>
      </c>
      <c r="J253" s="1" t="s">
        <v>682</v>
      </c>
      <c r="K253" s="9">
        <v>45406</v>
      </c>
      <c r="L253" s="1"/>
      <c r="M253" s="9"/>
      <c r="O253" s="22">
        <f>IF(DIARIO[[#This Row],[Estatus]]="Proceso",SUMIFS(DIARIO[Entrada],DIARIO[Objeto de Gasto],DIARIO[[#This Row],[Objeto de Gasto]],DIARIO[Estatus],"Saldo Inicial"),0)</f>
        <v>48000</v>
      </c>
      <c r="P253" s="4">
        <f>N253-O253</f>
        <v>-48000</v>
      </c>
      <c r="Q253" s="23" t="s">
        <v>14</v>
      </c>
      <c r="R253" s="39"/>
      <c r="S253" s="6"/>
    </row>
    <row r="254" spans="1:20" ht="45" x14ac:dyDescent="0.25">
      <c r="A254" s="53">
        <f>ROW(DIARIO[[#This Row],[Nombre de Cuenta]])-$A$177-1</f>
        <v>77</v>
      </c>
      <c r="B254" s="23" t="s">
        <v>9</v>
      </c>
      <c r="C254" s="34" t="s">
        <v>261</v>
      </c>
      <c r="D254" s="7">
        <f>VLOOKUP(C254,CATALOGO[],2,FALSE)</f>
        <v>47</v>
      </c>
      <c r="E254" s="36" t="str">
        <f>VLOOKUP(DIARIO[[#This Row],[Objeto de Gasto]],CATALOGO[],3,FALSE)</f>
        <v>39100 Elementos De Limpieza Y Aseo Personal</v>
      </c>
      <c r="F254" s="1" t="s">
        <v>693</v>
      </c>
      <c r="G254" s="6" t="s">
        <v>493</v>
      </c>
      <c r="H254" s="1" t="s">
        <v>683</v>
      </c>
      <c r="I254" s="9">
        <v>45406</v>
      </c>
      <c r="J254" s="1" t="s">
        <v>686</v>
      </c>
      <c r="K254" s="9">
        <v>45411</v>
      </c>
      <c r="L254" s="1"/>
      <c r="M254" s="9"/>
      <c r="O254" s="22">
        <v>1024.6500000000001</v>
      </c>
      <c r="P254" s="4">
        <f>N254-O254</f>
        <v>-1024.6500000000001</v>
      </c>
      <c r="Q254" s="55" t="s">
        <v>18</v>
      </c>
      <c r="R254" s="39"/>
      <c r="S254" s="6" t="s">
        <v>685</v>
      </c>
      <c r="T254" s="4">
        <v>1024.6500000000001</v>
      </c>
    </row>
    <row r="255" spans="1:20" ht="45" x14ac:dyDescent="0.25">
      <c r="A255" s="81">
        <f>ROW(DIARIO[[#This Row],[Nombre de Cuenta]])-$A$177-1</f>
        <v>78</v>
      </c>
      <c r="B255" s="33" t="s">
        <v>9</v>
      </c>
      <c r="C255" s="35" t="s">
        <v>261</v>
      </c>
      <c r="D255" s="7">
        <f>VLOOKUP(C255,CATALOGO[],2,FALSE)</f>
        <v>47</v>
      </c>
      <c r="E255" s="37" t="str">
        <f>VLOOKUP(DIARIO[[#This Row],[Objeto de Gasto]],CATALOGO[],3,FALSE)</f>
        <v>39100 Elementos De Limpieza Y Aseo Personal</v>
      </c>
      <c r="F255" s="27"/>
      <c r="G255" s="29" t="s">
        <v>493</v>
      </c>
      <c r="H255" s="27" t="s">
        <v>684</v>
      </c>
      <c r="I255" s="30">
        <v>45393</v>
      </c>
      <c r="J255" s="27"/>
      <c r="K255" s="30"/>
      <c r="L255" s="27"/>
      <c r="M255" s="30"/>
      <c r="N255" s="31"/>
      <c r="O255" s="32">
        <f>IF(DIARIO[[#This Row],[Estatus]]="Proceso",SUMIFS(DIARIO[Entrada],DIARIO[Objeto de Gasto],DIARIO[[#This Row],[Objeto de Gasto]],DIARIO[Estatus],"Saldo Inicial"),0)</f>
        <v>0</v>
      </c>
      <c r="P255" s="4">
        <f>N255-O255</f>
        <v>0</v>
      </c>
      <c r="Q255" s="33" t="s">
        <v>10</v>
      </c>
      <c r="R255" s="40"/>
      <c r="S255" s="29" t="s">
        <v>681</v>
      </c>
      <c r="T255" s="31"/>
    </row>
    <row r="256" spans="1:20" ht="165" x14ac:dyDescent="0.25">
      <c r="A256" s="53">
        <f>ROW(DIARIO[[#This Row],[Nombre de Cuenta]])-$A$177-1</f>
        <v>79</v>
      </c>
      <c r="B256" s="23" t="s">
        <v>21</v>
      </c>
      <c r="C256" s="34" t="s">
        <v>271</v>
      </c>
      <c r="D256" s="7">
        <f>VLOOKUP(C256,CATALOGO[],2,FALSE)</f>
        <v>49</v>
      </c>
      <c r="E256" s="36" t="str">
        <f>VLOOKUP(DIARIO[[#This Row],[Objeto de Gasto]],CATALOGO[],3,FALSE)</f>
        <v xml:space="preserve">39520 Intrumental Y Material Para Laboratorio </v>
      </c>
      <c r="F256" s="1" t="s">
        <v>693</v>
      </c>
      <c r="G256" s="6" t="s">
        <v>687</v>
      </c>
      <c r="H256" s="1" t="s">
        <v>688</v>
      </c>
      <c r="I256" s="9">
        <v>45407</v>
      </c>
      <c r="J256" s="1" t="s">
        <v>703</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33" t="s">
        <v>14</v>
      </c>
      <c r="R256" s="39"/>
      <c r="S256" s="6" t="s">
        <v>689</v>
      </c>
    </row>
    <row r="257" spans="1:19" ht="165" x14ac:dyDescent="0.25">
      <c r="A257" s="53">
        <f>ROW(DIARIO[[#This Row],[Nombre de Cuenta]])-$A$177-1</f>
        <v>80</v>
      </c>
      <c r="B257" s="23" t="s">
        <v>21</v>
      </c>
      <c r="C257" s="34" t="s">
        <v>270</v>
      </c>
      <c r="D257" s="7">
        <f>VLOOKUP(C257,CATALOGO[],2,FALSE)</f>
        <v>49</v>
      </c>
      <c r="E257" s="36" t="str">
        <f>VLOOKUP(DIARIO[[#This Row],[Objeto de Gasto]],CATALOGO[],3,FALSE)</f>
        <v xml:space="preserve">39520 Intrumental Y Material Para Laboratorio </v>
      </c>
      <c r="F257" s="1" t="s">
        <v>693</v>
      </c>
      <c r="G257" s="6" t="s">
        <v>687</v>
      </c>
      <c r="H257" s="1" t="s">
        <v>688</v>
      </c>
      <c r="I257" s="9">
        <v>45407</v>
      </c>
      <c r="J257" s="1" t="s">
        <v>703</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33" t="s">
        <v>14</v>
      </c>
      <c r="R257" s="39"/>
      <c r="S257" s="6" t="s">
        <v>689</v>
      </c>
    </row>
    <row r="258" spans="1:19" ht="165" x14ac:dyDescent="0.25">
      <c r="A258" s="53">
        <f>ROW(DIARIO[[#This Row],[Nombre de Cuenta]])-$A$177-1</f>
        <v>81</v>
      </c>
      <c r="B258" s="23" t="s">
        <v>21</v>
      </c>
      <c r="C258" s="34" t="s">
        <v>272</v>
      </c>
      <c r="D258" s="7">
        <f>VLOOKUP(C258,CATALOGO[],2,FALSE)</f>
        <v>49</v>
      </c>
      <c r="E258" s="36" t="str">
        <f>VLOOKUP(DIARIO[[#This Row],[Objeto de Gasto]],CATALOGO[],3,FALSE)</f>
        <v xml:space="preserve">39520 Intrumental Y Material Para Laboratorio </v>
      </c>
      <c r="F258" s="1" t="s">
        <v>693</v>
      </c>
      <c r="G258" s="6" t="s">
        <v>687</v>
      </c>
      <c r="H258" s="1" t="s">
        <v>688</v>
      </c>
      <c r="I258" s="9">
        <v>45407</v>
      </c>
      <c r="J258" s="1" t="s">
        <v>703</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33" t="s">
        <v>14</v>
      </c>
      <c r="R258" s="39"/>
      <c r="S258" s="6" t="s">
        <v>689</v>
      </c>
    </row>
    <row r="259" spans="1:19" ht="90" x14ac:dyDescent="0.25">
      <c r="A259" s="53">
        <f>ROW(DIARIO[[#This Row],[Nombre de Cuenta]])-$A$177-1</f>
        <v>82</v>
      </c>
      <c r="B259" s="23" t="s">
        <v>21</v>
      </c>
      <c r="C259" s="34" t="s">
        <v>281</v>
      </c>
      <c r="D259" s="7">
        <f>VLOOKUP(C259,CATALOGO[],2,FALSE)</f>
        <v>51</v>
      </c>
      <c r="E259" s="36" t="str">
        <f>VLOOKUP(DIARIO[[#This Row],[Objeto de Gasto]],CATALOGO[],3,FALSE)</f>
        <v>39540 Otro Instrumental, Accesorios Y Material Medico</v>
      </c>
      <c r="F259" s="1" t="s">
        <v>693</v>
      </c>
      <c r="G259" s="6" t="s">
        <v>691</v>
      </c>
      <c r="H259" s="1" t="s">
        <v>690</v>
      </c>
      <c r="I259" s="9">
        <v>45407</v>
      </c>
      <c r="J259" s="1" t="s">
        <v>704</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33" t="s">
        <v>14</v>
      </c>
      <c r="R259" s="39"/>
      <c r="S259" s="6" t="s">
        <v>692</v>
      </c>
    </row>
    <row r="260" spans="1:19" ht="90" x14ac:dyDescent="0.25">
      <c r="A260" s="53">
        <f>ROW(DIARIO[[#This Row],[Nombre de Cuenta]])-$A$177-1</f>
        <v>83</v>
      </c>
      <c r="B260" s="23" t="s">
        <v>21</v>
      </c>
      <c r="C260" s="34" t="s">
        <v>280</v>
      </c>
      <c r="D260" s="7">
        <f>VLOOKUP(C260,CATALOGO[],2,FALSE)</f>
        <v>51</v>
      </c>
      <c r="E260" s="36" t="str">
        <f>VLOOKUP(DIARIO[[#This Row],[Objeto de Gasto]],CATALOGO[],3,FALSE)</f>
        <v>39540 Otro Instrumental, Accesorios Y Material Medico</v>
      </c>
      <c r="F260" s="1" t="s">
        <v>693</v>
      </c>
      <c r="G260" s="6" t="s">
        <v>691</v>
      </c>
      <c r="H260" s="1" t="s">
        <v>690</v>
      </c>
      <c r="I260" s="9">
        <v>45407</v>
      </c>
      <c r="J260" s="1" t="s">
        <v>704</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33" t="s">
        <v>14</v>
      </c>
      <c r="R260" s="39"/>
      <c r="S260" s="6" t="s">
        <v>692</v>
      </c>
    </row>
    <row r="261" spans="1:19" ht="90" x14ac:dyDescent="0.25">
      <c r="A261" s="53">
        <f>ROW(DIARIO[[#This Row],[Nombre de Cuenta]])-$A$177-1</f>
        <v>84</v>
      </c>
      <c r="B261" s="23" t="s">
        <v>21</v>
      </c>
      <c r="C261" s="34" t="s">
        <v>282</v>
      </c>
      <c r="D261" s="7">
        <f>VLOOKUP(C261,CATALOGO[],2,FALSE)</f>
        <v>51</v>
      </c>
      <c r="E261" s="36" t="str">
        <f>VLOOKUP(DIARIO[[#This Row],[Objeto de Gasto]],CATALOGO[],3,FALSE)</f>
        <v>39540 Otro Instrumental, Accesorios Y Material Medico</v>
      </c>
      <c r="F261" s="1" t="s">
        <v>693</v>
      </c>
      <c r="G261" s="6" t="s">
        <v>691</v>
      </c>
      <c r="H261" s="1" t="s">
        <v>690</v>
      </c>
      <c r="I261" s="9">
        <v>45407</v>
      </c>
      <c r="J261" s="1" t="s">
        <v>704</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33" t="s">
        <v>14</v>
      </c>
      <c r="R261" s="39"/>
      <c r="S261" s="6" t="s">
        <v>692</v>
      </c>
    </row>
    <row r="262" spans="1:19" ht="45" x14ac:dyDescent="0.25">
      <c r="A262" s="53">
        <f>ROW(DIARIO[[#This Row],[Nombre de Cuenta]])-$A$177-1</f>
        <v>85</v>
      </c>
      <c r="B262" s="23" t="s">
        <v>21</v>
      </c>
      <c r="C262" s="34" t="s">
        <v>409</v>
      </c>
      <c r="D262" s="7">
        <f>VLOOKUP(C262,CATALOGO[],2,FALSE)</f>
        <v>37</v>
      </c>
      <c r="E262" s="36" t="str">
        <f>VLOOKUP(DIARIO[[#This Row],[Objeto de Gasto]],CATALOGO[],3,FALSE)</f>
        <v>35251 Reactivos</v>
      </c>
      <c r="F262" s="1" t="s">
        <v>693</v>
      </c>
      <c r="G262" s="6" t="s">
        <v>695</v>
      </c>
      <c r="H262" s="1" t="s">
        <v>694</v>
      </c>
      <c r="I262" s="9">
        <v>45406</v>
      </c>
      <c r="J262" s="1" t="s">
        <v>697</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33" t="s">
        <v>14</v>
      </c>
      <c r="R262" s="39"/>
      <c r="S262" s="6" t="s">
        <v>698</v>
      </c>
    </row>
    <row r="263" spans="1:19" ht="45" x14ac:dyDescent="0.25">
      <c r="A263" s="53">
        <f>ROW(DIARIO[[#This Row],[Nombre de Cuenta]])-$A$177-1</f>
        <v>86</v>
      </c>
      <c r="B263" s="23" t="s">
        <v>21</v>
      </c>
      <c r="C263" s="34" t="s">
        <v>212</v>
      </c>
      <c r="D263" s="7">
        <f>VLOOKUP(C263,CATALOGO[],2,FALSE)</f>
        <v>37</v>
      </c>
      <c r="E263" s="36" t="str">
        <f>VLOOKUP(DIARIO[[#This Row],[Objeto de Gasto]],CATALOGO[],3,FALSE)</f>
        <v>35251 Reactivos</v>
      </c>
      <c r="F263" s="1" t="s">
        <v>693</v>
      </c>
      <c r="G263" s="6" t="s">
        <v>696</v>
      </c>
      <c r="H263" s="1" t="s">
        <v>694</v>
      </c>
      <c r="I263" s="9">
        <v>45406</v>
      </c>
      <c r="J263" s="1" t="s">
        <v>697</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33" t="s">
        <v>14</v>
      </c>
      <c r="R263" s="39"/>
      <c r="S263" s="6" t="s">
        <v>698</v>
      </c>
    </row>
    <row r="264" spans="1:19" ht="60" x14ac:dyDescent="0.25">
      <c r="A264" s="53">
        <f>ROW(DIARIO[[#This Row],[Nombre de Cuenta]])-$A$177-1</f>
        <v>87</v>
      </c>
      <c r="B264" s="23" t="s">
        <v>21</v>
      </c>
      <c r="C264" s="34" t="s">
        <v>226</v>
      </c>
      <c r="D264" s="7">
        <f>VLOOKUP(C264,CATALOGO[],2,FALSE)</f>
        <v>40</v>
      </c>
      <c r="E264" s="36" t="str">
        <f>VLOOKUP(DIARIO[[#This Row],[Objeto de Gasto]],CATALOGO[],3,FALSE)</f>
        <v>35252 Reactivo (VIH)</v>
      </c>
      <c r="F264" s="1" t="s">
        <v>693</v>
      </c>
      <c r="G264" s="6" t="s">
        <v>700</v>
      </c>
      <c r="H264" s="1" t="s">
        <v>699</v>
      </c>
      <c r="I264" s="9">
        <v>45400</v>
      </c>
      <c r="J264" s="1" t="s">
        <v>701</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33" t="s">
        <v>14</v>
      </c>
      <c r="R264" s="39"/>
      <c r="S264" s="6" t="s">
        <v>728</v>
      </c>
    </row>
    <row r="265" spans="1:19" x14ac:dyDescent="0.25">
      <c r="A265" s="53">
        <f>ROW(DIARIO[[#This Row],[Nombre de Cuenta]])-$A$177-1</f>
        <v>88</v>
      </c>
      <c r="B265" s="23" t="s">
        <v>21</v>
      </c>
      <c r="C265" s="34" t="s">
        <v>171</v>
      </c>
      <c r="D265" s="7">
        <f>VLOOKUP(C265,CATALOGO[],2,FALSE)</f>
        <v>29</v>
      </c>
      <c r="E265" s="36" t="str">
        <f>VLOOKUP(DIARIO[[#This Row],[Objeto de Gasto]],CATALOGO[],3,FALSE)</f>
        <v>31110 Productos Alimenticios Y Bebidas</v>
      </c>
      <c r="F265" s="1" t="s">
        <v>693</v>
      </c>
      <c r="G265" s="6" t="s">
        <v>720</v>
      </c>
      <c r="H265" s="1" t="s">
        <v>726</v>
      </c>
      <c r="I265" s="9">
        <v>45422</v>
      </c>
      <c r="J265" s="1" t="s">
        <v>725</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23" t="s">
        <v>14</v>
      </c>
      <c r="R265" s="39"/>
      <c r="S265" s="6"/>
    </row>
    <row r="266" spans="1:19" ht="30" x14ac:dyDescent="0.25">
      <c r="A266" s="53">
        <f>ROW(DIARIO[[#This Row],[Nombre de Cuenta]])-$A$177-1</f>
        <v>89</v>
      </c>
      <c r="B266" s="23" t="s">
        <v>9</v>
      </c>
      <c r="C266" s="34" t="s">
        <v>327</v>
      </c>
      <c r="D266" s="7">
        <f>VLOOKUP(C266,CATALOGO[],2,FALSE)</f>
        <v>60</v>
      </c>
      <c r="E266" s="36" t="str">
        <f>VLOOKUP(DIARIO[[#This Row],[Objeto de Gasto]],CATALOGO[],3,FALSE)</f>
        <v>45100 Aplicaciones Informaticas</v>
      </c>
      <c r="F266" s="1" t="s">
        <v>19</v>
      </c>
      <c r="G266" s="6" t="s">
        <v>464</v>
      </c>
      <c r="H266" s="1" t="s">
        <v>465</v>
      </c>
      <c r="I266" s="9">
        <v>45314</v>
      </c>
      <c r="J266" s="1" t="s">
        <v>721</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x14ac:dyDescent="0.25">
      <c r="A267" s="53">
        <f>ROW(DIARIO[[#This Row],[Nombre de Cuenta]])-$A$177-1</f>
        <v>90</v>
      </c>
      <c r="B267" s="23" t="s">
        <v>9</v>
      </c>
      <c r="C267" s="34" t="s">
        <v>426</v>
      </c>
      <c r="D267" s="7">
        <f>VLOOKUP(C267,CATALOGO[],2,FALSE)</f>
        <v>60</v>
      </c>
      <c r="E267" s="36" t="str">
        <f>VLOOKUP(DIARIO[[#This Row],[Objeto de Gasto]],CATALOGO[],3,FALSE)</f>
        <v>45100 Aplicaciones Informaticas</v>
      </c>
      <c r="F267" s="1" t="s">
        <v>19</v>
      </c>
      <c r="G267" s="6" t="s">
        <v>501</v>
      </c>
      <c r="H267" s="1" t="s">
        <v>502</v>
      </c>
      <c r="I267" s="9">
        <v>45345</v>
      </c>
      <c r="J267" s="1" t="s">
        <v>721</v>
      </c>
      <c r="K267" s="9">
        <v>45426</v>
      </c>
      <c r="L267" s="1"/>
      <c r="M267" s="9"/>
      <c r="O267" s="22"/>
      <c r="P267" s="4">
        <f t="shared" si="33"/>
        <v>0</v>
      </c>
      <c r="Q267" s="23" t="s">
        <v>14</v>
      </c>
      <c r="R267" s="39"/>
      <c r="S267" s="6" t="s">
        <v>727</v>
      </c>
    </row>
    <row r="268" spans="1:19" ht="30" x14ac:dyDescent="0.25">
      <c r="A268" s="53">
        <f>ROW(DIARIO[[#This Row],[Nombre de Cuenta]])-$A$177-1</f>
        <v>91</v>
      </c>
      <c r="B268" s="23" t="s">
        <v>9</v>
      </c>
      <c r="C268" s="34" t="s">
        <v>328</v>
      </c>
      <c r="D268" s="7">
        <f>VLOOKUP(C268,CATALOGO[],2,FALSE)</f>
        <v>60</v>
      </c>
      <c r="E268" s="36" t="str">
        <f>VLOOKUP(DIARIO[[#This Row],[Objeto de Gasto]],CATALOGO[],3,FALSE)</f>
        <v>45100 Aplicaciones Informaticas</v>
      </c>
      <c r="F268" s="1" t="s">
        <v>19</v>
      </c>
      <c r="G268" s="6" t="s">
        <v>515</v>
      </c>
      <c r="H268" s="1" t="s">
        <v>516</v>
      </c>
      <c r="I268" s="9">
        <v>45349</v>
      </c>
      <c r="J268" s="1" t="s">
        <v>721</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23" t="s">
        <v>14</v>
      </c>
      <c r="R268" s="39"/>
      <c r="S268" s="6"/>
    </row>
    <row r="269" spans="1:19" ht="30" x14ac:dyDescent="0.25">
      <c r="A269" s="53">
        <f>ROW(DIARIO[[#This Row],[Nombre de Cuenta]])-$A$177-1</f>
        <v>92</v>
      </c>
      <c r="B269" s="23" t="s">
        <v>9</v>
      </c>
      <c r="C269" s="34" t="s">
        <v>426</v>
      </c>
      <c r="D269" s="7">
        <f>VLOOKUP(C269,CATALOGO[],2,FALSE)</f>
        <v>60</v>
      </c>
      <c r="E269" s="36" t="str">
        <f>VLOOKUP(DIARIO[[#This Row],[Objeto de Gasto]],CATALOGO[],3,FALSE)</f>
        <v>45100 Aplicaciones Informaticas</v>
      </c>
      <c r="F269" s="1" t="s">
        <v>19</v>
      </c>
      <c r="G269" s="6" t="s">
        <v>547</v>
      </c>
      <c r="H269" s="1" t="s">
        <v>537</v>
      </c>
      <c r="I269" s="9">
        <v>45365</v>
      </c>
      <c r="J269" s="1" t="s">
        <v>721</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23" t="s">
        <v>14</v>
      </c>
      <c r="R269" s="39"/>
      <c r="S269" s="6"/>
    </row>
    <row r="270" spans="1:19" ht="30" x14ac:dyDescent="0.25">
      <c r="A270" s="53">
        <f>ROW(DIARIO[[#This Row],[Nombre de Cuenta]])-$A$177-1</f>
        <v>93</v>
      </c>
      <c r="B270" s="23" t="s">
        <v>9</v>
      </c>
      <c r="C270" s="34" t="s">
        <v>717</v>
      </c>
      <c r="D270" s="7">
        <f>VLOOKUP(C270,CATALOGO[],2,FALSE)</f>
        <v>68</v>
      </c>
      <c r="E270" s="36" t="str">
        <f>VLOOKUP(DIARIO[[#This Row],[Objeto de Gasto]],CATALOGO[],3,FALSE)</f>
        <v>42510 Equipo de Comunicación</v>
      </c>
      <c r="F270" s="1" t="s">
        <v>11</v>
      </c>
      <c r="G270" s="6" t="s">
        <v>729</v>
      </c>
      <c r="H270" s="1" t="s">
        <v>730</v>
      </c>
      <c r="I270" s="9">
        <v>45427</v>
      </c>
      <c r="J270" s="1" t="s">
        <v>731</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23" t="s">
        <v>14</v>
      </c>
      <c r="R270" s="39"/>
      <c r="S270" s="6"/>
    </row>
    <row r="271" spans="1:19" ht="45" x14ac:dyDescent="0.25">
      <c r="A271" s="53">
        <f>ROW(DIARIO[[#This Row],[Nombre de Cuenta]])-$A$177-1</f>
        <v>94</v>
      </c>
      <c r="B271" s="23" t="s">
        <v>9</v>
      </c>
      <c r="C271" s="34" t="s">
        <v>286</v>
      </c>
      <c r="D271" s="7">
        <f>VLOOKUP(C271,CATALOGO[],2,FALSE)</f>
        <v>52</v>
      </c>
      <c r="E271" s="36" t="str">
        <f>VLOOKUP(DIARIO[[#This Row],[Objeto de Gasto]],CATALOGO[],3,FALSE)</f>
        <v>39600 Otros Repuestos Y Accesorios Menores</v>
      </c>
      <c r="F271" s="1" t="s">
        <v>15</v>
      </c>
      <c r="G271" s="6" t="s">
        <v>733</v>
      </c>
      <c r="H271" s="1" t="s">
        <v>734</v>
      </c>
      <c r="I271" s="9">
        <v>45436</v>
      </c>
      <c r="J271" s="1" t="s">
        <v>745</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23" t="s">
        <v>14</v>
      </c>
      <c r="R271" s="39"/>
      <c r="S271" s="6"/>
    </row>
    <row r="272" spans="1:19" ht="30" x14ac:dyDescent="0.25">
      <c r="A272" s="53">
        <f>ROW(DIARIO[[#This Row],[Nombre de Cuenta]])-$A$177-1</f>
        <v>95</v>
      </c>
      <c r="B272" s="23" t="s">
        <v>9</v>
      </c>
      <c r="C272" s="34" t="s">
        <v>287</v>
      </c>
      <c r="D272" s="7">
        <f>VLOOKUP(C272,CATALOGO[],2,FALSE)</f>
        <v>52</v>
      </c>
      <c r="E272" s="36" t="str">
        <f>VLOOKUP(DIARIO[[#This Row],[Objeto de Gasto]],CATALOGO[],3,FALSE)</f>
        <v>39600 Otros Repuestos Y Accesorios Menores</v>
      </c>
      <c r="F272" s="1" t="s">
        <v>15</v>
      </c>
      <c r="G272" s="6" t="s">
        <v>736</v>
      </c>
      <c r="H272" s="1" t="s">
        <v>735</v>
      </c>
      <c r="I272" s="9">
        <v>45436</v>
      </c>
      <c r="J272" s="1" t="s">
        <v>745</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23" t="s">
        <v>14</v>
      </c>
      <c r="R272" s="39"/>
      <c r="S272" s="6"/>
    </row>
    <row r="273" spans="1:22" ht="45" x14ac:dyDescent="0.25">
      <c r="A273" s="53">
        <f>ROW(DIARIO[[#This Row],[Nombre de Cuenta]])-$A$177-1</f>
        <v>96</v>
      </c>
      <c r="B273" s="23" t="s">
        <v>9</v>
      </c>
      <c r="C273" s="34" t="s">
        <v>101</v>
      </c>
      <c r="D273" s="7">
        <f>VLOOKUP(C273,CATALOGO[],2,FALSE)</f>
        <v>15</v>
      </c>
      <c r="E273" s="36" t="str">
        <f>VLOOKUP(DIARIO[[#This Row],[Objeto de Gasto]],CATALOGO[],3,FALSE)</f>
        <v>23200 Mantenimiento Y Reparacion De Equipos Y Medios De Transporte Terrestre</v>
      </c>
      <c r="F273" s="1" t="s">
        <v>11</v>
      </c>
      <c r="G273" s="6" t="s">
        <v>737</v>
      </c>
      <c r="H273" s="1" t="s">
        <v>738</v>
      </c>
      <c r="I273" s="9">
        <v>45436</v>
      </c>
      <c r="J273" s="1" t="s">
        <v>744</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23" t="s">
        <v>14</v>
      </c>
      <c r="R273" s="39"/>
      <c r="S273" s="6"/>
    </row>
    <row r="274" spans="1:22" x14ac:dyDescent="0.25">
      <c r="A274" s="53">
        <f>ROW(DIARIO[[#This Row],[Nombre de Cuenta]])-$A$177-1</f>
        <v>97</v>
      </c>
      <c r="B274" s="23" t="s">
        <v>30</v>
      </c>
      <c r="C274" s="34" t="s">
        <v>201</v>
      </c>
      <c r="D274" s="7">
        <f>VLOOKUP(C274,CATALOGO[],2,FALSE)</f>
        <v>35</v>
      </c>
      <c r="E274" s="36" t="str">
        <f>VLOOKUP(DIARIO[[#This Row],[Objeto de Gasto]],CATALOGO[],3,FALSE)</f>
        <v>34400 Llantas Y Camaras De Aire</v>
      </c>
      <c r="F274" s="1" t="s">
        <v>11</v>
      </c>
      <c r="G274" s="6" t="s">
        <v>742</v>
      </c>
      <c r="H274" s="1" t="s">
        <v>740</v>
      </c>
      <c r="I274" s="9">
        <v>45421</v>
      </c>
      <c r="J274" s="1" t="s">
        <v>743</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23" t="s">
        <v>14</v>
      </c>
      <c r="R274" s="39"/>
      <c r="S274" s="6"/>
    </row>
    <row r="275" spans="1:22" x14ac:dyDescent="0.25">
      <c r="A275" s="53">
        <f>ROW(DIARIO[[#This Row],[Nombre de Cuenta]])-$A$177-1</f>
        <v>98</v>
      </c>
      <c r="B275" s="23" t="s">
        <v>30</v>
      </c>
      <c r="C275" s="34" t="s">
        <v>202</v>
      </c>
      <c r="D275" s="7">
        <f>VLOOKUP(C275,CATALOGO[],2,FALSE)</f>
        <v>35</v>
      </c>
      <c r="E275" s="36" t="str">
        <f>VLOOKUP(DIARIO[[#This Row],[Objeto de Gasto]],CATALOGO[],3,FALSE)</f>
        <v>34400 Llantas Y Camaras De Aire</v>
      </c>
      <c r="F275" s="1" t="s">
        <v>11</v>
      </c>
      <c r="G275" s="6" t="s">
        <v>741</v>
      </c>
      <c r="H275" s="1" t="s">
        <v>739</v>
      </c>
      <c r="I275" s="9">
        <v>45421</v>
      </c>
      <c r="J275" s="1" t="s">
        <v>743</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23" t="s">
        <v>14</v>
      </c>
      <c r="R275" s="39"/>
      <c r="S275" s="6"/>
    </row>
    <row r="276" spans="1:22" x14ac:dyDescent="0.25">
      <c r="A276" s="53">
        <f>ROW(DIARIO[[#This Row],[Nombre de Cuenta]])-$A$177-1</f>
        <v>99</v>
      </c>
      <c r="B276" s="23" t="s">
        <v>30</v>
      </c>
      <c r="C276" s="34" t="s">
        <v>407</v>
      </c>
      <c r="D276" s="7">
        <f>VLOOKUP(C276,CATALOGO[],2,FALSE)</f>
        <v>35</v>
      </c>
      <c r="E276" s="36" t="str">
        <f>VLOOKUP(DIARIO[[#This Row],[Objeto de Gasto]],CATALOGO[],3,FALSE)</f>
        <v>34400 Llantas Y Camaras De Aire</v>
      </c>
      <c r="F276" s="1" t="s">
        <v>11</v>
      </c>
      <c r="G276" s="6" t="s">
        <v>747</v>
      </c>
      <c r="H276" s="1" t="s">
        <v>746</v>
      </c>
      <c r="I276" s="9">
        <v>45441</v>
      </c>
      <c r="J276" s="1" t="s">
        <v>743</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23" t="s">
        <v>14</v>
      </c>
      <c r="R276" s="39"/>
      <c r="S276" s="6"/>
    </row>
    <row r="277" spans="1:22" ht="30" x14ac:dyDescent="0.25">
      <c r="A277" s="53">
        <f>ROW(DIARIO[[#This Row],[Nombre de Cuenta]])-$A$177-1</f>
        <v>100</v>
      </c>
      <c r="B277" s="23" t="s">
        <v>30</v>
      </c>
      <c r="C277" s="34" t="s">
        <v>198</v>
      </c>
      <c r="D277" s="7">
        <f>VLOOKUP(C277,CATALOGO[],2,FALSE)</f>
        <v>35</v>
      </c>
      <c r="E277" s="36" t="str">
        <f>VLOOKUP(DIARIO[[#This Row],[Objeto de Gasto]],CATALOGO[],3,FALSE)</f>
        <v>34400 Llantas Y Camaras De Aire</v>
      </c>
      <c r="F277" s="1" t="s">
        <v>11</v>
      </c>
      <c r="G277" s="6" t="s">
        <v>748</v>
      </c>
      <c r="H277" s="1"/>
      <c r="I277" s="9"/>
      <c r="J277" s="1" t="s">
        <v>743</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23" t="s">
        <v>14</v>
      </c>
      <c r="R277" s="39"/>
      <c r="S277" s="6"/>
    </row>
    <row r="278" spans="1:22" ht="30" x14ac:dyDescent="0.25">
      <c r="A278" s="53">
        <f>ROW(DIARIO[[#This Row],[Nombre de Cuenta]])-$A$177-1</f>
        <v>101</v>
      </c>
      <c r="B278" s="23" t="s">
        <v>9</v>
      </c>
      <c r="C278" s="34" t="s">
        <v>397</v>
      </c>
      <c r="D278" s="7">
        <f>VLOOKUP(C278,CATALOGO[],2,FALSE)</f>
        <v>15</v>
      </c>
      <c r="E278" s="36" t="str">
        <f>VLOOKUP(DIARIO[[#This Row],[Objeto de Gasto]],CATALOGO[],3,FALSE)</f>
        <v>23200 Mantenimiento Y Reparacion De Equipos Y Medios De Transporte Terrestre</v>
      </c>
      <c r="F278" s="1" t="s">
        <v>11</v>
      </c>
      <c r="G278" s="6" t="s">
        <v>750</v>
      </c>
      <c r="H278" s="1" t="s">
        <v>752</v>
      </c>
      <c r="I278" s="9">
        <v>45415</v>
      </c>
      <c r="J278" s="1" t="s">
        <v>751</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23" t="s">
        <v>14</v>
      </c>
      <c r="R278" s="39"/>
      <c r="S278" s="6"/>
    </row>
    <row r="279" spans="1:22" x14ac:dyDescent="0.25">
      <c r="A279" s="53">
        <f>ROW(DIARIO[[#This Row],[Nombre de Cuenta]])-$A$177-1</f>
        <v>102</v>
      </c>
      <c r="B279" s="23" t="s">
        <v>30</v>
      </c>
      <c r="C279" s="34" t="s">
        <v>419</v>
      </c>
      <c r="D279" s="7">
        <f>VLOOKUP(C279,CATALOGO[],2,FALSE)</f>
        <v>52</v>
      </c>
      <c r="E279" s="36" t="str">
        <f>VLOOKUP(DIARIO[[#This Row],[Objeto de Gasto]],CATALOGO[],3,FALSE)</f>
        <v>39600 Otros Repuestos Y Accesorios Menores</v>
      </c>
      <c r="F279" s="1" t="s">
        <v>11</v>
      </c>
      <c r="G279" s="6" t="s">
        <v>753</v>
      </c>
      <c r="H279" s="1"/>
      <c r="I279" s="9"/>
      <c r="J279" s="1" t="s">
        <v>754</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9" s="4">
        <f t="shared" si="35"/>
        <v>-274186</v>
      </c>
      <c r="Q279" s="23" t="s">
        <v>14</v>
      </c>
      <c r="R279" s="39"/>
      <c r="S279" s="6"/>
    </row>
    <row r="280" spans="1:22" ht="30" x14ac:dyDescent="0.25">
      <c r="A280" s="53">
        <f>ROW(DIARIO[[#This Row],[Nombre de Cuenta]])-$A$177-1</f>
        <v>103</v>
      </c>
      <c r="B280" s="23" t="s">
        <v>9</v>
      </c>
      <c r="C280" s="34" t="s">
        <v>247</v>
      </c>
      <c r="D280" s="7">
        <f>VLOOKUP(C280,CATALOGO[],2,FALSE)</f>
        <v>44</v>
      </c>
      <c r="E280" s="36" t="str">
        <f>VLOOKUP(DIARIO[[#This Row],[Objeto de Gasto]],CATALOGO[],3,FALSE)</f>
        <v>35650 Aceites Y Grasas Lubricantes</v>
      </c>
      <c r="F280" s="1" t="s">
        <v>11</v>
      </c>
      <c r="G280" s="6" t="s">
        <v>778</v>
      </c>
      <c r="H280" s="1" t="s">
        <v>779</v>
      </c>
      <c r="I280" s="126">
        <v>45421</v>
      </c>
      <c r="J280" s="1" t="s">
        <v>780</v>
      </c>
      <c r="K280" s="126">
        <v>45433</v>
      </c>
      <c r="L280" s="1"/>
      <c r="M280" s="126"/>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23" t="s">
        <v>14</v>
      </c>
      <c r="R280" s="39"/>
      <c r="S280" s="6"/>
    </row>
    <row r="281" spans="1:22" ht="45" x14ac:dyDescent="0.25">
      <c r="A281" s="53">
        <f>ROW(DIARIO[[#This Row],[Nombre de Cuenta]])-$A$177-1</f>
        <v>104</v>
      </c>
      <c r="B281" s="23" t="s">
        <v>30</v>
      </c>
      <c r="C281" s="34" t="s">
        <v>416</v>
      </c>
      <c r="D281" s="7">
        <f>VLOOKUP(C281,CATALOGO[],2,FALSE)</f>
        <v>48</v>
      </c>
      <c r="E281" s="36" t="str">
        <f>VLOOKUP(DIARIO[[#This Row],[Objeto de Gasto]],CATALOGO[],3,FALSE)</f>
        <v>39200 Utiles De Esritorio, Oficina  Y Enseñanza</v>
      </c>
      <c r="F281" s="1" t="s">
        <v>15</v>
      </c>
      <c r="G281" s="6" t="s">
        <v>926</v>
      </c>
      <c r="H281" s="1"/>
      <c r="I281" s="126"/>
      <c r="J281" s="1" t="s">
        <v>927</v>
      </c>
      <c r="K281" s="126">
        <v>45457</v>
      </c>
      <c r="L281" s="1"/>
      <c r="M281" s="126"/>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23" t="s">
        <v>14</v>
      </c>
      <c r="R281" s="39"/>
      <c r="S281" s="6"/>
    </row>
    <row r="282" spans="1:22" ht="45" x14ac:dyDescent="0.25">
      <c r="A282" s="53">
        <f>ROW(DIARIO[[#This Row],[Nombre de Cuenta]])-$A$177-1</f>
        <v>105</v>
      </c>
      <c r="B282" s="23" t="s">
        <v>30</v>
      </c>
      <c r="C282" s="34" t="s">
        <v>319</v>
      </c>
      <c r="D282" s="7">
        <f>VLOOKUP(C282,CATALOGO[],2,FALSE)</f>
        <v>59</v>
      </c>
      <c r="E282" s="36" t="str">
        <f>VLOOKUP(DIARIO[[#This Row],[Objeto de Gasto]],CATALOGO[],3,FALSE)</f>
        <v>42600 Equipo Para Computacion</v>
      </c>
      <c r="F282" s="1" t="s">
        <v>19</v>
      </c>
      <c r="G282" s="6" t="s">
        <v>930</v>
      </c>
      <c r="H282" s="1"/>
      <c r="I282" s="126"/>
      <c r="J282" s="1" t="s">
        <v>474</v>
      </c>
      <c r="K282" s="9">
        <v>45345</v>
      </c>
      <c r="L282" s="1"/>
      <c r="M282" s="126"/>
      <c r="O282" s="22">
        <v>30000</v>
      </c>
      <c r="P282" s="4">
        <f>N282-O282</f>
        <v>-30000</v>
      </c>
      <c r="Q282" s="55" t="s">
        <v>18</v>
      </c>
      <c r="R282" s="39"/>
      <c r="S282" s="6" t="s">
        <v>932</v>
      </c>
      <c r="V282" s="25"/>
    </row>
    <row r="286" spans="1:22" x14ac:dyDescent="0.25">
      <c r="E286" s="6">
        <v>277</v>
      </c>
    </row>
  </sheetData>
  <phoneticPr fontId="10" type="noConversion"/>
  <conditionalFormatting sqref="Q2:R282">
    <cfRule type="containsText" dxfId="343" priority="1" operator="containsText" text="Observaciones">
      <formula>NOT(ISERROR(SEARCH("Observaciones",Q2)))</formula>
    </cfRule>
    <cfRule type="containsText" dxfId="342" priority="2" operator="containsText" text="Proceso">
      <formula>NOT(ISERROR(SEARCH("Proceso",Q2)))</formula>
    </cfRule>
    <cfRule type="containsText" dxfId="341" priority="3" operator="containsText" text="Modificaciones">
      <formula>NOT(ISERROR(SEARCH("Modificaciones",Q2)))</formula>
    </cfRule>
    <cfRule type="containsText" dxfId="340" priority="4" operator="containsText" text="Proceso">
      <formula>NOT(ISERROR(SEARCH("Proceso",Q2)))</formula>
    </cfRule>
    <cfRule type="containsText" dxfId="339" priority="5" operator="containsText" text="Observaciones">
      <formula>NOT(ISERROR(SEARCH("Observaciones",Q2)))</formula>
    </cfRule>
    <cfRule type="containsText" dxfId="338" priority="6" operator="containsText" text="Observaciones">
      <formula>NOT(ISERROR(SEARCH("Observaciones",Q2)))</formula>
    </cfRule>
    <cfRule type="containsText" dxfId="337" priority="7" operator="containsText" text="Adjudicado">
      <formula>NOT(ISERROR(SEARCH("Adjudicado",Q2)))</formula>
    </cfRule>
    <cfRule type="containsText" dxfId="336" priority="8" operator="containsText" text="Desierto">
      <formula>NOT(ISERROR(SEARCH("Desierto",Q2)))</formula>
    </cfRule>
    <cfRule type="containsText" dxfId="335" priority="9" operator="containsText" text="Fracasado">
      <formula>NOT(ISERROR(SEARCH("Fracasado",Q2)))</formula>
    </cfRule>
    <cfRule type="containsText" dxfId="334" priority="10" operator="containsText" text="F'CATALAGO y LISTAS'!$H$6">
      <formula>NOT(ISERROR(SEARCH("F'CATALAGO y LISTAS'!$H$6",Q2)))</formula>
    </cfRule>
  </conditionalFormatting>
  <dataValidations count="3">
    <dataValidation type="list" allowBlank="1" showInputMessage="1" showErrorMessage="1" sqref="B2:B282" xr:uid="{E5A4EA42-AB34-4238-A870-4BB6E4FC2190}">
      <formula1>INDIRECT("COMPRAS[Tipo de Compra]")</formula1>
    </dataValidation>
    <dataValidation type="list" allowBlank="1" showInputMessage="1" showErrorMessage="1" sqref="F2:F282" xr:uid="{33482B32-5431-4811-8847-47F4D35E9D6D}">
      <formula1>INDIRECT("RESPONSABLES[Responsables]")</formula1>
    </dataValidation>
    <dataValidation type="list" allowBlank="1" showInputMessage="1" showErrorMessage="1" sqref="Q2:Q282"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41"/>
  <sheetViews>
    <sheetView tabSelected="1" topLeftCell="A22" zoomScaleNormal="100" zoomScaleSheetLayoutView="115" workbookViewId="0">
      <selection activeCell="B40" sqref="B40"/>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51"/>
      <c r="C2" s="152" t="s">
        <v>559</v>
      </c>
      <c r="D2" s="151"/>
      <c r="E2" s="151"/>
    </row>
    <row r="3" spans="2:5" ht="16.5" x14ac:dyDescent="0.3">
      <c r="B3" s="151"/>
      <c r="C3" s="158" t="s">
        <v>18</v>
      </c>
      <c r="D3" s="158"/>
      <c r="E3" s="158"/>
    </row>
    <row r="4" spans="2:5" ht="16.5" x14ac:dyDescent="0.3">
      <c r="B4" s="153" t="s">
        <v>374</v>
      </c>
      <c r="C4" s="154" t="s">
        <v>651</v>
      </c>
      <c r="D4" s="154" t="s">
        <v>622</v>
      </c>
      <c r="E4" s="154" t="s">
        <v>582</v>
      </c>
    </row>
    <row r="5" spans="2:5" ht="16.5" x14ac:dyDescent="0.3">
      <c r="B5" s="155" t="s">
        <v>24</v>
      </c>
      <c r="C5" s="156">
        <v>-103894378.92999999</v>
      </c>
      <c r="D5" s="156">
        <v>97319492.049999997</v>
      </c>
      <c r="E5" s="156">
        <v>-6574886.8799999952</v>
      </c>
    </row>
    <row r="6" spans="2:5" ht="16.5" x14ac:dyDescent="0.3">
      <c r="B6" s="157" t="s">
        <v>29</v>
      </c>
      <c r="C6" s="156">
        <v>-44545640.859999999</v>
      </c>
      <c r="D6" s="156">
        <v>44545640.859999999</v>
      </c>
      <c r="E6" s="156">
        <v>0</v>
      </c>
    </row>
    <row r="7" spans="2:5" ht="16.5" x14ac:dyDescent="0.3">
      <c r="B7" s="157" t="s">
        <v>37</v>
      </c>
      <c r="C7" s="156">
        <v>-294066.33</v>
      </c>
      <c r="D7" s="156">
        <v>294066.33</v>
      </c>
      <c r="E7" s="156">
        <v>0</v>
      </c>
    </row>
    <row r="8" spans="2:5" ht="16.5" x14ac:dyDescent="0.3">
      <c r="B8" s="157" t="s">
        <v>47</v>
      </c>
      <c r="C8" s="156">
        <v>-8895921.4499999993</v>
      </c>
      <c r="D8" s="156">
        <v>8895921.4499999993</v>
      </c>
      <c r="E8" s="156">
        <v>0</v>
      </c>
    </row>
    <row r="9" spans="2:5" ht="16.5" x14ac:dyDescent="0.3">
      <c r="B9" s="157" t="s">
        <v>52</v>
      </c>
      <c r="C9" s="156">
        <v>-3855900.66</v>
      </c>
      <c r="D9" s="156">
        <v>3855900.66</v>
      </c>
      <c r="E9" s="156">
        <v>0</v>
      </c>
    </row>
    <row r="10" spans="2:5" ht="16.5" x14ac:dyDescent="0.3">
      <c r="B10" s="157" t="s">
        <v>57</v>
      </c>
      <c r="C10" s="156">
        <v>-6343709.8899999997</v>
      </c>
      <c r="D10" s="156">
        <v>0</v>
      </c>
      <c r="E10" s="156">
        <v>-6343709.8899999997</v>
      </c>
    </row>
    <row r="11" spans="2:5" ht="16.5" x14ac:dyDescent="0.3">
      <c r="B11" s="157" t="s">
        <v>62</v>
      </c>
      <c r="C11" s="156">
        <v>-660822.77</v>
      </c>
      <c r="D11" s="156">
        <v>660822.77</v>
      </c>
      <c r="E11" s="156">
        <v>0</v>
      </c>
    </row>
    <row r="12" spans="2:5" ht="16.5" x14ac:dyDescent="0.3">
      <c r="B12" s="157" t="s">
        <v>67</v>
      </c>
      <c r="C12" s="156">
        <v>-32169246.390000001</v>
      </c>
      <c r="D12" s="156">
        <v>32169246.390000001</v>
      </c>
      <c r="E12" s="156">
        <v>0</v>
      </c>
    </row>
    <row r="13" spans="2:5" ht="16.5" x14ac:dyDescent="0.3">
      <c r="B13" s="157" t="s">
        <v>77</v>
      </c>
      <c r="C13" s="156">
        <v>-6414022.6899999995</v>
      </c>
      <c r="D13" s="156">
        <v>6414022.6899999995</v>
      </c>
      <c r="E13" s="156">
        <v>0</v>
      </c>
    </row>
    <row r="14" spans="2:5" ht="16.5" x14ac:dyDescent="0.3">
      <c r="B14" s="157" t="s">
        <v>82</v>
      </c>
      <c r="C14" s="156">
        <v>-421962.45</v>
      </c>
      <c r="D14" s="156">
        <v>190785.45999999996</v>
      </c>
      <c r="E14" s="156">
        <v>-231176.99000000005</v>
      </c>
    </row>
    <row r="15" spans="2:5" ht="16.5" x14ac:dyDescent="0.3">
      <c r="B15" s="157" t="s">
        <v>348</v>
      </c>
      <c r="C15" s="156">
        <v>-293085.44</v>
      </c>
      <c r="D15" s="156">
        <v>293085.44</v>
      </c>
      <c r="E15" s="156">
        <v>0</v>
      </c>
    </row>
    <row r="16" spans="2:5" ht="16.5" x14ac:dyDescent="0.3">
      <c r="B16" s="155" t="s">
        <v>91</v>
      </c>
      <c r="C16" s="156">
        <v>-666977.91999999993</v>
      </c>
      <c r="D16" s="156">
        <v>609043.91999999993</v>
      </c>
      <c r="E16" s="156">
        <v>-57934</v>
      </c>
    </row>
    <row r="17" spans="2:8" ht="16.5" x14ac:dyDescent="0.3">
      <c r="B17" s="157" t="s">
        <v>143</v>
      </c>
      <c r="C17" s="156">
        <v>-57934</v>
      </c>
      <c r="D17" s="156">
        <v>0</v>
      </c>
      <c r="E17" s="156">
        <v>-57934</v>
      </c>
    </row>
    <row r="18" spans="2:8" ht="16.5" x14ac:dyDescent="0.3">
      <c r="B18" s="157" t="s">
        <v>148</v>
      </c>
      <c r="C18" s="156">
        <v>-159343.76999999999</v>
      </c>
      <c r="D18" s="156">
        <v>159343.76999999999</v>
      </c>
      <c r="E18" s="156">
        <v>0</v>
      </c>
    </row>
    <row r="19" spans="2:8" ht="16.5" x14ac:dyDescent="0.3">
      <c r="B19" s="157" t="s">
        <v>358</v>
      </c>
      <c r="C19" s="156">
        <v>-37554.769999999997</v>
      </c>
      <c r="D19" s="156">
        <v>37554.769999999997</v>
      </c>
      <c r="E19" s="156">
        <v>0</v>
      </c>
    </row>
    <row r="20" spans="2:8" ht="16.5" x14ac:dyDescent="0.3">
      <c r="B20" s="157" t="s">
        <v>153</v>
      </c>
      <c r="C20" s="156">
        <v>-293235.38</v>
      </c>
      <c r="D20" s="156">
        <v>293235.38</v>
      </c>
      <c r="E20" s="156">
        <v>0</v>
      </c>
    </row>
    <row r="21" spans="2:8" ht="16.5" x14ac:dyDescent="0.3">
      <c r="B21" s="157" t="s">
        <v>158</v>
      </c>
      <c r="C21" s="156">
        <v>-118910</v>
      </c>
      <c r="D21" s="156">
        <v>118910</v>
      </c>
      <c r="E21" s="156">
        <v>0</v>
      </c>
    </row>
    <row r="22" spans="2:8" ht="16.5" x14ac:dyDescent="0.3">
      <c r="B22" s="155" t="s">
        <v>167</v>
      </c>
      <c r="C22" s="156">
        <v>-49316918.149999999</v>
      </c>
      <c r="D22" s="156">
        <v>37524533.469999999</v>
      </c>
      <c r="E22" s="156">
        <v>-11792384.679999985</v>
      </c>
    </row>
    <row r="23" spans="2:8" ht="16.5" x14ac:dyDescent="0.3">
      <c r="B23" s="157" t="s">
        <v>189</v>
      </c>
      <c r="C23" s="156">
        <v>-95847.049999999988</v>
      </c>
      <c r="D23" s="156">
        <v>95847.049999999988</v>
      </c>
      <c r="E23" s="156">
        <v>0</v>
      </c>
    </row>
    <row r="24" spans="2:8" ht="16.5" x14ac:dyDescent="0.3">
      <c r="B24" s="157" t="s">
        <v>219</v>
      </c>
      <c r="C24" s="156">
        <v>-2122104.0700000003</v>
      </c>
      <c r="D24" s="156">
        <v>2122104.0700000003</v>
      </c>
      <c r="E24" s="156">
        <v>0</v>
      </c>
    </row>
    <row r="25" spans="2:8" ht="16.5" x14ac:dyDescent="0.3">
      <c r="B25" s="157" t="s">
        <v>209</v>
      </c>
      <c r="C25" s="156">
        <v>-9395871.5300000012</v>
      </c>
      <c r="D25" s="156">
        <v>9006341.5300000012</v>
      </c>
      <c r="E25" s="156">
        <v>-389530</v>
      </c>
    </row>
    <row r="26" spans="2:8" ht="16.5" x14ac:dyDescent="0.3">
      <c r="B26" s="157" t="s">
        <v>224</v>
      </c>
      <c r="C26" s="156">
        <v>-23605072.5</v>
      </c>
      <c r="D26" s="156">
        <v>23605072.5</v>
      </c>
      <c r="E26" s="156">
        <v>0</v>
      </c>
    </row>
    <row r="27" spans="2:8" ht="16.5" x14ac:dyDescent="0.3">
      <c r="B27" s="157" t="s">
        <v>229</v>
      </c>
      <c r="C27" s="156">
        <v>-11200000</v>
      </c>
      <c r="D27" s="156">
        <v>0</v>
      </c>
      <c r="E27" s="156">
        <v>-11200000</v>
      </c>
    </row>
    <row r="28" spans="2:8" ht="16.5" x14ac:dyDescent="0.3">
      <c r="B28" s="157" t="s">
        <v>259</v>
      </c>
      <c r="C28" s="156">
        <v>-3999.3</v>
      </c>
      <c r="D28" s="156">
        <v>3999.3</v>
      </c>
      <c r="E28" s="156">
        <v>0</v>
      </c>
    </row>
    <row r="29" spans="2:8" ht="16.5" x14ac:dyDescent="0.3">
      <c r="B29" s="157" t="s">
        <v>264</v>
      </c>
      <c r="C29" s="156">
        <v>-261343.76</v>
      </c>
      <c r="D29" s="156">
        <v>259372.69</v>
      </c>
      <c r="E29" s="156">
        <v>-1971.070000000007</v>
      </c>
      <c r="G29" s="121"/>
      <c r="H29" s="121"/>
    </row>
    <row r="30" spans="2:8" ht="16.5" x14ac:dyDescent="0.3">
      <c r="B30" s="157" t="s">
        <v>269</v>
      </c>
      <c r="C30" s="156">
        <v>-2346796.0800000005</v>
      </c>
      <c r="D30" s="156">
        <v>2267543.8300000005</v>
      </c>
      <c r="E30" s="156">
        <v>-79252.25</v>
      </c>
    </row>
    <row r="31" spans="2:8" ht="16.5" x14ac:dyDescent="0.3">
      <c r="B31" s="157" t="s">
        <v>279</v>
      </c>
      <c r="C31" s="156">
        <v>-240473.85999999972</v>
      </c>
      <c r="D31" s="156">
        <v>141310</v>
      </c>
      <c r="E31" s="156">
        <v>-99163.859999999724</v>
      </c>
    </row>
    <row r="32" spans="2:8" ht="16.5" x14ac:dyDescent="0.3">
      <c r="B32" s="157" t="s">
        <v>284</v>
      </c>
      <c r="C32" s="156">
        <v>-45410</v>
      </c>
      <c r="D32" s="156">
        <v>22942.5</v>
      </c>
      <c r="E32" s="156">
        <v>-22467.5</v>
      </c>
    </row>
    <row r="33" spans="2:5" ht="16.5" x14ac:dyDescent="0.3">
      <c r="B33" s="155" t="s">
        <v>293</v>
      </c>
      <c r="C33" s="156">
        <v>-22068653.620000005</v>
      </c>
      <c r="D33" s="156">
        <v>2401200</v>
      </c>
      <c r="E33" s="156">
        <v>-19667453.620000001</v>
      </c>
    </row>
    <row r="34" spans="2:5" ht="16.5" x14ac:dyDescent="0.3">
      <c r="B34" s="157" t="s">
        <v>315</v>
      </c>
      <c r="C34" s="156">
        <v>-18850014.610000003</v>
      </c>
      <c r="D34" s="156">
        <v>2401200</v>
      </c>
      <c r="E34" s="156">
        <v>-16448814.610000003</v>
      </c>
    </row>
    <row r="35" spans="2:5" ht="16.5" x14ac:dyDescent="0.3">
      <c r="B35" s="157" t="s">
        <v>320</v>
      </c>
      <c r="C35" s="156">
        <v>-3218639.01</v>
      </c>
      <c r="D35" s="156">
        <v>0</v>
      </c>
      <c r="E35" s="156">
        <v>-3218639.01</v>
      </c>
    </row>
    <row r="36" spans="2:5" ht="16.5" x14ac:dyDescent="0.3">
      <c r="B36" s="155" t="s">
        <v>621</v>
      </c>
      <c r="C36" s="156">
        <v>-175946928.62</v>
      </c>
      <c r="D36" s="156">
        <v>137854269.43999997</v>
      </c>
      <c r="E36" s="156">
        <v>-38092659.180000037</v>
      </c>
    </row>
    <row r="37" spans="2:5" x14ac:dyDescent="0.25">
      <c r="B37"/>
      <c r="C37"/>
      <c r="D37"/>
      <c r="E37"/>
    </row>
    <row r="38" spans="2:5" x14ac:dyDescent="0.25">
      <c r="B38"/>
      <c r="C38"/>
      <c r="D38" s="150"/>
      <c r="E38"/>
    </row>
    <row r="39" spans="2:5" x14ac:dyDescent="0.25">
      <c r="B39"/>
      <c r="C39"/>
      <c r="D39" s="150"/>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opLeftCell="C64" zoomScale="111" zoomScaleNormal="100" workbookViewId="0">
      <selection activeCell="I48" sqref="I48"/>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5703125" style="41" bestFit="1" customWidth="1"/>
    <col min="5" max="7" width="20.28515625" style="20" bestFit="1" customWidth="1"/>
    <col min="8" max="8" width="29.2851562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63" t="s">
        <v>558</v>
      </c>
      <c r="C2" s="163" t="s">
        <v>559</v>
      </c>
      <c r="D2" s="163"/>
      <c r="E2" s="163"/>
      <c r="F2" s="163"/>
      <c r="G2" s="163"/>
    </row>
    <row r="3" spans="2:12" ht="18.75" thickBot="1" x14ac:dyDescent="0.3">
      <c r="B3" s="162" t="s">
        <v>560</v>
      </c>
      <c r="C3" s="162" t="s">
        <v>31</v>
      </c>
      <c r="D3" s="162" t="s">
        <v>33</v>
      </c>
      <c r="E3" s="162" t="s">
        <v>18</v>
      </c>
      <c r="F3" s="162" t="s">
        <v>14</v>
      </c>
      <c r="G3" s="162" t="s">
        <v>561</v>
      </c>
    </row>
    <row r="4" spans="2:12" ht="17.25" thickBot="1" x14ac:dyDescent="0.35">
      <c r="B4" s="164" t="s">
        <v>762</v>
      </c>
      <c r="C4" s="156"/>
      <c r="D4" s="156"/>
      <c r="E4" s="156"/>
      <c r="F4" s="156"/>
      <c r="G4" s="156"/>
      <c r="I4" s="52" t="s">
        <v>562</v>
      </c>
      <c r="J4" s="63">
        <v>39520</v>
      </c>
      <c r="K4" s="52" t="s">
        <v>563</v>
      </c>
      <c r="L4" s="64">
        <v>2070443.6</v>
      </c>
    </row>
    <row r="5" spans="2:12" ht="16.5" x14ac:dyDescent="0.3">
      <c r="B5" s="159" t="s">
        <v>29</v>
      </c>
      <c r="C5" s="156">
        <v>111754498</v>
      </c>
      <c r="D5" s="156">
        <v>3782189</v>
      </c>
      <c r="E5" s="156">
        <v>-44545640.859999999</v>
      </c>
      <c r="F5" s="156">
        <v>0</v>
      </c>
      <c r="G5" s="156">
        <v>70991046.140000001</v>
      </c>
      <c r="I5" s="44" t="str">
        <f>J4&amp;"-VIH"</f>
        <v>39520-VIH</v>
      </c>
      <c r="J5" s="45">
        <f>SUMIFS(DIARIO[Saldo],DIARIO[Estatus],"Saldo inicial",DIARIO[Objeto de Gasto],I5)</f>
        <v>4029405</v>
      </c>
      <c r="K5" s="46">
        <f>IFERROR(SUM(J5)/SUM($J$5:$J$8),"0%")</f>
        <v>0.34676839008753452</v>
      </c>
      <c r="L5" s="47">
        <f>K5*$L$4</f>
        <v>717964.39393903932</v>
      </c>
    </row>
    <row r="6" spans="2:12" ht="16.5" x14ac:dyDescent="0.3">
      <c r="B6" s="159" t="s">
        <v>37</v>
      </c>
      <c r="C6" s="156">
        <v>10404570</v>
      </c>
      <c r="D6" s="156">
        <v>-6930000</v>
      </c>
      <c r="E6" s="156">
        <v>-294066.33</v>
      </c>
      <c r="F6" s="156">
        <v>0</v>
      </c>
      <c r="G6" s="156">
        <v>3180503.67</v>
      </c>
      <c r="I6" s="48" t="str">
        <f>J4&amp;"-MALARIA"</f>
        <v>39520-MALARIA</v>
      </c>
      <c r="J6" s="49">
        <f>SUMIFS(DIARIO[Saldo],DIARIO[Estatus],"Saldo inicial",DIARIO[Objeto de Gasto],I6)</f>
        <v>4304794</v>
      </c>
      <c r="K6" s="50">
        <f>IFERROR(SUM(J6)/SUM($J$5:$J$8),"0%")</f>
        <v>0.37046821678100811</v>
      </c>
      <c r="L6" s="51">
        <f>K6*$L$4</f>
        <v>767033.5484376509</v>
      </c>
    </row>
    <row r="7" spans="2:12" ht="16.5" x14ac:dyDescent="0.3">
      <c r="B7" s="159" t="s">
        <v>42</v>
      </c>
      <c r="C7" s="156">
        <v>9312952</v>
      </c>
      <c r="D7" s="156">
        <v>315183</v>
      </c>
      <c r="E7" s="156">
        <v>0</v>
      </c>
      <c r="F7" s="156">
        <v>0</v>
      </c>
      <c r="G7" s="156">
        <v>9628135</v>
      </c>
      <c r="I7" s="48" t="str">
        <f>J4&amp;"-TB"</f>
        <v>39520-TB</v>
      </c>
      <c r="J7" s="49">
        <f>SUMIFS(DIARIO[Saldo],DIARIO[Estatus],"Saldo inicial",DIARIO[Objeto de Gasto],I7)</f>
        <v>3285675</v>
      </c>
      <c r="K7" s="50">
        <f>IFERROR(SUM(J7)/SUM($J$5:$J$8),"0%")</f>
        <v>0.28276339313145737</v>
      </c>
      <c r="L7" s="51">
        <f>K7*$L$4</f>
        <v>585445.65762330987</v>
      </c>
    </row>
    <row r="8" spans="2:12" ht="16.5" x14ac:dyDescent="0.3">
      <c r="B8" s="159" t="s">
        <v>47</v>
      </c>
      <c r="C8" s="156">
        <v>9312952</v>
      </c>
      <c r="D8" s="156">
        <v>315183</v>
      </c>
      <c r="E8" s="156">
        <v>-8895921.4499999993</v>
      </c>
      <c r="F8" s="156">
        <v>0</v>
      </c>
      <c r="G8" s="156">
        <v>732213.55000000075</v>
      </c>
      <c r="I8" s="48" t="str">
        <f>J4&amp;"-SSRISS"</f>
        <v>39520-SSRISS</v>
      </c>
      <c r="J8" s="49">
        <f>SUMIFS(DIARIO[Saldo],DIARIO[Estatus],"Saldo inicial",DIARIO[Objeto de Gasto],I8)</f>
        <v>0</v>
      </c>
      <c r="K8" s="50">
        <f>IFERROR(SUM(J8)/SUM($J$5:$J$8),"0%")</f>
        <v>0</v>
      </c>
      <c r="L8" s="51">
        <f>K8*$L$4</f>
        <v>0</v>
      </c>
    </row>
    <row r="9" spans="2:12" ht="16.5" x14ac:dyDescent="0.3">
      <c r="B9" s="159" t="s">
        <v>52</v>
      </c>
      <c r="C9" s="156">
        <v>9312952</v>
      </c>
      <c r="D9" s="156">
        <v>315183</v>
      </c>
      <c r="E9" s="156">
        <v>-3855900.66</v>
      </c>
      <c r="F9" s="156">
        <v>0</v>
      </c>
      <c r="G9" s="156">
        <v>5772234.3399999999</v>
      </c>
    </row>
    <row r="10" spans="2:12" ht="16.5" x14ac:dyDescent="0.3">
      <c r="B10" s="159" t="s">
        <v>57</v>
      </c>
      <c r="C10" s="156">
        <v>16204493</v>
      </c>
      <c r="D10" s="156">
        <v>548418</v>
      </c>
      <c r="E10" s="156">
        <v>-6343709.8899999997</v>
      </c>
      <c r="F10" s="156">
        <v>0</v>
      </c>
      <c r="G10" s="156">
        <v>10409201.109999999</v>
      </c>
    </row>
    <row r="11" spans="2:12" ht="16.5" x14ac:dyDescent="0.3">
      <c r="B11" s="159" t="s">
        <v>62</v>
      </c>
      <c r="C11" s="156">
        <v>2526467</v>
      </c>
      <c r="D11" s="156">
        <v>0</v>
      </c>
      <c r="E11" s="156">
        <v>-660822.77</v>
      </c>
      <c r="F11" s="156">
        <v>0</v>
      </c>
      <c r="G11" s="156">
        <v>1865644.23</v>
      </c>
    </row>
    <row r="12" spans="2:12" ht="16.5" x14ac:dyDescent="0.3">
      <c r="B12" s="159" t="s">
        <v>67</v>
      </c>
      <c r="C12" s="156">
        <v>101081376</v>
      </c>
      <c r="D12" s="156">
        <v>0</v>
      </c>
      <c r="E12" s="156">
        <v>-32169246.390000001</v>
      </c>
      <c r="F12" s="156">
        <v>0</v>
      </c>
      <c r="G12" s="156">
        <v>68912129.609999999</v>
      </c>
    </row>
    <row r="13" spans="2:12" ht="16.5" x14ac:dyDescent="0.3">
      <c r="B13" s="159" t="s">
        <v>72</v>
      </c>
      <c r="C13" s="156">
        <v>8423448</v>
      </c>
      <c r="D13" s="156">
        <v>0</v>
      </c>
      <c r="E13" s="156">
        <v>0</v>
      </c>
      <c r="F13" s="156">
        <v>0</v>
      </c>
      <c r="G13" s="156">
        <v>8423448</v>
      </c>
    </row>
    <row r="14" spans="2:12" ht="16.5" x14ac:dyDescent="0.3">
      <c r="B14" s="159" t="s">
        <v>77</v>
      </c>
      <c r="C14" s="156">
        <v>8423448</v>
      </c>
      <c r="D14" s="156">
        <v>0</v>
      </c>
      <c r="E14" s="156">
        <v>-6414022.6899999995</v>
      </c>
      <c r="F14" s="156">
        <v>0</v>
      </c>
      <c r="G14" s="156">
        <v>2009425.3100000005</v>
      </c>
    </row>
    <row r="15" spans="2:12" ht="16.5" x14ac:dyDescent="0.3">
      <c r="B15" s="159" t="s">
        <v>82</v>
      </c>
      <c r="C15" s="156">
        <v>4609930</v>
      </c>
      <c r="D15" s="156">
        <v>0</v>
      </c>
      <c r="E15" s="156">
        <v>-421962.45</v>
      </c>
      <c r="F15" s="156">
        <v>0</v>
      </c>
      <c r="G15" s="156">
        <v>4187967.55</v>
      </c>
    </row>
    <row r="16" spans="2:12" ht="17.25" thickBot="1" x14ac:dyDescent="0.35">
      <c r="B16" s="159" t="s">
        <v>348</v>
      </c>
      <c r="C16" s="156">
        <v>261508</v>
      </c>
      <c r="D16" s="156">
        <v>1014081</v>
      </c>
      <c r="E16" s="156">
        <v>-293085.44</v>
      </c>
      <c r="F16" s="156">
        <v>0</v>
      </c>
      <c r="G16" s="156">
        <v>982503.56</v>
      </c>
    </row>
    <row r="17" spans="2:8" ht="17.25" thickTop="1" x14ac:dyDescent="0.3">
      <c r="B17" s="165" t="s">
        <v>783</v>
      </c>
      <c r="C17" s="125">
        <v>291628594</v>
      </c>
      <c r="D17" s="125">
        <v>-639763</v>
      </c>
      <c r="E17" s="125">
        <v>-103894378.92999999</v>
      </c>
      <c r="F17" s="125">
        <v>0</v>
      </c>
      <c r="G17" s="125">
        <v>187094452.07000002</v>
      </c>
    </row>
    <row r="18" spans="2:8" ht="16.5" x14ac:dyDescent="0.3">
      <c r="B18" s="164" t="s">
        <v>761</v>
      </c>
      <c r="C18" s="156"/>
      <c r="D18" s="156"/>
      <c r="E18" s="156"/>
      <c r="F18" s="156"/>
      <c r="G18" s="156"/>
    </row>
    <row r="19" spans="2:8" ht="17.25" thickTop="1" x14ac:dyDescent="0.3">
      <c r="B19" s="159" t="s">
        <v>93</v>
      </c>
      <c r="C19" s="156">
        <v>4468001</v>
      </c>
      <c r="D19" s="156">
        <v>0</v>
      </c>
      <c r="E19" s="156">
        <v>0</v>
      </c>
      <c r="F19" s="156">
        <v>-4468001</v>
      </c>
      <c r="G19" s="156">
        <v>0</v>
      </c>
    </row>
    <row r="20" spans="2:8" ht="16.5" x14ac:dyDescent="0.3">
      <c r="B20" s="159" t="s">
        <v>98</v>
      </c>
      <c r="C20" s="156">
        <v>1507780</v>
      </c>
      <c r="D20" s="156">
        <v>-660000</v>
      </c>
      <c r="E20" s="156">
        <v>0</v>
      </c>
      <c r="F20" s="156">
        <v>-349780</v>
      </c>
      <c r="G20" s="156">
        <v>498000</v>
      </c>
    </row>
    <row r="21" spans="2:8" ht="17.25" thickBot="1" x14ac:dyDescent="0.35">
      <c r="B21" s="159" t="s">
        <v>103</v>
      </c>
      <c r="C21" s="156">
        <v>1206000</v>
      </c>
      <c r="D21" s="156">
        <v>0</v>
      </c>
      <c r="E21" s="156">
        <v>0</v>
      </c>
      <c r="F21" s="156">
        <v>0</v>
      </c>
      <c r="G21" s="156">
        <v>1206000</v>
      </c>
    </row>
    <row r="22" spans="2:8" ht="17.25" thickTop="1" x14ac:dyDescent="0.3">
      <c r="B22" s="159" t="s">
        <v>108</v>
      </c>
      <c r="C22" s="156">
        <v>128819</v>
      </c>
      <c r="D22" s="156">
        <v>0</v>
      </c>
      <c r="E22" s="156">
        <v>0</v>
      </c>
      <c r="F22" s="156">
        <v>0</v>
      </c>
      <c r="G22" s="156">
        <v>128819</v>
      </c>
    </row>
    <row r="23" spans="2:8" ht="16.5" x14ac:dyDescent="0.3">
      <c r="B23" s="159" t="s">
        <v>123</v>
      </c>
      <c r="C23" s="156">
        <v>326552</v>
      </c>
      <c r="D23" s="156">
        <v>0</v>
      </c>
      <c r="E23" s="156">
        <v>0</v>
      </c>
      <c r="F23" s="156">
        <v>-100000</v>
      </c>
      <c r="G23" s="156">
        <v>226552</v>
      </c>
    </row>
    <row r="24" spans="2:8" ht="16.5" x14ac:dyDescent="0.3">
      <c r="B24" s="159" t="s">
        <v>138</v>
      </c>
      <c r="C24" s="156">
        <v>92480</v>
      </c>
      <c r="D24" s="156">
        <v>0</v>
      </c>
      <c r="E24" s="156">
        <v>0</v>
      </c>
      <c r="F24" s="156">
        <v>0</v>
      </c>
      <c r="G24" s="156">
        <v>92480</v>
      </c>
    </row>
    <row r="25" spans="2:8" ht="16.5" x14ac:dyDescent="0.3">
      <c r="B25" s="159" t="s">
        <v>143</v>
      </c>
      <c r="C25" s="156">
        <v>1126044</v>
      </c>
      <c r="D25" s="156">
        <v>0</v>
      </c>
      <c r="E25" s="156">
        <v>-57934</v>
      </c>
      <c r="F25" s="156">
        <v>0</v>
      </c>
      <c r="G25" s="156">
        <v>1068110</v>
      </c>
      <c r="H25" s="20" t="s">
        <v>760</v>
      </c>
    </row>
    <row r="26" spans="2:8" ht="16.5" x14ac:dyDescent="0.3">
      <c r="B26" s="159" t="s">
        <v>353</v>
      </c>
      <c r="C26" s="156">
        <v>279464</v>
      </c>
      <c r="D26" s="156">
        <v>0</v>
      </c>
      <c r="E26" s="156">
        <v>0</v>
      </c>
      <c r="F26" s="156">
        <v>0</v>
      </c>
      <c r="G26" s="156">
        <v>279464</v>
      </c>
    </row>
    <row r="27" spans="2:8" ht="16.5" x14ac:dyDescent="0.3">
      <c r="B27" s="159" t="s">
        <v>148</v>
      </c>
      <c r="C27" s="156">
        <v>2817263</v>
      </c>
      <c r="D27" s="156">
        <v>0</v>
      </c>
      <c r="E27" s="156">
        <v>-159343.76999999999</v>
      </c>
      <c r="F27" s="156">
        <v>0</v>
      </c>
      <c r="G27" s="156">
        <v>2657919.23</v>
      </c>
    </row>
    <row r="28" spans="2:8" ht="16.5" x14ac:dyDescent="0.3">
      <c r="B28" s="159" t="s">
        <v>358</v>
      </c>
      <c r="C28" s="156">
        <v>331874</v>
      </c>
      <c r="D28" s="156">
        <v>0</v>
      </c>
      <c r="E28" s="156">
        <v>-37554.769999999997</v>
      </c>
      <c r="F28" s="156">
        <v>0</v>
      </c>
      <c r="G28" s="156">
        <v>294319.23</v>
      </c>
      <c r="H28" s="41"/>
    </row>
    <row r="29" spans="2:8" ht="16.5" x14ac:dyDescent="0.3">
      <c r="B29" s="159" t="s">
        <v>153</v>
      </c>
      <c r="C29" s="156">
        <v>0</v>
      </c>
      <c r="D29" s="156">
        <v>300000</v>
      </c>
      <c r="E29" s="156">
        <v>-293235.38</v>
      </c>
      <c r="F29" s="156">
        <v>0</v>
      </c>
      <c r="G29" s="156">
        <v>6764.6199999999953</v>
      </c>
      <c r="H29" s="41"/>
    </row>
    <row r="30" spans="2:8" ht="17.25" thickBot="1" x14ac:dyDescent="0.35">
      <c r="B30" s="159" t="s">
        <v>158</v>
      </c>
      <c r="C30" s="156">
        <v>1992400</v>
      </c>
      <c r="D30" s="156">
        <v>0</v>
      </c>
      <c r="E30" s="156">
        <v>-118910</v>
      </c>
      <c r="F30" s="156">
        <v>0</v>
      </c>
      <c r="G30" s="156">
        <v>1873490</v>
      </c>
      <c r="H30" s="41"/>
    </row>
    <row r="31" spans="2:8" ht="17.25" thickTop="1" x14ac:dyDescent="0.3">
      <c r="B31" s="165" t="s">
        <v>784</v>
      </c>
      <c r="C31" s="125">
        <v>14276677</v>
      </c>
      <c r="D31" s="125">
        <v>-360000</v>
      </c>
      <c r="E31" s="125">
        <v>-666977.91999999993</v>
      </c>
      <c r="F31" s="125">
        <v>-4917781</v>
      </c>
      <c r="G31" s="125">
        <v>8331918.080000001</v>
      </c>
      <c r="H31" s="41"/>
    </row>
    <row r="32" spans="2:8" ht="16.5" x14ac:dyDescent="0.3">
      <c r="B32" s="164" t="s">
        <v>763</v>
      </c>
      <c r="C32" s="156"/>
      <c r="D32" s="156"/>
      <c r="E32" s="156"/>
      <c r="F32" s="156"/>
      <c r="G32" s="156"/>
    </row>
    <row r="33" spans="2:8" ht="17.25" thickTop="1" x14ac:dyDescent="0.3">
      <c r="B33" s="159" t="s">
        <v>169</v>
      </c>
      <c r="C33" s="156">
        <v>7499063</v>
      </c>
      <c r="D33" s="156">
        <v>0</v>
      </c>
      <c r="E33" s="156">
        <v>0</v>
      </c>
      <c r="F33" s="156">
        <v>-6465825</v>
      </c>
      <c r="G33" s="156">
        <v>1033238</v>
      </c>
    </row>
    <row r="34" spans="2:8" ht="16.5" x14ac:dyDescent="0.3">
      <c r="B34" s="159" t="s">
        <v>179</v>
      </c>
      <c r="C34" s="156">
        <v>5939018</v>
      </c>
      <c r="D34" s="156">
        <v>0</v>
      </c>
      <c r="E34" s="156">
        <v>0</v>
      </c>
      <c r="F34" s="156">
        <v>-5939018</v>
      </c>
      <c r="G34" s="156">
        <v>0</v>
      </c>
    </row>
    <row r="35" spans="2:8" ht="17.25" thickBot="1" x14ac:dyDescent="0.35">
      <c r="B35" s="159" t="s">
        <v>184</v>
      </c>
      <c r="C35" s="156">
        <v>151460</v>
      </c>
      <c r="D35" s="156">
        <v>0</v>
      </c>
      <c r="E35" s="156">
        <v>0</v>
      </c>
      <c r="F35" s="156">
        <v>0</v>
      </c>
      <c r="G35" s="156">
        <v>151460</v>
      </c>
    </row>
    <row r="36" spans="2:8" ht="17.25" thickTop="1" x14ac:dyDescent="0.3">
      <c r="B36" s="159" t="s">
        <v>189</v>
      </c>
      <c r="C36" s="156">
        <v>458236</v>
      </c>
      <c r="D36" s="156">
        <v>0</v>
      </c>
      <c r="E36" s="156">
        <v>-95847.049999999988</v>
      </c>
      <c r="F36" s="156">
        <v>0</v>
      </c>
      <c r="G36" s="156">
        <v>362388.95</v>
      </c>
    </row>
    <row r="37" spans="2:8" ht="16.5" x14ac:dyDescent="0.3">
      <c r="B37" s="159" t="s">
        <v>194</v>
      </c>
      <c r="C37" s="156">
        <v>4529584</v>
      </c>
      <c r="D37" s="156">
        <v>0</v>
      </c>
      <c r="E37" s="156">
        <v>0</v>
      </c>
      <c r="F37" s="156">
        <v>-3667000</v>
      </c>
      <c r="G37" s="156">
        <v>862584</v>
      </c>
    </row>
    <row r="38" spans="2:8" ht="16.5" x14ac:dyDescent="0.3">
      <c r="B38" s="159" t="s">
        <v>199</v>
      </c>
      <c r="C38" s="156">
        <v>644293</v>
      </c>
      <c r="D38" s="156">
        <v>0</v>
      </c>
      <c r="E38" s="156">
        <v>0</v>
      </c>
      <c r="F38" s="156">
        <v>-644293</v>
      </c>
      <c r="G38" s="156">
        <v>0</v>
      </c>
    </row>
    <row r="39" spans="2:8" ht="16.5" x14ac:dyDescent="0.3">
      <c r="B39" s="159" t="s">
        <v>219</v>
      </c>
      <c r="C39" s="156">
        <v>8444220</v>
      </c>
      <c r="D39" s="156">
        <v>0</v>
      </c>
      <c r="E39" s="156">
        <v>-2122104.0700000003</v>
      </c>
      <c r="F39" s="156">
        <v>0</v>
      </c>
      <c r="G39" s="156">
        <v>6322115.9299999997</v>
      </c>
    </row>
    <row r="40" spans="2:8" ht="16.5" x14ac:dyDescent="0.3">
      <c r="B40" s="159" t="s">
        <v>214</v>
      </c>
      <c r="C40" s="156">
        <v>25000000</v>
      </c>
      <c r="D40" s="156">
        <v>0</v>
      </c>
      <c r="E40" s="156">
        <v>0</v>
      </c>
      <c r="F40" s="156">
        <v>0</v>
      </c>
      <c r="G40" s="156">
        <v>25000000</v>
      </c>
    </row>
    <row r="41" spans="2:8" ht="16.5" x14ac:dyDescent="0.3">
      <c r="B41" s="159" t="s">
        <v>209</v>
      </c>
      <c r="C41" s="156">
        <v>23318659</v>
      </c>
      <c r="D41" s="156">
        <v>0</v>
      </c>
      <c r="E41" s="156">
        <v>-9395871.5300000012</v>
      </c>
      <c r="F41" s="156">
        <v>-13922787.469999999</v>
      </c>
      <c r="G41" s="156">
        <v>0</v>
      </c>
    </row>
    <row r="42" spans="2:8" ht="16.5" x14ac:dyDescent="0.3">
      <c r="B42" s="159" t="s">
        <v>224</v>
      </c>
      <c r="C42" s="156">
        <v>68820366</v>
      </c>
      <c r="D42" s="156">
        <v>0</v>
      </c>
      <c r="E42" s="156">
        <v>-23605072.5</v>
      </c>
      <c r="F42" s="156">
        <v>-45215293.5</v>
      </c>
      <c r="G42" s="156">
        <v>0</v>
      </c>
    </row>
    <row r="43" spans="2:8" ht="16.5" x14ac:dyDescent="0.3">
      <c r="B43" s="159" t="s">
        <v>229</v>
      </c>
      <c r="C43" s="156">
        <v>12000000</v>
      </c>
      <c r="D43" s="156">
        <v>0</v>
      </c>
      <c r="E43" s="156">
        <v>-11200000</v>
      </c>
      <c r="F43" s="156">
        <v>0</v>
      </c>
      <c r="G43" s="156">
        <v>800000</v>
      </c>
      <c r="H43" s="41"/>
    </row>
    <row r="44" spans="2:8" ht="16.5" x14ac:dyDescent="0.3">
      <c r="B44" s="159" t="s">
        <v>363</v>
      </c>
      <c r="C44" s="156">
        <v>1500000</v>
      </c>
      <c r="D44" s="156">
        <v>-428212</v>
      </c>
      <c r="E44" s="156">
        <v>0</v>
      </c>
      <c r="F44" s="156">
        <v>-1071788</v>
      </c>
      <c r="G44" s="156">
        <v>0</v>
      </c>
    </row>
    <row r="45" spans="2:8" ht="16.5" x14ac:dyDescent="0.3">
      <c r="B45" s="159" t="s">
        <v>234</v>
      </c>
      <c r="C45" s="156">
        <v>1505613</v>
      </c>
      <c r="D45" s="156">
        <v>-308901</v>
      </c>
      <c r="E45" s="156">
        <v>0</v>
      </c>
      <c r="F45" s="156">
        <v>-1024072</v>
      </c>
      <c r="G45" s="156">
        <v>172640</v>
      </c>
    </row>
    <row r="46" spans="2:8" ht="16.5" x14ac:dyDescent="0.3">
      <c r="B46" s="159" t="s">
        <v>244</v>
      </c>
      <c r="C46" s="156">
        <v>979620</v>
      </c>
      <c r="D46" s="156">
        <v>-500000</v>
      </c>
      <c r="E46" s="156">
        <v>0</v>
      </c>
      <c r="F46" s="156">
        <v>-38400</v>
      </c>
      <c r="G46" s="156">
        <v>441220</v>
      </c>
    </row>
    <row r="47" spans="2:8" ht="16.5" x14ac:dyDescent="0.3">
      <c r="B47" s="159" t="s">
        <v>785</v>
      </c>
      <c r="C47" s="156">
        <v>105449</v>
      </c>
      <c r="D47" s="156">
        <v>0</v>
      </c>
      <c r="E47" s="156">
        <v>0</v>
      </c>
      <c r="F47" s="156">
        <v>0</v>
      </c>
      <c r="G47" s="156">
        <v>105449</v>
      </c>
    </row>
    <row r="48" spans="2:8" ht="16.5" x14ac:dyDescent="0.3">
      <c r="B48" s="159" t="s">
        <v>254</v>
      </c>
      <c r="C48" s="156">
        <v>100000</v>
      </c>
      <c r="D48" s="156">
        <v>0</v>
      </c>
      <c r="E48" s="156">
        <v>0</v>
      </c>
      <c r="F48" s="156">
        <v>0</v>
      </c>
      <c r="G48" s="156">
        <v>100000</v>
      </c>
    </row>
    <row r="49" spans="2:12" ht="16.5" x14ac:dyDescent="0.3">
      <c r="B49" s="159" t="s">
        <v>259</v>
      </c>
      <c r="C49" s="156">
        <v>547665</v>
      </c>
      <c r="D49" s="156">
        <v>0</v>
      </c>
      <c r="E49" s="156">
        <v>-3999.3</v>
      </c>
      <c r="F49" s="156">
        <v>-470316</v>
      </c>
      <c r="G49" s="156">
        <v>73349.699999999953</v>
      </c>
      <c r="L49" s="121">
        <v>2401200</v>
      </c>
    </row>
    <row r="50" spans="2:12" ht="16.5" x14ac:dyDescent="0.3">
      <c r="B50" s="159" t="s">
        <v>264</v>
      </c>
      <c r="C50" s="156">
        <v>1721300</v>
      </c>
      <c r="D50" s="156">
        <v>0</v>
      </c>
      <c r="E50" s="156">
        <v>-261343.76</v>
      </c>
      <c r="F50" s="156">
        <v>-671032.43999999994</v>
      </c>
      <c r="G50" s="156">
        <v>788923.8</v>
      </c>
      <c r="I50" s="118" t="s">
        <v>424</v>
      </c>
      <c r="J50" s="119">
        <v>-6025770.7636850812</v>
      </c>
      <c r="K50" s="120">
        <f t="shared" ref="K50:K52" si="0">SUM(J50)/SUM($J$50:$J$52)</f>
        <v>0.31966928877012046</v>
      </c>
      <c r="L50" s="26">
        <f>K50*$L$49</f>
        <v>767589.89619481331</v>
      </c>
    </row>
    <row r="51" spans="2:12" ht="16.5" x14ac:dyDescent="0.3">
      <c r="B51" s="159" t="s">
        <v>368</v>
      </c>
      <c r="C51" s="156">
        <v>10000</v>
      </c>
      <c r="D51" s="156">
        <v>2478</v>
      </c>
      <c r="E51" s="156">
        <v>0</v>
      </c>
      <c r="F51" s="156">
        <v>-10000</v>
      </c>
      <c r="G51" s="156">
        <v>2478</v>
      </c>
      <c r="I51" s="118" t="s">
        <v>318</v>
      </c>
      <c r="J51" s="119">
        <v>-4580463.6959707029</v>
      </c>
      <c r="K51" s="120">
        <f t="shared" si="0"/>
        <v>0.24299523319948779</v>
      </c>
      <c r="L51" s="26">
        <f t="shared" ref="L51:L52" si="1">K51*$L$49</f>
        <v>583480.15395861014</v>
      </c>
    </row>
    <row r="52" spans="2:12" ht="16.5" x14ac:dyDescent="0.3">
      <c r="B52" s="159" t="s">
        <v>269</v>
      </c>
      <c r="C52" s="156">
        <v>11619874</v>
      </c>
      <c r="D52" s="156">
        <v>2362100</v>
      </c>
      <c r="E52" s="156">
        <v>-2346796.08</v>
      </c>
      <c r="F52" s="156">
        <v>-11635177.92</v>
      </c>
      <c r="G52" s="156">
        <v>0</v>
      </c>
      <c r="I52" s="118" t="s">
        <v>317</v>
      </c>
      <c r="J52" s="119">
        <v>-8243780.15034422</v>
      </c>
      <c r="K52" s="120">
        <f t="shared" si="0"/>
        <v>0.43733547803039174</v>
      </c>
      <c r="L52" s="26">
        <f t="shared" si="1"/>
        <v>1050129.9498465767</v>
      </c>
    </row>
    <row r="53" spans="2:12" ht="16.5" x14ac:dyDescent="0.3">
      <c r="B53" s="159" t="s">
        <v>274</v>
      </c>
      <c r="C53" s="156">
        <v>48000</v>
      </c>
      <c r="D53" s="156">
        <v>0</v>
      </c>
      <c r="E53" s="156">
        <v>0</v>
      </c>
      <c r="F53" s="156">
        <v>-48000</v>
      </c>
      <c r="G53" s="156">
        <v>0</v>
      </c>
    </row>
    <row r="54" spans="2:12" ht="16.5" x14ac:dyDescent="0.3">
      <c r="B54" s="159" t="s">
        <v>279</v>
      </c>
      <c r="C54" s="156">
        <v>5885189</v>
      </c>
      <c r="D54" s="156">
        <v>0</v>
      </c>
      <c r="E54" s="156">
        <v>-240473.85999999975</v>
      </c>
      <c r="F54" s="156">
        <v>-5644715.1400000006</v>
      </c>
      <c r="G54" s="156">
        <v>0</v>
      </c>
    </row>
    <row r="55" spans="2:12" ht="17.25" thickBot="1" x14ac:dyDescent="0.35">
      <c r="B55" s="159" t="s">
        <v>284</v>
      </c>
      <c r="C55" s="156">
        <v>831496</v>
      </c>
      <c r="D55" s="156">
        <v>0</v>
      </c>
      <c r="E55" s="156">
        <v>-45410</v>
      </c>
      <c r="F55" s="156">
        <v>-721086</v>
      </c>
      <c r="G55" s="156">
        <v>65000</v>
      </c>
    </row>
    <row r="56" spans="2:12" ht="17.25" thickTop="1" x14ac:dyDescent="0.3">
      <c r="B56" s="165" t="s">
        <v>786</v>
      </c>
      <c r="C56" s="125">
        <v>181659105</v>
      </c>
      <c r="D56" s="125">
        <v>1127465</v>
      </c>
      <c r="E56" s="125">
        <v>-49316918.149999999</v>
      </c>
      <c r="F56" s="125">
        <v>-97188804.469999999</v>
      </c>
      <c r="G56" s="125">
        <v>36280847.379999995</v>
      </c>
    </row>
    <row r="57" spans="2:12" ht="16.5" x14ac:dyDescent="0.3">
      <c r="B57" s="164" t="s">
        <v>764</v>
      </c>
      <c r="C57" s="156"/>
      <c r="D57" s="156"/>
      <c r="E57" s="156"/>
      <c r="F57" s="156"/>
      <c r="G57" s="156"/>
    </row>
    <row r="58" spans="2:12" ht="17.25" thickTop="1" x14ac:dyDescent="0.3">
      <c r="B58" s="159" t="s">
        <v>295</v>
      </c>
      <c r="C58" s="156">
        <v>300000</v>
      </c>
      <c r="D58" s="156">
        <v>0</v>
      </c>
      <c r="E58" s="156">
        <v>0</v>
      </c>
      <c r="F58" s="156">
        <v>-300000</v>
      </c>
      <c r="G58" s="156">
        <v>0</v>
      </c>
    </row>
    <row r="59" spans="2:12" ht="17.25" thickBot="1" x14ac:dyDescent="0.35">
      <c r="B59" s="159" t="s">
        <v>300</v>
      </c>
      <c r="C59" s="156">
        <v>1096998</v>
      </c>
      <c r="D59" s="156">
        <v>0</v>
      </c>
      <c r="E59" s="156">
        <v>0</v>
      </c>
      <c r="F59" s="156">
        <v>-1096998</v>
      </c>
      <c r="G59" s="156">
        <v>0</v>
      </c>
    </row>
    <row r="60" spans="2:12" ht="17.25" thickTop="1" x14ac:dyDescent="0.3">
      <c r="B60" s="159" t="s">
        <v>310</v>
      </c>
      <c r="C60" s="156">
        <v>1500000</v>
      </c>
      <c r="D60" s="156">
        <v>0</v>
      </c>
      <c r="E60" s="156">
        <v>0</v>
      </c>
      <c r="F60" s="156">
        <v>-1500000</v>
      </c>
      <c r="G60" s="156">
        <v>0</v>
      </c>
    </row>
    <row r="61" spans="2:12" ht="16.5" x14ac:dyDescent="0.3">
      <c r="B61" s="159" t="s">
        <v>338</v>
      </c>
      <c r="C61" s="156">
        <v>800000</v>
      </c>
      <c r="D61" s="156">
        <v>937113</v>
      </c>
      <c r="E61" s="156">
        <v>0</v>
      </c>
      <c r="F61" s="156">
        <v>-1737113</v>
      </c>
      <c r="G61" s="156">
        <v>0</v>
      </c>
    </row>
    <row r="62" spans="2:12" ht="16.5" x14ac:dyDescent="0.3">
      <c r="B62" s="159" t="s">
        <v>315</v>
      </c>
      <c r="C62" s="156">
        <v>14776048</v>
      </c>
      <c r="D62" s="156">
        <v>0</v>
      </c>
      <c r="E62" s="156">
        <v>-18850014.610000003</v>
      </c>
      <c r="F62" s="156">
        <v>0</v>
      </c>
      <c r="G62" s="156">
        <v>-4073966.6100000031</v>
      </c>
    </row>
    <row r="63" spans="2:12" ht="16.5" x14ac:dyDescent="0.3">
      <c r="B63" s="159" t="s">
        <v>716</v>
      </c>
      <c r="C63" s="156">
        <v>0</v>
      </c>
      <c r="D63" s="156">
        <v>300000</v>
      </c>
      <c r="E63" s="156">
        <v>0</v>
      </c>
      <c r="F63" s="156">
        <v>-300000</v>
      </c>
      <c r="G63" s="156">
        <v>0</v>
      </c>
      <c r="J63" s="20" t="s">
        <v>564</v>
      </c>
    </row>
    <row r="64" spans="2:12" ht="16.5" x14ac:dyDescent="0.3">
      <c r="B64" s="159" t="s">
        <v>320</v>
      </c>
      <c r="C64" s="156">
        <v>3394616</v>
      </c>
      <c r="D64" s="156">
        <v>0</v>
      </c>
      <c r="E64" s="156">
        <v>-3218639.01</v>
      </c>
      <c r="F64" s="156">
        <v>0</v>
      </c>
      <c r="G64" s="156">
        <v>175976.99000000022</v>
      </c>
      <c r="J64" s="42">
        <v>9045</v>
      </c>
      <c r="K64" s="26">
        <f>J64*9</f>
        <v>81405</v>
      </c>
      <c r="L64" s="26">
        <f>K64*3</f>
        <v>244215</v>
      </c>
    </row>
    <row r="65" spans="2:10" ht="17.25" thickBot="1" x14ac:dyDescent="0.35">
      <c r="B65" s="159" t="s">
        <v>325</v>
      </c>
      <c r="C65" s="156">
        <v>510047</v>
      </c>
      <c r="D65" s="156">
        <v>0</v>
      </c>
      <c r="E65" s="156">
        <v>0</v>
      </c>
      <c r="F65" s="156">
        <v>-510047</v>
      </c>
      <c r="G65" s="156">
        <v>0</v>
      </c>
      <c r="J65" s="42">
        <v>30</v>
      </c>
    </row>
    <row r="66" spans="2:10" ht="17.25" thickTop="1" x14ac:dyDescent="0.3">
      <c r="B66" s="165" t="s">
        <v>782</v>
      </c>
      <c r="C66" s="125">
        <v>22377709</v>
      </c>
      <c r="D66" s="125">
        <v>1237113</v>
      </c>
      <c r="E66" s="125">
        <v>-22068653.620000005</v>
      </c>
      <c r="F66" s="125">
        <v>-5444158</v>
      </c>
      <c r="G66" s="125">
        <v>-3897989.6200000029</v>
      </c>
      <c r="H66" s="41"/>
      <c r="J66" s="43">
        <f>J64*J65</f>
        <v>271350</v>
      </c>
    </row>
    <row r="67" spans="2:10" ht="16.5" x14ac:dyDescent="0.3">
      <c r="B67" s="164" t="s">
        <v>765</v>
      </c>
      <c r="C67" s="117">
        <v>1800</v>
      </c>
      <c r="D67" s="117">
        <v>0</v>
      </c>
      <c r="E67" s="117">
        <v>0</v>
      </c>
      <c r="F67" s="117">
        <v>0</v>
      </c>
      <c r="G67" s="117">
        <v>1800</v>
      </c>
    </row>
    <row r="68" spans="2:10" ht="18.75" thickTop="1" x14ac:dyDescent="0.25">
      <c r="B68" s="160" t="s">
        <v>561</v>
      </c>
      <c r="C68" s="161">
        <v>509943885</v>
      </c>
      <c r="D68" s="161">
        <v>1364815</v>
      </c>
      <c r="E68" s="161">
        <v>-175946928.62</v>
      </c>
      <c r="F68" s="161">
        <v>-107550743.47</v>
      </c>
      <c r="G68" s="161">
        <v>227811027.91</v>
      </c>
    </row>
    <row r="69" spans="2:10" ht="15.75" thickBot="1" x14ac:dyDescent="0.3">
      <c r="B69"/>
      <c r="C69"/>
      <c r="D69"/>
      <c r="E69"/>
      <c r="F69"/>
      <c r="G69"/>
      <c r="H69" s="41"/>
    </row>
    <row r="70" spans="2:10" ht="15.75" thickTop="1" x14ac:dyDescent="0.25">
      <c r="B70"/>
      <c r="C70"/>
      <c r="D70"/>
      <c r="E70"/>
      <c r="F70"/>
      <c r="G70"/>
    </row>
    <row r="71" spans="2:10" x14ac:dyDescent="0.25">
      <c r="B71"/>
      <c r="C71"/>
      <c r="D71"/>
      <c r="E71"/>
      <c r="F71"/>
      <c r="G71"/>
    </row>
    <row r="72" spans="2:10" x14ac:dyDescent="0.25">
      <c r="B72"/>
      <c r="C72"/>
      <c r="D72"/>
      <c r="E72"/>
      <c r="F72"/>
      <c r="G72"/>
    </row>
    <row r="73" spans="2:10" x14ac:dyDescent="0.25">
      <c r="B73"/>
      <c r="C73"/>
      <c r="D73"/>
      <c r="E73"/>
      <c r="F73"/>
      <c r="G73"/>
    </row>
    <row r="74" spans="2:10"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opLeftCell="M11" zoomScaleNormal="100" workbookViewId="0">
      <selection activeCell="S7" sqref="S7"/>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94"/>
      <c r="B3" s="95"/>
      <c r="C3" s="95"/>
      <c r="D3" s="95"/>
      <c r="E3" s="95"/>
      <c r="F3" s="95"/>
      <c r="G3" s="96"/>
      <c r="I3" s="94"/>
      <c r="J3" s="95"/>
      <c r="K3" s="95"/>
      <c r="L3" s="95"/>
      <c r="M3" s="95"/>
      <c r="N3" s="95"/>
      <c r="O3" s="95"/>
      <c r="P3" s="96"/>
      <c r="R3" s="94"/>
      <c r="S3" s="95"/>
      <c r="T3" s="95"/>
      <c r="U3" s="95"/>
      <c r="V3" s="95"/>
      <c r="W3" s="95"/>
      <c r="X3" s="96"/>
      <c r="Z3" s="94"/>
      <c r="AA3" s="95"/>
      <c r="AB3" s="95"/>
      <c r="AC3" s="95"/>
      <c r="AD3" s="95"/>
      <c r="AE3" s="95"/>
      <c r="AF3" s="95"/>
      <c r="AG3" s="96"/>
      <c r="AI3" s="94"/>
      <c r="AJ3" s="95"/>
      <c r="AK3" s="95"/>
      <c r="AL3" s="95"/>
      <c r="AM3" s="95"/>
      <c r="AN3" s="95"/>
      <c r="AO3" s="95"/>
      <c r="AP3" s="95"/>
      <c r="AQ3" s="95"/>
      <c r="AR3" s="96"/>
    </row>
    <row r="4" spans="1:168" ht="19.5" thickBot="1" x14ac:dyDescent="0.35">
      <c r="A4" s="97"/>
      <c r="B4" s="98" t="s">
        <v>565</v>
      </c>
      <c r="G4" s="99"/>
      <c r="I4" s="97"/>
      <c r="J4" s="98" t="s">
        <v>566</v>
      </c>
      <c r="P4" s="99"/>
      <c r="R4" s="97"/>
      <c r="S4" s="98" t="s">
        <v>710</v>
      </c>
      <c r="X4" s="99"/>
      <c r="Z4" s="97"/>
      <c r="AA4" s="98" t="s">
        <v>758</v>
      </c>
      <c r="AG4" s="99"/>
      <c r="AI4" s="97"/>
      <c r="AJ4" s="98" t="s">
        <v>771</v>
      </c>
      <c r="AR4" s="99"/>
    </row>
    <row r="5" spans="1:168" ht="15.75" thickBot="1" x14ac:dyDescent="0.3">
      <c r="A5" s="97"/>
      <c r="B5" s="5" t="s">
        <v>567</v>
      </c>
      <c r="C5" s="5" t="s">
        <v>568</v>
      </c>
      <c r="D5" s="5" t="s">
        <v>569</v>
      </c>
      <c r="E5" s="5" t="s">
        <v>570</v>
      </c>
      <c r="F5" s="53" t="s">
        <v>781</v>
      </c>
      <c r="G5" s="100"/>
      <c r="H5" s="93"/>
      <c r="I5" s="97"/>
      <c r="J5" s="5" t="s">
        <v>571</v>
      </c>
      <c r="K5" s="5" t="s">
        <v>572</v>
      </c>
      <c r="L5" s="5" t="s">
        <v>573</v>
      </c>
      <c r="M5" s="5" t="s">
        <v>574</v>
      </c>
      <c r="N5" s="5" t="s">
        <v>575</v>
      </c>
      <c r="O5" s="5" t="s">
        <v>576</v>
      </c>
      <c r="P5" s="100"/>
      <c r="Q5" s="93"/>
      <c r="R5" s="97"/>
      <c r="S5" s="82" t="s">
        <v>707</v>
      </c>
      <c r="T5" s="85" t="s">
        <v>706</v>
      </c>
      <c r="U5" s="83" t="s">
        <v>708</v>
      </c>
      <c r="V5" s="85" t="s">
        <v>709</v>
      </c>
      <c r="W5" s="83" t="s">
        <v>390</v>
      </c>
      <c r="X5" s="106"/>
      <c r="Z5" s="97"/>
      <c r="AA5" s="5" t="s">
        <v>759</v>
      </c>
      <c r="AB5" s="5" t="s">
        <v>575</v>
      </c>
      <c r="AC5" s="5" t="s">
        <v>572</v>
      </c>
      <c r="AD5" s="5" t="s">
        <v>580</v>
      </c>
      <c r="AE5" s="5" t="s">
        <v>574</v>
      </c>
      <c r="AF5" s="5" t="s">
        <v>581</v>
      </c>
      <c r="AG5" s="99"/>
      <c r="AI5" s="97"/>
      <c r="AJ5" s="124" t="s">
        <v>774</v>
      </c>
      <c r="AK5" s="124" t="s">
        <v>578</v>
      </c>
      <c r="AL5" s="124" t="s">
        <v>577</v>
      </c>
      <c r="AM5" s="124" t="s">
        <v>775</v>
      </c>
      <c r="AN5" s="124" t="s">
        <v>776</v>
      </c>
      <c r="AO5" s="124" t="s">
        <v>777</v>
      </c>
      <c r="AP5" s="124" t="s">
        <v>772</v>
      </c>
      <c r="AR5" s="99"/>
    </row>
    <row r="6" spans="1:168" ht="15.75" thickBot="1" x14ac:dyDescent="0.3">
      <c r="A6" s="97"/>
      <c r="B6" t="s">
        <v>575</v>
      </c>
      <c r="C6" s="101">
        <f>SUMIFS(DIARIO[Saldo],DIARIO[Estatus],"Saldo Inicial",DIARIO[Objeto de Gasto],"*SSRISS*")</f>
        <v>192078268.31999999</v>
      </c>
      <c r="D6" s="102">
        <f>SUMIFS(DIARIO[Saldo], DIARIO[Estatus],"Modificaciones",DIARIO[Objeto de Gasto],"*SSRISS*")</f>
        <v>1902994.715119414</v>
      </c>
      <c r="E6" s="25">
        <f>Tabla5[[#This Row],[APROBADO]]+Tabla5[[#This Row],[MODIFICACIONES]]</f>
        <v>193981263.03511941</v>
      </c>
      <c r="F6" s="127">
        <f>SUM(Tabla5[[#This Row],[DISPONIBLE]])/SUBTOTAL(109,Tabla5[DISPONIBLE])</f>
        <v>0.37938189402042133</v>
      </c>
      <c r="G6" s="103"/>
      <c r="H6" s="26"/>
      <c r="I6" s="97"/>
      <c r="J6" t="s">
        <v>579</v>
      </c>
      <c r="K6" s="101">
        <f>SUMIFS(DIARIO[Saldo],DIARIO[Estatus],"Saldo Inicial",DIARIO[Objeto de Gasto],"*VIH*")</f>
        <v>183420751.31</v>
      </c>
      <c r="L6" s="101">
        <f>SUMIFS(DIARIO[Saldo],DIARIO[Estatus],"Saldo Inicial",DIARIO[Objeto de Gasto],"*Malaria*")</f>
        <v>81855416.569999993</v>
      </c>
      <c r="M6" s="101">
        <f>SUMIFS(DIARIO[Saldo],DIARIO[Estatus],"Saldo Inicial",DIARIO[Objeto de Gasto],"*TB*")</f>
        <v>52589448.799999997</v>
      </c>
      <c r="N6" s="101">
        <f>SUMIFS(DIARIO[Saldo],DIARIO[Estatus],"Saldo Inicial",DIARIO[Objeto de Gasto],"*SSRISS*")</f>
        <v>192078268.31999999</v>
      </c>
      <c r="O6" s="101">
        <f>Tabla6[[#This Row],[VIH]]+Tabla6[[#This Row],[MARARIA]]+Tabla6[[#This Row],[TB]]+Tabla6[[#This Row],[SSRISS]]</f>
        <v>509943885</v>
      </c>
      <c r="P6" s="106"/>
      <c r="Q6" s="41"/>
      <c r="R6" s="97"/>
      <c r="S6" s="84">
        <f>SUM(K7:N7)/SUM(E6:E9)</f>
        <v>0.34411096196876756</v>
      </c>
      <c r="T6" s="86">
        <f>O7</f>
        <v>175946928.61999997</v>
      </c>
      <c r="U6" s="87">
        <f>O8/Tabla5[[#Totals],[DISPONIBLE]]</f>
        <v>0.21034405139204554</v>
      </c>
      <c r="V6" s="88">
        <f>SUM(DIARIO[Pagado])/SUMIFS(DIARIO[Salida],DIARIO[Estatus],"Adjudicado")</f>
        <v>0.78349915239344503</v>
      </c>
      <c r="W6" s="89">
        <f>SUM(DIARIO[Pagado])</f>
        <v>137854269.43999994</v>
      </c>
      <c r="X6" s="99"/>
      <c r="Z6" s="97"/>
      <c r="AA6" s="1" t="s">
        <v>762</v>
      </c>
      <c r="AB6" s="115">
        <f>SUMIFS(DIARIO[Entrada],DIARIO[Objeto de Gasto],"1*",DIARIO[Objeto de Gasto],"*SSRISS*")</f>
        <v>196205688.31999999</v>
      </c>
      <c r="AC6" s="115">
        <f>SUMIFS(DIARIO[Entrada],DIARIO[Objeto de Gasto],"1*",DIARIO[Objeto de Gasto],"*VIH*")</f>
        <v>44094786.310000002</v>
      </c>
      <c r="AD6" s="115">
        <f>SUMIFS(DIARIO[Entrada],DIARIO[Objeto de Gasto],"1*",DIARIO[Objeto de Gasto],"*MALARIA*")</f>
        <v>31918921.57</v>
      </c>
      <c r="AE6" s="115">
        <f>SUMIFS(DIARIO[Entrada],DIARIO[Objeto de Gasto],"1*",DIARIO[Objeto de Gasto],"*TB*")</f>
        <v>25699434.800000001</v>
      </c>
      <c r="AF6" s="116">
        <f>SUM(AB6:AE6)</f>
        <v>297918831</v>
      </c>
      <c r="AG6" s="99"/>
      <c r="AI6" s="97"/>
      <c r="AJ6" s="122" t="s">
        <v>572</v>
      </c>
      <c r="AK6" s="5">
        <f>COUNTIFS(DIARIO[Objeto de Gasto],"*VIH*",DIARIO[Estatus],$AK$5)-COUNTIFS(DIARIO[Objeto de Gasto],"*VIH*",DIARIO[Estatus],$AK$5,DIARIO[Tipo de Compra],"")</f>
        <v>10</v>
      </c>
      <c r="AL6" s="5">
        <f>COUNTIFS(DIARIO[Objeto de Gasto],"*VIH*",DIARIO[Estatus],$AL$5)</f>
        <v>14</v>
      </c>
      <c r="AM6" s="5">
        <f>COUNTIFS(DIARIO[Objeto de Gasto],"*VIH*",DIARIO[Estatus],$AM$5)</f>
        <v>0</v>
      </c>
      <c r="AN6" s="5">
        <f>COUNTIFS(DIARIO[Objeto de Gasto],"*VIH*",DIARIO[Estatus],$AN$5)</f>
        <v>1</v>
      </c>
      <c r="AO6" s="5">
        <f>COUNTIFS(DIARIO[Objeto de Gasto],"*VIH*",DIARIO[Estatus],$AO$5)</f>
        <v>4</v>
      </c>
      <c r="AP6" s="5">
        <f>SUM(Tabla11[[#This Row],[ADJUDICADO]:[OBSERVACIONES]])</f>
        <v>29</v>
      </c>
      <c r="AR6" s="99"/>
    </row>
    <row r="7" spans="1:168" x14ac:dyDescent="0.25">
      <c r="A7" s="97"/>
      <c r="B7" t="s">
        <v>572</v>
      </c>
      <c r="C7" s="101">
        <f>SUMIFS(DIARIO[Saldo],DIARIO[Estatus],"Saldo Inicial",DIARIO[Objeto de Gasto],"*VIH*")</f>
        <v>183420751.31</v>
      </c>
      <c r="D7" s="102">
        <f>SUMIFS(DIARIO[Saldo], DIARIO[Estatus],"Modificaciones",DIARIO[Objeto de Gasto],"*VIH*")</f>
        <v>-21516.804943887983</v>
      </c>
      <c r="E7" s="25">
        <f>Tabla5[[#This Row],[APROBADO]]+Tabla5[[#This Row],[MODIFICACIONES]]</f>
        <v>183399234.50505611</v>
      </c>
      <c r="F7" s="127">
        <f>SUM(Tabla5[[#This Row],[DISPONIBLE]])/SUBTOTAL(109,Tabla5[DISPONIBLE])</f>
        <v>0.35868592594856319</v>
      </c>
      <c r="G7" s="103"/>
      <c r="H7" s="26"/>
      <c r="I7" s="97"/>
      <c r="J7" t="s">
        <v>578</v>
      </c>
      <c r="K7" s="101">
        <f>-SUMIFS(DIARIO[Saldo],DIARIO[Estatus],"Adjudicado",DIARIO[Objeto de Gasto],"*VIH*")</f>
        <v>49460710.533175506</v>
      </c>
      <c r="L7" s="101">
        <f>-SUMIFS(DIARIO[Saldo],DIARIO[Estatus],"Adjudicado",DIARIO[Objeto de Gasto],"*Malaria*")</f>
        <v>32517909.523426622</v>
      </c>
      <c r="M7" s="101">
        <f>-SUMIFS(DIARIO[Saldo],DIARIO[Estatus],"Adjudicado",DIARIO[Objeto de Gasto],"*TB*")</f>
        <v>21141339.859793156</v>
      </c>
      <c r="N7" s="101">
        <f>-SUMIFS(DIARIO[Saldo],DIARIO[Estatus],"Adjudicado",DIARIO[Objeto de Gasto],"*SSRISS*")</f>
        <v>72826968.703604698</v>
      </c>
      <c r="O7" s="101">
        <f>Tabla6[[#This Row],[VIH]]+Tabla6[[#This Row],[MARARIA]]+Tabla6[[#This Row],[TB]]+Tabla6[[#This Row],[SSRISS]]</f>
        <v>175946928.61999997</v>
      </c>
      <c r="P7" s="106"/>
      <c r="Q7" s="41"/>
      <c r="R7" s="97"/>
      <c r="X7" s="99"/>
      <c r="Z7" s="97"/>
      <c r="AA7" s="1" t="s">
        <v>761</v>
      </c>
      <c r="AB7" s="115">
        <f>SUMIFS(DIARIO[Entrada],DIARIO[Objeto de Gasto],"2*",DIARIO[Objeto de Gasto],"*SSRISS*")</f>
        <v>1398254</v>
      </c>
      <c r="AC7" s="115">
        <f>SUMIFS(DIARIO[Entrada],DIARIO[Objeto de Gasto],"2*",DIARIO[Objeto de Gasto],"*VIH*")</f>
        <v>6826958</v>
      </c>
      <c r="AD7" s="115">
        <f>SUMIFS(DIARIO[Entrada],DIARIO[Objeto de Gasto],"2*",DIARIO[Objeto de Gasto],"*MALARIA*")</f>
        <v>2707845</v>
      </c>
      <c r="AE7" s="115">
        <f>SUMIFS(DIARIO[Entrada],DIARIO[Objeto de Gasto],"2*",DIARIO[Objeto de Gasto],"*TB*")</f>
        <v>3643620</v>
      </c>
      <c r="AF7" s="116">
        <f t="shared" ref="AF7:AF10" si="0">SUM(AB7:AE7)</f>
        <v>14576677</v>
      </c>
      <c r="AG7" s="99"/>
      <c r="AI7" s="97"/>
      <c r="AJ7" s="122" t="s">
        <v>580</v>
      </c>
      <c r="AK7" s="5">
        <f>COUNTIFS(DIARIO[Objeto de Gasto],"*MALARIA*",DIARIO[Estatus],$AK$5)-COUNTIFS(DIARIO[Objeto de Gasto],"*MALARIA*",DIARIO[Estatus],$AK$5,DIARIO[Tipo de Compra],"")</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99"/>
    </row>
    <row r="8" spans="1:168" x14ac:dyDescent="0.25">
      <c r="A8" s="97"/>
      <c r="B8" t="s">
        <v>580</v>
      </c>
      <c r="C8" s="101">
        <f>SUMIFS(DIARIO[Saldo],DIARIO[Estatus],"Saldo Inicial",DIARIO[Objeto de Gasto],"*Malaria*")</f>
        <v>81855416.569999993</v>
      </c>
      <c r="D8" s="102">
        <f>SUMIFS(DIARIO[Saldo], DIARIO[Estatus],"Modificaciones",DIARIO[Objeto de Gasto],"*Malaria*")</f>
        <v>-1284578.3210913416</v>
      </c>
      <c r="E8" s="25">
        <f>Tabla5[[#This Row],[APROBADO]]+Tabla5[[#This Row],[MODIFICACIONES]]</f>
        <v>80570838.248908654</v>
      </c>
      <c r="F8" s="127">
        <f>SUM(Tabla5[[#This Row],[DISPONIBLE]])/SUBTOTAL(109,Tabla5[DISPONIBLE])</f>
        <v>0.15757767909857323</v>
      </c>
      <c r="G8" s="103"/>
      <c r="H8" s="26"/>
      <c r="I8" s="97"/>
      <c r="J8" t="s">
        <v>577</v>
      </c>
      <c r="K8" s="101">
        <f>-SUMIFS(DIARIO[Saldo],DIARIO[Estatus],"Proceso",DIARIO[Objeto de Gasto],"*VIH*")</f>
        <v>66957888.215082183</v>
      </c>
      <c r="L8" s="101">
        <f>-SUMIFS(DIARIO[Saldo],DIARIO[Estatus],"Proceso",DIARIO[Objeto de Gasto],"*Malaria*")</f>
        <v>27538071.245835107</v>
      </c>
      <c r="M8" s="101">
        <f>-SUMIFS(DIARIO[Saldo],DIARIO[Estatus],"Proceso",DIARIO[Objeto de Gasto],"*TB*")</f>
        <v>12799784.009082709</v>
      </c>
      <c r="N8" s="101">
        <f>-SUMIFS(DIARIO[Saldo],DIARIO[Estatus],"Proceso",DIARIO[Objeto de Gasto],"*SSRISS*")</f>
        <v>255000</v>
      </c>
      <c r="O8" s="101">
        <f>Tabla6[[#This Row],[VIH]]+Tabla6[[#This Row],[MARARIA]]+Tabla6[[#This Row],[TB]]+Tabla6[[#This Row],[SSRISS]]</f>
        <v>107550743.47</v>
      </c>
      <c r="P8" s="106"/>
      <c r="Q8" s="41"/>
      <c r="R8" s="97"/>
      <c r="X8" s="99"/>
      <c r="Z8" s="97"/>
      <c r="AA8" s="1" t="s">
        <v>763</v>
      </c>
      <c r="AB8" s="115">
        <f>SUMIFS(DIARIO[Entrada],DIARIO[Objeto de Gasto],"3*",DIARIO[Objeto de Gasto],"*SSRISS*")</f>
        <v>732763</v>
      </c>
      <c r="AC8" s="115">
        <f>SUMIFS(DIARIO[Entrada],DIARIO[Objeto de Gasto],"3*",DIARIO[Objeto de Gasto],"*VIH*")</f>
        <v>122167014.61422576</v>
      </c>
      <c r="AD8" s="115">
        <f>SUMIFS(DIARIO[Entrada],DIARIO[Objeto de Gasto],"3*",DIARIO[Objeto de Gasto],"*MALARIA*")</f>
        <v>41715642.974858418</v>
      </c>
      <c r="AE8" s="115">
        <f>SUMIFS(DIARIO[Entrada],DIARIO[Objeto de Gasto],"3*",DIARIO[Objeto de Gasto],"*TB*")</f>
        <v>19408262.410915814</v>
      </c>
      <c r="AF8" s="116">
        <f t="shared" si="0"/>
        <v>184023683</v>
      </c>
      <c r="AG8" s="99"/>
      <c r="AI8" s="97"/>
      <c r="AJ8" s="122" t="s">
        <v>773</v>
      </c>
      <c r="AK8" s="5">
        <f>COUNTIFS(DIARIO[Objeto de Gasto],"*TB*",DIARIO[Estatus],$AK$5)-COUNTIFS(DIARIO[Objeto de Gasto],"*TB*",DIARIO[Estatus],$AK$5,DIARIO[Tipo de Compra],"")</f>
        <v>10</v>
      </c>
      <c r="AL8" s="5">
        <f>COUNTIFS(DIARIO[Objeto de Gasto],"*TB*",DIARIO[Estatus],$AL$5)</f>
        <v>13</v>
      </c>
      <c r="AM8" s="5">
        <f>COUNTIFS(DIARIO[Objeto de Gasto],"*TB*",DIARIO[Estatus],$AM$5)</f>
        <v>0</v>
      </c>
      <c r="AN8" s="5">
        <f>COUNTIFS(DIARIO[Objeto de Gasto],"*TB*",DIARIO[Estatus],$AN$5)</f>
        <v>1</v>
      </c>
      <c r="AO8" s="5">
        <f>COUNTIFS(DIARIO[Objeto de Gasto],"*TB*",DIARIO[Estatus],$AO$5)</f>
        <v>0</v>
      </c>
      <c r="AP8" s="5">
        <f>SUM(Tabla11[[#This Row],[ADJUDICADO]:[OBSERVACIONES]])</f>
        <v>24</v>
      </c>
      <c r="AR8" s="99"/>
    </row>
    <row r="9" spans="1:168" x14ac:dyDescent="0.25">
      <c r="A9" s="97"/>
      <c r="B9" t="s">
        <v>574</v>
      </c>
      <c r="C9" s="101">
        <f>SUMIFS(DIARIO[Saldo],DIARIO[Estatus],"Saldo Inicial",DIARIO[Objeto de Gasto],"*TB*")</f>
        <v>52589448.799999997</v>
      </c>
      <c r="D9" s="102">
        <f>SUMIFS(DIARIO[Saldo], DIARIO[Estatus],"Modificaciones",DIARIO[Objeto de Gasto],"*TB*")</f>
        <v>767915.4109158155</v>
      </c>
      <c r="E9" s="25">
        <f>Tabla5[[#This Row],[APROBADO]]+Tabla5[[#This Row],[MODIFICACIONES]]</f>
        <v>53357364.210915811</v>
      </c>
      <c r="F9" s="127">
        <f>SUM(Tabla5[[#This Row],[DISPONIBLE]])/SUBTOTAL(109,Tabla5[DISPONIBLE])</f>
        <v>0.10435450093244221</v>
      </c>
      <c r="G9" s="103"/>
      <c r="H9" s="26"/>
      <c r="I9" s="97"/>
      <c r="J9" s="104" t="s">
        <v>570</v>
      </c>
      <c r="K9" s="112">
        <f>K6-K7-K8</f>
        <v>67002152.561742321</v>
      </c>
      <c r="L9" s="112">
        <f t="shared" ref="L9:N9" si="1">L6-L7-L8</f>
        <v>21799435.800738264</v>
      </c>
      <c r="M9" s="112">
        <f t="shared" si="1"/>
        <v>18648324.931124132</v>
      </c>
      <c r="N9" s="112">
        <f t="shared" si="1"/>
        <v>118996299.61639529</v>
      </c>
      <c r="O9" s="112">
        <f>O6-O7-O8</f>
        <v>226446212.91</v>
      </c>
      <c r="P9" s="113"/>
      <c r="Q9" s="111"/>
      <c r="R9" s="97"/>
      <c r="X9" s="99"/>
      <c r="Z9" s="97"/>
      <c r="AA9" s="1" t="s">
        <v>764</v>
      </c>
      <c r="AB9" s="115">
        <f>SUMIFS(DIARIO[Entrada],DIARIO[Objeto de Gasto],"4*",DIARIO[Objeto de Gasto],"*SSRISS*")</f>
        <v>30000</v>
      </c>
      <c r="AC9" s="115">
        <f>SUMIFS(DIARIO[Entrada],DIARIO[Objeto de Gasto],"4*",DIARIO[Objeto de Gasto],"*VIH*")</f>
        <v>11253572</v>
      </c>
      <c r="AD9" s="115">
        <f>SUMIFS(DIARIO[Entrada],DIARIO[Objeto de Gasto],"4*",DIARIO[Objeto de Gasto],"*MALARIA*")</f>
        <v>7725203</v>
      </c>
      <c r="AE9" s="115">
        <f>SUMIFS(DIARIO[Entrada],DIARIO[Objeto de Gasto],"4*",DIARIO[Objeto de Gasto],"*TB*")</f>
        <v>4606047</v>
      </c>
      <c r="AF9" s="116">
        <f t="shared" si="0"/>
        <v>23614822</v>
      </c>
      <c r="AG9" s="99"/>
      <c r="AI9" s="97"/>
      <c r="AJ9" s="122" t="s">
        <v>575</v>
      </c>
      <c r="AK9" s="5">
        <f>COUNTIFS(DIARIO[Objeto de Gasto],"*SSRISS*",DIARIO[Estatus],$AK$5)-COUNTIFS(DIARIO[Objeto de Gasto],"*SSRISS*",DIARIO[Estatus],$AK$5,DIARIO[Tipo de Compra],"")</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99"/>
    </row>
    <row r="10" spans="1:168" x14ac:dyDescent="0.25">
      <c r="A10" s="97"/>
      <c r="B10" s="104" t="s">
        <v>581</v>
      </c>
      <c r="C10" s="25">
        <f>SUBTOTAL(109,Tabla5[APROBADO])</f>
        <v>509943885</v>
      </c>
      <c r="D10" s="105">
        <f>SUBTOTAL(109,Tabla5[MODIFICACIONES])</f>
        <v>1364815</v>
      </c>
      <c r="E10" s="25">
        <f>SUBTOTAL(109,Tabla5[DISPONIBLE])</f>
        <v>511308700</v>
      </c>
      <c r="F10" s="128">
        <f>SUM(F6:F9)</f>
        <v>1</v>
      </c>
      <c r="G10" s="103"/>
      <c r="H10" s="26"/>
      <c r="I10" s="97"/>
      <c r="P10" s="99"/>
      <c r="R10" s="97"/>
      <c r="X10" s="99"/>
      <c r="Z10" s="97"/>
      <c r="AA10" s="1" t="s">
        <v>765</v>
      </c>
      <c r="AB10" s="115">
        <f>SUMIFS(DIARIO[Entrada],DIARIO[Objeto de Gasto],"5*",DIARIO[Objeto de Gasto],"*SSRISS*")</f>
        <v>1800</v>
      </c>
      <c r="AC10" s="115">
        <f>SUMIFS(DIARIO[Entrada],DIARIO[Objeto de Gasto],"5*",DIARIO[Objeto de Gasto],"*VIH*")</f>
        <v>0</v>
      </c>
      <c r="AD10" s="115">
        <f>SUMIFS(DIARIO[Entrada],DIARIO[Objeto de Gasto],"5*",DIARIO[Objeto de Gasto],"*MALARIA*")</f>
        <v>0</v>
      </c>
      <c r="AE10" s="115">
        <f>SUMIFS(DIARIO[Entrada],DIARIO[Objeto de Gasto],"5*",DIARIO[Objeto de Gasto],"*TB*")</f>
        <v>0</v>
      </c>
      <c r="AF10" s="116">
        <f t="shared" si="0"/>
        <v>1800</v>
      </c>
      <c r="AG10" s="99"/>
      <c r="AI10" s="97"/>
      <c r="AJ10" s="104" t="s">
        <v>581</v>
      </c>
      <c r="AK10" s="53">
        <f>SUBTOTAL(109,Tabla11[ADJUDICADO])</f>
        <v>35</v>
      </c>
      <c r="AL10" s="53">
        <f>SUBTOTAL(109,Tabla11[PROCESO])</f>
        <v>54</v>
      </c>
      <c r="AM10" s="53">
        <f>SUBTOTAL(109,Tabla11[FRACASADO])</f>
        <v>2</v>
      </c>
      <c r="AN10" s="53">
        <f>SUBTOTAL(109,Tabla11[DESIERTO])</f>
        <v>4</v>
      </c>
      <c r="AO10" s="53">
        <f>SUBTOTAL(109,Tabla11[OBSERVACIONES])</f>
        <v>9</v>
      </c>
      <c r="AP10" s="53">
        <f>SUBTOTAL(109,Tabla11[SUMA])</f>
        <v>104</v>
      </c>
      <c r="AR10" s="99"/>
    </row>
    <row r="11" spans="1:168" x14ac:dyDescent="0.25">
      <c r="A11" s="97"/>
      <c r="G11" s="99"/>
      <c r="I11" s="97"/>
      <c r="P11" s="99"/>
      <c r="R11" s="97"/>
      <c r="X11" s="99"/>
      <c r="Z11" s="97"/>
      <c r="AG11" s="99"/>
      <c r="AI11" s="97"/>
      <c r="AP11"/>
      <c r="AR11" s="123"/>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97"/>
      <c r="G12" s="99"/>
      <c r="I12" s="97"/>
      <c r="P12" s="99"/>
      <c r="R12" s="97"/>
      <c r="X12" s="99"/>
      <c r="Z12" s="97"/>
      <c r="AG12" s="99"/>
      <c r="AI12" s="97"/>
      <c r="AR12" s="99"/>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97"/>
      <c r="G13" s="99"/>
      <c r="I13" s="97"/>
      <c r="P13" s="99"/>
      <c r="R13" s="97"/>
      <c r="X13" s="99"/>
      <c r="Z13" s="97"/>
      <c r="AG13" s="99"/>
      <c r="AI13" s="97"/>
      <c r="AR13" s="99"/>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97"/>
      <c r="G14" s="99"/>
      <c r="I14" s="97"/>
      <c r="P14" s="99"/>
      <c r="R14" s="97"/>
      <c r="X14" s="99"/>
      <c r="Z14" s="97"/>
      <c r="AG14" s="99"/>
      <c r="AI14" s="97"/>
      <c r="AR14" s="99"/>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97"/>
      <c r="G15" s="99"/>
      <c r="I15" s="97"/>
      <c r="P15" s="99"/>
      <c r="R15" s="97"/>
      <c r="X15" s="99"/>
      <c r="Z15" s="97"/>
      <c r="AG15" s="99"/>
      <c r="AI15" s="97"/>
      <c r="AR15" s="99"/>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97"/>
      <c r="G16" s="99"/>
      <c r="I16" s="97"/>
      <c r="P16" s="99"/>
      <c r="R16" s="97"/>
      <c r="X16" s="99"/>
      <c r="Z16" s="97"/>
      <c r="AG16" s="99"/>
      <c r="AI16" s="97"/>
      <c r="AR16" s="99"/>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97"/>
      <c r="G17" s="99"/>
      <c r="I17" s="97"/>
      <c r="P17" s="99"/>
      <c r="R17" s="97"/>
      <c r="X17" s="99"/>
      <c r="Z17" s="97"/>
      <c r="AG17" s="99"/>
      <c r="AI17" s="97"/>
      <c r="AR17" s="99"/>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97"/>
      <c r="G18" s="99"/>
      <c r="I18" s="97"/>
      <c r="P18" s="99"/>
      <c r="R18" s="97"/>
      <c r="X18" s="99"/>
      <c r="Z18" s="97"/>
      <c r="AG18" s="99"/>
      <c r="AI18" s="97"/>
      <c r="AR18" s="99"/>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97"/>
      <c r="G19" s="99"/>
      <c r="I19" s="97"/>
      <c r="P19" s="99"/>
      <c r="R19" s="97"/>
      <c r="X19" s="99"/>
      <c r="Z19" s="97"/>
      <c r="AG19" s="99"/>
      <c r="AI19" s="97"/>
      <c r="AR19" s="9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97"/>
      <c r="G20" s="99"/>
      <c r="I20" s="97"/>
      <c r="P20" s="99"/>
      <c r="R20" s="97"/>
      <c r="X20" s="99"/>
      <c r="Z20" s="97"/>
      <c r="AG20" s="99"/>
      <c r="AI20" s="97"/>
      <c r="AR20" s="99"/>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97"/>
      <c r="G21" s="99"/>
      <c r="I21" s="97"/>
      <c r="P21" s="99"/>
      <c r="R21" s="97"/>
      <c r="X21" s="99"/>
      <c r="Z21" s="97"/>
      <c r="AG21" s="99"/>
      <c r="AI21" s="97"/>
      <c r="AR21" s="99"/>
    </row>
    <row r="22" spans="1:168" x14ac:dyDescent="0.25">
      <c r="A22" s="97"/>
      <c r="G22" s="99"/>
      <c r="I22" s="97"/>
      <c r="P22" s="99"/>
      <c r="R22" s="97"/>
      <c r="X22" s="99"/>
      <c r="Z22" s="97"/>
      <c r="AG22" s="99"/>
      <c r="AI22" s="97"/>
      <c r="AR22" s="99"/>
    </row>
    <row r="23" spans="1:168" x14ac:dyDescent="0.25">
      <c r="A23" s="97"/>
      <c r="G23" s="99"/>
      <c r="I23" s="97"/>
      <c r="P23" s="99"/>
      <c r="R23" s="97"/>
      <c r="X23" s="99"/>
      <c r="Z23" s="97"/>
      <c r="AG23" s="99"/>
      <c r="AI23" s="97"/>
      <c r="AR23" s="99"/>
    </row>
    <row r="24" spans="1:168" x14ac:dyDescent="0.25">
      <c r="A24" s="97"/>
      <c r="G24" s="99"/>
      <c r="I24" s="97"/>
      <c r="P24" s="99"/>
      <c r="R24" s="97"/>
      <c r="X24" s="99"/>
      <c r="Z24" s="97"/>
      <c r="AG24" s="99"/>
      <c r="AI24" s="97"/>
      <c r="AR24" s="99"/>
    </row>
    <row r="25" spans="1:168" x14ac:dyDescent="0.25">
      <c r="A25" s="97"/>
      <c r="G25" s="99"/>
      <c r="I25" s="97"/>
      <c r="N25" s="26"/>
      <c r="P25" s="99"/>
      <c r="R25" s="97"/>
      <c r="X25" s="99"/>
      <c r="Z25" s="97"/>
      <c r="AG25" s="99"/>
      <c r="AI25" s="97"/>
      <c r="AR25" s="99"/>
    </row>
    <row r="26" spans="1:168" x14ac:dyDescent="0.25">
      <c r="A26" s="97"/>
      <c r="G26" s="99"/>
      <c r="I26" s="97"/>
      <c r="P26" s="99"/>
      <c r="R26" s="97"/>
      <c r="X26" s="99"/>
      <c r="Z26" s="97"/>
      <c r="AG26" s="99"/>
      <c r="AI26" s="97"/>
      <c r="AR26" s="99"/>
    </row>
    <row r="27" spans="1:168" x14ac:dyDescent="0.25">
      <c r="A27" s="97"/>
      <c r="G27" s="99"/>
      <c r="I27" s="97"/>
      <c r="P27" s="99"/>
      <c r="R27" s="97"/>
      <c r="X27" s="99"/>
      <c r="Z27" s="97"/>
      <c r="AG27" s="99"/>
      <c r="AI27" s="97"/>
      <c r="AR27" s="99"/>
    </row>
    <row r="28" spans="1:168" x14ac:dyDescent="0.25">
      <c r="A28" s="97"/>
      <c r="B28"/>
      <c r="C28" s="101"/>
      <c r="D28" s="101"/>
      <c r="E28" s="101"/>
      <c r="F28" s="101"/>
      <c r="G28" s="106"/>
      <c r="H28" s="110"/>
      <c r="I28" s="114"/>
      <c r="J28" s="101"/>
      <c r="P28" s="99"/>
      <c r="R28" s="97"/>
      <c r="X28" s="99"/>
      <c r="Z28" s="97"/>
      <c r="AG28" s="99"/>
      <c r="AI28" s="97"/>
      <c r="AR28" s="99"/>
    </row>
    <row r="29" spans="1:168" x14ac:dyDescent="0.25">
      <c r="A29" s="97"/>
      <c r="G29" s="99"/>
      <c r="I29" s="97"/>
      <c r="P29" s="99"/>
      <c r="R29" s="97"/>
      <c r="X29" s="99"/>
      <c r="Z29" s="97"/>
      <c r="AG29" s="99"/>
      <c r="AI29" s="97"/>
      <c r="AR29" s="99"/>
    </row>
    <row r="30" spans="1:168" x14ac:dyDescent="0.25">
      <c r="A30" s="97"/>
      <c r="G30" s="99"/>
      <c r="I30" s="97"/>
      <c r="P30" s="99"/>
      <c r="R30" s="97"/>
      <c r="X30" s="99"/>
      <c r="Z30" s="97"/>
      <c r="AG30" s="99"/>
      <c r="AI30" s="97"/>
      <c r="AR30" s="99"/>
    </row>
    <row r="31" spans="1:168" x14ac:dyDescent="0.25">
      <c r="A31" s="97"/>
      <c r="G31" s="99"/>
      <c r="I31" s="97"/>
      <c r="P31" s="99"/>
      <c r="R31" s="97"/>
      <c r="X31" s="99"/>
      <c r="Z31" s="97"/>
      <c r="AG31" s="99"/>
      <c r="AI31" s="97"/>
      <c r="AR31" s="99"/>
    </row>
    <row r="32" spans="1:168" x14ac:dyDescent="0.25">
      <c r="A32" s="97"/>
      <c r="G32" s="99"/>
      <c r="I32" s="97"/>
      <c r="P32" s="99"/>
      <c r="R32" s="97"/>
      <c r="X32" s="99"/>
      <c r="Z32" s="97"/>
      <c r="AG32" s="99"/>
      <c r="AI32" s="97"/>
      <c r="AR32" s="99"/>
    </row>
    <row r="33" spans="1:44" x14ac:dyDescent="0.25">
      <c r="A33" s="97"/>
      <c r="G33" s="99"/>
      <c r="I33" s="97"/>
      <c r="P33" s="99"/>
      <c r="R33" s="97"/>
      <c r="X33" s="99"/>
      <c r="Z33" s="97"/>
      <c r="AG33" s="99"/>
      <c r="AI33" s="97"/>
      <c r="AR33" s="99"/>
    </row>
    <row r="34" spans="1:44" x14ac:dyDescent="0.25">
      <c r="A34" s="97"/>
      <c r="G34" s="99"/>
      <c r="I34" s="97"/>
      <c r="P34" s="99"/>
      <c r="R34" s="97"/>
      <c r="X34" s="99"/>
      <c r="Z34" s="97"/>
      <c r="AG34" s="99"/>
      <c r="AI34" s="97"/>
      <c r="AR34" s="99"/>
    </row>
    <row r="35" spans="1:44" ht="15.75" thickBot="1" x14ac:dyDescent="0.3">
      <c r="A35" s="107"/>
      <c r="B35" s="108"/>
      <c r="C35" s="108"/>
      <c r="D35" s="108"/>
      <c r="E35" s="108"/>
      <c r="F35" s="108"/>
      <c r="G35" s="109"/>
      <c r="I35" s="107"/>
      <c r="J35" s="108"/>
      <c r="K35" s="108"/>
      <c r="L35" s="108"/>
      <c r="M35" s="108"/>
      <c r="N35" s="108"/>
      <c r="O35" s="108"/>
      <c r="P35" s="109"/>
      <c r="R35" s="107"/>
      <c r="S35" s="108"/>
      <c r="T35" s="108"/>
      <c r="U35" s="108"/>
      <c r="V35" s="108"/>
      <c r="W35" s="108"/>
      <c r="X35" s="109"/>
      <c r="Z35" s="107"/>
      <c r="AA35" s="108"/>
      <c r="AB35" s="108"/>
      <c r="AC35" s="108"/>
      <c r="AD35" s="108"/>
      <c r="AE35" s="108"/>
      <c r="AF35" s="108"/>
      <c r="AG35" s="109"/>
      <c r="AI35" s="107"/>
      <c r="AJ35" s="108"/>
      <c r="AK35" s="108"/>
      <c r="AL35" s="108"/>
      <c r="AM35" s="108"/>
      <c r="AN35" s="108"/>
      <c r="AO35" s="108"/>
      <c r="AP35" s="108"/>
      <c r="AQ35" s="108"/>
      <c r="AR35" s="109"/>
    </row>
    <row r="36" spans="1:44" x14ac:dyDescent="0.25">
      <c r="B36" s="80"/>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ignoredErrors>
    <ignoredError sqref="K7:N8" calculatedColumn="1"/>
  </ignoredErrors>
  <drawing r:id="rId1"/>
  <tableParts count="4">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5" t="s">
        <v>584</v>
      </c>
      <c r="B1" s="75" t="s">
        <v>585</v>
      </c>
      <c r="C1" s="75" t="s">
        <v>374</v>
      </c>
      <c r="D1" s="75" t="s">
        <v>586</v>
      </c>
      <c r="E1" s="75" t="s">
        <v>587</v>
      </c>
      <c r="F1" s="76" t="s">
        <v>588</v>
      </c>
      <c r="G1" s="77" t="s">
        <v>589</v>
      </c>
      <c r="H1" s="75" t="s">
        <v>590</v>
      </c>
      <c r="I1" s="77" t="s">
        <v>591</v>
      </c>
      <c r="J1" s="78" t="s">
        <v>592</v>
      </c>
      <c r="K1" s="75" t="s">
        <v>10</v>
      </c>
    </row>
    <row r="2" spans="1:11" x14ac:dyDescent="0.25">
      <c r="B2" t="s">
        <v>433</v>
      </c>
      <c r="C2" s="5">
        <v>35252</v>
      </c>
      <c r="D2" t="s">
        <v>593</v>
      </c>
      <c r="F2" t="s">
        <v>598</v>
      </c>
      <c r="H2" s="24">
        <f>66125+17250+2300000</f>
        <v>2383375</v>
      </c>
      <c r="I2" s="25">
        <v>0</v>
      </c>
      <c r="J2" s="23">
        <v>102</v>
      </c>
      <c r="K2" t="s">
        <v>610</v>
      </c>
    </row>
    <row r="3" spans="1:11" x14ac:dyDescent="0.25">
      <c r="B3" t="s">
        <v>433</v>
      </c>
      <c r="C3" s="5">
        <v>35252</v>
      </c>
      <c r="D3" t="s">
        <v>593</v>
      </c>
      <c r="F3" t="s">
        <v>599</v>
      </c>
      <c r="H3" s="24">
        <f>2616480+876185+165600+10120+5520+358800+12075000</f>
        <v>16107705</v>
      </c>
      <c r="I3" s="25">
        <v>0</v>
      </c>
      <c r="J3" s="23">
        <v>102</v>
      </c>
      <c r="K3" t="s">
        <v>610</v>
      </c>
    </row>
    <row r="4" spans="1:11" x14ac:dyDescent="0.25">
      <c r="B4" t="s">
        <v>433</v>
      </c>
      <c r="C4" s="5">
        <v>35252</v>
      </c>
      <c r="D4" t="s">
        <v>593</v>
      </c>
      <c r="F4" t="s">
        <v>600</v>
      </c>
      <c r="H4" s="24">
        <f>2597905.2+2460080+56007.3</f>
        <v>5113992.5</v>
      </c>
      <c r="I4" s="25">
        <f t="shared" ref="I4:I5" si="0">H4</f>
        <v>5113992.5</v>
      </c>
      <c r="J4" s="23">
        <v>102</v>
      </c>
    </row>
    <row r="5" spans="1:11" x14ac:dyDescent="0.25">
      <c r="B5" t="s">
        <v>438</v>
      </c>
      <c r="C5" s="5">
        <v>39520</v>
      </c>
      <c r="D5" t="s">
        <v>594</v>
      </c>
      <c r="F5" t="s">
        <v>601</v>
      </c>
      <c r="H5" s="24">
        <v>457107.5</v>
      </c>
      <c r="I5" s="25">
        <f t="shared" si="0"/>
        <v>457107.5</v>
      </c>
      <c r="J5" s="23">
        <v>102</v>
      </c>
    </row>
    <row r="6" spans="1:11" x14ac:dyDescent="0.25">
      <c r="B6" t="s">
        <v>438</v>
      </c>
      <c r="C6" s="5">
        <v>39520</v>
      </c>
      <c r="D6" t="s">
        <v>594</v>
      </c>
      <c r="F6" t="s">
        <v>602</v>
      </c>
      <c r="H6" s="24">
        <v>75040</v>
      </c>
      <c r="I6" s="79">
        <v>0</v>
      </c>
      <c r="J6" s="23">
        <v>102</v>
      </c>
      <c r="K6" t="s">
        <v>610</v>
      </c>
    </row>
    <row r="7" spans="1:11" x14ac:dyDescent="0.25">
      <c r="B7" t="s">
        <v>438</v>
      </c>
      <c r="C7" s="5">
        <v>39520</v>
      </c>
      <c r="D7" t="s">
        <v>594</v>
      </c>
      <c r="F7" t="s">
        <v>599</v>
      </c>
      <c r="H7" s="24">
        <v>1692588.35</v>
      </c>
      <c r="I7" s="25">
        <f>H7</f>
        <v>1692588.35</v>
      </c>
      <c r="J7" s="23">
        <v>102</v>
      </c>
    </row>
    <row r="8" spans="1:11" x14ac:dyDescent="0.25">
      <c r="B8" t="s">
        <v>442</v>
      </c>
      <c r="C8" s="5">
        <v>42420</v>
      </c>
      <c r="D8" t="s">
        <v>595</v>
      </c>
      <c r="F8" t="s">
        <v>599</v>
      </c>
      <c r="H8" s="24">
        <v>28520</v>
      </c>
      <c r="I8" s="25">
        <f t="shared" ref="I8:I17" si="1">H8</f>
        <v>28520</v>
      </c>
      <c r="J8" s="23">
        <v>102</v>
      </c>
    </row>
    <row r="9" spans="1:11" x14ac:dyDescent="0.25">
      <c r="B9" t="s">
        <v>442</v>
      </c>
      <c r="C9" s="5">
        <v>42420</v>
      </c>
      <c r="D9" t="s">
        <v>595</v>
      </c>
      <c r="F9" t="s">
        <v>603</v>
      </c>
      <c r="H9" s="24">
        <v>2283900</v>
      </c>
      <c r="I9" s="25">
        <f t="shared" si="1"/>
        <v>2283900</v>
      </c>
      <c r="J9" s="23">
        <v>102</v>
      </c>
    </row>
    <row r="10" spans="1:11" x14ac:dyDescent="0.25">
      <c r="B10" t="s">
        <v>442</v>
      </c>
      <c r="C10" s="5">
        <v>42420</v>
      </c>
      <c r="D10" t="s">
        <v>595</v>
      </c>
      <c r="F10" t="s">
        <v>604</v>
      </c>
      <c r="H10" s="24">
        <v>4130959.43</v>
      </c>
      <c r="I10" s="25">
        <f t="shared" si="1"/>
        <v>4130959.43</v>
      </c>
      <c r="J10" s="23">
        <v>102</v>
      </c>
    </row>
    <row r="11" spans="1:11" x14ac:dyDescent="0.25">
      <c r="B11" t="s">
        <v>442</v>
      </c>
      <c r="C11" s="5">
        <v>42420</v>
      </c>
      <c r="D11" t="s">
        <v>595</v>
      </c>
      <c r="F11" t="s">
        <v>605</v>
      </c>
      <c r="H11" s="24">
        <v>117300</v>
      </c>
      <c r="I11" s="25">
        <f t="shared" si="1"/>
        <v>117300</v>
      </c>
      <c r="J11" s="23">
        <v>102</v>
      </c>
    </row>
    <row r="12" spans="1:11" x14ac:dyDescent="0.25">
      <c r="B12" t="s">
        <v>442</v>
      </c>
      <c r="C12" s="5">
        <v>42420</v>
      </c>
      <c r="D12" t="s">
        <v>595</v>
      </c>
      <c r="F12" t="s">
        <v>606</v>
      </c>
      <c r="H12" s="24">
        <v>12289335.24</v>
      </c>
      <c r="I12" s="25">
        <f t="shared" si="1"/>
        <v>12289335.24</v>
      </c>
      <c r="J12" s="23">
        <v>102</v>
      </c>
    </row>
    <row r="13" spans="1:11" x14ac:dyDescent="0.25">
      <c r="B13" t="s">
        <v>448</v>
      </c>
      <c r="C13" s="5">
        <v>35251</v>
      </c>
      <c r="D13" t="s">
        <v>596</v>
      </c>
      <c r="F13" t="s">
        <v>599</v>
      </c>
      <c r="H13" s="24">
        <v>389530</v>
      </c>
      <c r="I13" s="25">
        <f t="shared" si="1"/>
        <v>389530</v>
      </c>
      <c r="J13" s="23">
        <v>102</v>
      </c>
    </row>
    <row r="14" spans="1:11" x14ac:dyDescent="0.25">
      <c r="B14" t="s">
        <v>453</v>
      </c>
      <c r="C14" s="5">
        <v>39540</v>
      </c>
      <c r="D14" t="s">
        <v>597</v>
      </c>
      <c r="F14" t="s">
        <v>607</v>
      </c>
      <c r="H14" s="24">
        <v>89700</v>
      </c>
      <c r="I14" s="25">
        <f t="shared" si="1"/>
        <v>89700</v>
      </c>
      <c r="J14" s="23">
        <v>102</v>
      </c>
    </row>
    <row r="15" spans="1:11" x14ac:dyDescent="0.25">
      <c r="B15" t="s">
        <v>453</v>
      </c>
      <c r="C15" s="5">
        <v>39540</v>
      </c>
      <c r="D15" t="s">
        <v>597</v>
      </c>
      <c r="F15" t="s">
        <v>608</v>
      </c>
      <c r="H15" s="24">
        <v>61099.5</v>
      </c>
      <c r="I15" s="25">
        <f t="shared" si="1"/>
        <v>61099.5</v>
      </c>
      <c r="J15" s="23">
        <v>102</v>
      </c>
    </row>
    <row r="16" spans="1:11" x14ac:dyDescent="0.25">
      <c r="B16" t="s">
        <v>453</v>
      </c>
      <c r="C16" s="5">
        <v>39540</v>
      </c>
      <c r="D16" t="s">
        <v>597</v>
      </c>
      <c r="F16" t="s">
        <v>609</v>
      </c>
      <c r="H16" s="24">
        <v>17900</v>
      </c>
      <c r="I16" s="25">
        <f t="shared" si="1"/>
        <v>17900</v>
      </c>
      <c r="J16" s="23">
        <v>102</v>
      </c>
    </row>
    <row r="17" spans="2:10" x14ac:dyDescent="0.25">
      <c r="B17" t="s">
        <v>453</v>
      </c>
      <c r="C17" s="5">
        <v>39540</v>
      </c>
      <c r="D17" t="s">
        <v>597</v>
      </c>
      <c r="F17" t="s">
        <v>601</v>
      </c>
      <c r="H17" s="24">
        <v>109250</v>
      </c>
      <c r="I17" s="25">
        <f t="shared" si="1"/>
        <v>109250</v>
      </c>
      <c r="J17" s="23">
        <v>102</v>
      </c>
    </row>
    <row r="18" spans="2:10" x14ac:dyDescent="0.25">
      <c r="C18" s="23">
        <v>42110</v>
      </c>
      <c r="D18" t="s">
        <v>611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Cedula para utiles.</vt:lpstr>
      <vt:lpstr>BASE DE DATOS</vt:lpstr>
      <vt:lpstr>PAGADO</vt:lpstr>
      <vt:lpstr>REPORTE</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2024-06-18T15:43:42Z</cp:lastPrinted>
  <dcterms:created xsi:type="dcterms:W3CDTF">2023-11-01T20:37:46Z</dcterms:created>
  <dcterms:modified xsi:type="dcterms:W3CDTF">2024-06-18T17:16:05Z</dcterms:modified>
  <cp:category/>
  <cp:contentStatus/>
</cp:coreProperties>
</file>