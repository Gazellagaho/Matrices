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78A351B2-1477-42B9-966A-CED34C28FB4A}" xr6:coauthVersionLast="47" xr6:coauthVersionMax="47" xr10:uidLastSave="{00000000-0000-0000-0000-000000000000}"/>
  <bookViews>
    <workbookView xWindow="-120" yWindow="-120" windowWidth="20730" windowHeight="11040" firstSheet="2" activeTab="4" xr2:uid="{2FB2480B-EF2B-43D5-879D-FA457C0551FB}"/>
  </bookViews>
  <sheets>
    <sheet name="CATALOGO y LISTAS" sheetId="1" state="hidden" r:id="rId1"/>
    <sheet name="BUSCADOR" sheetId="6" state="hidden" r:id="rId2"/>
    <sheet name="BASE DE DATOS" sheetId="2" r:id="rId3"/>
    <sheet name="PAGADO" sheetId="5" r:id="rId4"/>
    <sheet name="ANALISIS" sheetId="4" r:id="rId5"/>
    <sheet name="REPORTE" sheetId="3" r:id="rId6"/>
    <sheet name="compromisos" sheetId="7" state="hidden" r:id="rId7"/>
  </sheets>
  <definedNames>
    <definedName name="_xlnm.Print_Area" localSheetId="3">PAGADO!$B$2:$E$17</definedName>
  </definedNames>
  <calcPr calcId="191028"/>
  <pivotCaches>
    <pivotCache cacheId="6"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6" i="4" l="1"/>
  <c r="O274" i="2"/>
  <c r="P274" i="2" s="1"/>
  <c r="D274" i="2"/>
  <c r="E274" i="2"/>
  <c r="AK9" i="4"/>
  <c r="AK8" i="4"/>
  <c r="AK7" i="4"/>
  <c r="AK6" i="4"/>
  <c r="AO9" i="4"/>
  <c r="AN9" i="4"/>
  <c r="AM9" i="4"/>
  <c r="AL9" i="4"/>
  <c r="AO8" i="4"/>
  <c r="AN8" i="4"/>
  <c r="AM8" i="4"/>
  <c r="AL8" i="4"/>
  <c r="AO7" i="4"/>
  <c r="AN7" i="4"/>
  <c r="AM7" i="4"/>
  <c r="AL7" i="4"/>
  <c r="AO6" i="4"/>
  <c r="AN6" i="4"/>
  <c r="AM6" i="4"/>
  <c r="AL6" i="4"/>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E10" i="4"/>
  <c r="AE9" i="4"/>
  <c r="AE8" i="4"/>
  <c r="AE7" i="4"/>
  <c r="AE6" i="4"/>
  <c r="AD10" i="4"/>
  <c r="AD9" i="4"/>
  <c r="AD8" i="4"/>
  <c r="AD7" i="4"/>
  <c r="AD6" i="4"/>
  <c r="AC10" i="4"/>
  <c r="AC9" i="4"/>
  <c r="AC8" i="4"/>
  <c r="AC7" i="4"/>
  <c r="AC6" i="4"/>
  <c r="AB10" i="4"/>
  <c r="AB9" i="4"/>
  <c r="AB8" i="4"/>
  <c r="AB7" i="4"/>
  <c r="AB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AL10" i="4" l="1"/>
  <c r="AO10" i="4"/>
  <c r="AP6" i="4"/>
  <c r="AP8" i="4"/>
  <c r="AP7" i="4"/>
  <c r="AP9" i="4"/>
  <c r="AK10" i="4"/>
  <c r="AM10" i="4"/>
  <c r="AN10" i="4"/>
  <c r="AF9" i="4"/>
  <c r="AF10" i="4"/>
  <c r="AF7" i="4"/>
  <c r="AF6" i="4"/>
  <c r="AF8" i="4"/>
  <c r="A166" i="2"/>
  <c r="D166" i="2"/>
  <c r="E166" i="2"/>
  <c r="P166" i="2"/>
  <c r="O273" i="2"/>
  <c r="P273" i="2" s="1"/>
  <c r="E181" i="2"/>
  <c r="O227" i="2"/>
  <c r="W6" i="4"/>
  <c r="A163" i="2"/>
  <c r="D163" i="2"/>
  <c r="E163" i="2"/>
  <c r="P163" i="2"/>
  <c r="A164" i="2"/>
  <c r="D164" i="2"/>
  <c r="E164" i="2"/>
  <c r="P164" i="2"/>
  <c r="E256" i="2"/>
  <c r="AP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A274" i="2" s="1"/>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N8" i="4"/>
  <c r="N7" i="4"/>
  <c r="D6" i="4"/>
  <c r="D9" i="4"/>
  <c r="D8" i="4"/>
  <c r="D7" i="4"/>
  <c r="J307" i="1"/>
  <c r="J310" i="1" s="1"/>
  <c r="M8" i="4" l="1"/>
  <c r="P176" i="2"/>
  <c r="P251" i="2"/>
  <c r="D10" i="4"/>
  <c r="J5" i="3"/>
  <c r="J7" i="3"/>
  <c r="J6" i="3"/>
  <c r="J8" i="3"/>
  <c r="M7" i="4"/>
  <c r="K8" i="4"/>
  <c r="K7" i="4"/>
  <c r="C7" i="4"/>
  <c r="E7" i="4" s="1"/>
  <c r="C8" i="4"/>
  <c r="E8" i="4" s="1"/>
  <c r="N6" i="4"/>
  <c r="N9" i="4" s="1"/>
  <c r="L6" i="4"/>
  <c r="K6" i="4"/>
  <c r="C9" i="4"/>
  <c r="E9" i="4" s="1"/>
  <c r="F9" i="4" s="1"/>
  <c r="M6" i="4"/>
  <c r="C6" i="4"/>
  <c r="E6" i="4" s="1"/>
  <c r="F8" i="4" l="1"/>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3" i="2"/>
  <c r="L7"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<sst xmlns="http://schemas.openxmlformats.org/spreadsheetml/2006/main" count="2165" uniqueCount="790">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</sst>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_-[$L-480A]* #,##0.00_-;\-[$L-480A]* #,##0.00_-;_-[$L-480A]* &quot;-&quot;??_-;_-@_-"/>
    <numFmt numFmtId="165" formatCode="dd/mm/yyyy"/>
  </numFmts>
  <fonts count="2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1">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43">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0" fontId="12" fillId="0" borderId="0" xfId="0" applyFont="1"/>
    <xf numFmtId="0" fontId="12" fillId="0" borderId="0" xfId="0" pivotButton="1" applyFont="1"/>
    <xf numFmtId="0" fontId="12" fillId="0" borderId="0" xfId="0" pivotButton="1" applyFont="1" applyAlignment="1">
      <alignment horizontal="center"/>
    </xf>
    <xf numFmtId="0" fontId="12" fillId="0" borderId="0" xfId="0" applyFont="1" applyAlignment="1">
      <alignment horizontal="center"/>
    </xf>
    <xf numFmtId="0" fontId="12" fillId="0" borderId="0" xfId="0" applyFont="1" applyAlignment="1">
      <alignment horizontal="left"/>
    </xf>
    <xf numFmtId="44" fontId="12" fillId="0" borderId="0" xfId="0" applyNumberFormat="1" applyFont="1"/>
    <xf numFmtId="0" fontId="14" fillId="0" borderId="0" xfId="0" applyFont="1" applyAlignment="1">
      <alignment horizontal="centerContinuous"/>
    </xf>
    <xf numFmtId="0" fontId="12" fillId="0" borderId="0" xfId="0" applyFont="1" applyAlignment="1">
      <alignment horizontal="left" indent="1"/>
    </xf>
    <xf numFmtId="0" fontId="15" fillId="5" borderId="0" xfId="0" applyFont="1" applyFill="1" applyAlignment="1">
      <alignment horizontal="center" vertical="center"/>
    </xf>
    <xf numFmtId="44" fontId="15" fillId="5" borderId="0" xfId="0" applyNumberFormat="1" applyFont="1" applyFill="1"/>
    <xf numFmtId="44" fontId="16" fillId="10" borderId="0" xfId="0" applyNumberFormat="1" applyFont="1" applyFill="1" applyAlignment="1">
      <alignment horizontal="center" vertical="center"/>
    </xf>
    <xf numFmtId="0" fontId="17" fillId="10" borderId="11" xfId="0" applyFont="1" applyFill="1" applyBorder="1"/>
    <xf numFmtId="0" fontId="19" fillId="0" borderId="0" xfId="0" applyFont="1" applyAlignment="1">
      <alignment horizontal="left"/>
    </xf>
    <xf numFmtId="0" fontId="18"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1009">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1008"/>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69704502.742322981</c:v>
                </c:pt>
                <c:pt idx="1">
                  <c:v>27329003.195395321</c:v>
                </c:pt>
                <c:pt idx="2">
                  <c:v>13154431.272281691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67070832.47124058</c:v>
                </c:pt>
                <c:pt idx="1">
                  <c:v>22802066.953397028</c:v>
                </c:pt>
                <c:pt idx="2">
                  <c:v>20778856.755540088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16</c:v>
                </c:pt>
                <c:pt idx="1">
                  <c:v>25</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6</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28</c:v>
                </c:pt>
                <c:pt idx="1">
                  <c:v>45</c:v>
                </c:pt>
                <c:pt idx="2">
                  <c:v>23</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4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54.438351851852" createdVersion="8" refreshedVersion="8" minRefreshableVersion="3" recordCount="273"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3177914.200000003"/>
    <n v="-43177914.20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5075170.87"/>
  </r>
  <r>
    <n v="132"/>
    <m/>
    <x v="8"/>
    <n v="8"/>
    <x v="6"/>
    <m/>
    <s v="Pago de planilla"/>
    <m/>
    <m/>
    <m/>
    <m/>
    <m/>
    <m/>
    <m/>
    <n v="660822.77"/>
    <n v="-660822.77"/>
    <x v="1"/>
    <m/>
    <m/>
    <n v="660822.77"/>
  </r>
  <r>
    <n v="133"/>
    <m/>
    <x v="10"/>
    <n v="9"/>
    <x v="7"/>
    <m/>
    <s v="Pago de planilla"/>
    <m/>
    <m/>
    <m/>
    <m/>
    <m/>
    <m/>
    <m/>
    <n v="10487519.964468755"/>
    <n v="-10487519.964468755"/>
    <x v="1"/>
    <m/>
    <m/>
    <n v="10487519.964468755"/>
  </r>
  <r>
    <n v="134"/>
    <m/>
    <x v="11"/>
    <n v="9"/>
    <x v="7"/>
    <m/>
    <s v="Pago de planilla"/>
    <m/>
    <m/>
    <m/>
    <m/>
    <m/>
    <m/>
    <m/>
    <n v="7053461.3998845089"/>
    <n v="-7053461.3998845089"/>
    <x v="1"/>
    <m/>
    <m/>
    <n v="7053461.3998845089"/>
  </r>
  <r>
    <n v="135"/>
    <m/>
    <x v="12"/>
    <n v="9"/>
    <x v="7"/>
    <m/>
    <s v="Pago de planilla"/>
    <m/>
    <m/>
    <m/>
    <m/>
    <m/>
    <m/>
    <m/>
    <n v="7020161.1896080943"/>
    <n v="-7020161.1896080943"/>
    <x v="1"/>
    <m/>
    <m/>
    <n v="7020161.1896080943"/>
  </r>
  <r>
    <n v="136"/>
    <m/>
    <x v="9"/>
    <n v="9"/>
    <x v="7"/>
    <m/>
    <s v="Pago de planilla"/>
    <m/>
    <m/>
    <m/>
    <m/>
    <m/>
    <m/>
    <m/>
    <n v="7090313.5860386426"/>
    <n v="-7090313.5860386426"/>
    <x v="1"/>
    <m/>
    <m/>
    <n v="7090313.5860386426"/>
  </r>
  <r>
    <n v="137"/>
    <m/>
    <x v="18"/>
    <n v="11"/>
    <x v="9"/>
    <m/>
    <s v="Pago de planilla"/>
    <m/>
    <m/>
    <m/>
    <m/>
    <m/>
    <m/>
    <m/>
    <n v="2994465.604771106"/>
    <n v="-2994465.604771106"/>
    <x v="1"/>
    <m/>
    <m/>
    <n v="2994465.604771106"/>
  </r>
  <r>
    <n v="138"/>
    <m/>
    <x v="19"/>
    <n v="11"/>
    <x v="9"/>
    <m/>
    <s v="Pago de planilla"/>
    <m/>
    <m/>
    <m/>
    <m/>
    <m/>
    <m/>
    <m/>
    <n v="1663035.3084467479"/>
    <n v="-1663035.3084467479"/>
    <x v="1"/>
    <m/>
    <m/>
    <n v="1663035.3084467479"/>
  </r>
  <r>
    <n v="139"/>
    <m/>
    <x v="20"/>
    <n v="11"/>
    <x v="9"/>
    <m/>
    <s v="Pago de planilla"/>
    <m/>
    <m/>
    <m/>
    <m/>
    <m/>
    <m/>
    <m/>
    <n v="1252547.2412986311"/>
    <n v="-1252547.2412986311"/>
    <x v="1"/>
    <m/>
    <m/>
    <n v="1252547.2412986311"/>
  </r>
  <r>
    <n v="140"/>
    <m/>
    <x v="17"/>
    <n v="11"/>
    <x v="9"/>
    <m/>
    <s v="Pago de planilla"/>
    <m/>
    <m/>
    <m/>
    <m/>
    <m/>
    <m/>
    <m/>
    <n v="523333.41548351484"/>
    <n v="-523333.41548351484"/>
    <x v="1"/>
    <m/>
    <m/>
    <n v="523333.41548351484"/>
  </r>
  <r>
    <n v="141"/>
    <m/>
    <x v="22"/>
    <n v="12"/>
    <x v="10"/>
    <m/>
    <s v="Pago de planilla"/>
    <m/>
    <m/>
    <m/>
    <m/>
    <m/>
    <m/>
    <m/>
    <n v="55648.055386624954"/>
    <n v="-55648.055386624954"/>
    <x v="1"/>
    <m/>
    <m/>
    <n v="55648.055386624954"/>
  </r>
  <r>
    <n v="142"/>
    <m/>
    <x v="23"/>
    <n v="12"/>
    <x v="10"/>
    <m/>
    <s v="Pago de planilla"/>
    <m/>
    <m/>
    <m/>
    <m/>
    <m/>
    <m/>
    <m/>
    <n v="109113.83340165881"/>
    <n v="-109113.83340165881"/>
    <x v="1"/>
    <m/>
    <m/>
    <n v="109113.83340165881"/>
  </r>
  <r>
    <n v="143"/>
    <m/>
    <x v="21"/>
    <n v="12"/>
    <x v="10"/>
    <m/>
    <s v="Pago de planilla"/>
    <m/>
    <m/>
    <m/>
    <m/>
    <m/>
    <m/>
    <m/>
    <n v="26023.571211716226"/>
    <n v="-26023.571211716226"/>
    <x v="1"/>
    <m/>
    <m/>
    <n v="26023.571211716226"/>
  </r>
  <r>
    <n v="144"/>
    <m/>
    <x v="24"/>
    <n v="63"/>
    <x v="11"/>
    <m/>
    <s v="Pago de planilla"/>
    <m/>
    <m/>
    <m/>
    <m/>
    <m/>
    <m/>
    <m/>
    <n v="275677.94"/>
    <n v="-275677.94"/>
    <x v="1"/>
    <m/>
    <m/>
    <n v="275677.94"/>
  </r>
  <r>
    <n v="145"/>
    <m/>
    <x v="0"/>
    <n v="2"/>
    <x v="0"/>
    <m/>
    <s v="Agregado por GA"/>
    <m/>
    <m/>
    <m/>
    <m/>
    <m/>
    <m/>
    <n v="3782189"/>
    <m/>
    <n v="3782189"/>
    <x v="2"/>
    <m/>
    <m/>
    <m/>
  </r>
  <r>
    <n v="146"/>
    <m/>
    <x v="2"/>
    <n v="3"/>
    <x v="1"/>
    <m/>
    <s v="Retirado por GA"/>
    <m/>
    <m/>
    <m/>
    <m/>
    <m/>
    <m/>
    <m/>
    <n v="943096.41916965332"/>
    <n v="-943096.41916965332"/>
    <x v="2"/>
    <m/>
    <m/>
    <m/>
  </r>
  <r>
    <n v="147"/>
    <m/>
    <x v="3"/>
    <n v="3"/>
    <x v="1"/>
    <m/>
    <s v="Retirado por GA"/>
    <m/>
    <m/>
    <m/>
    <m/>
    <m/>
    <m/>
    <m/>
    <n v="1599661.2959497606"/>
    <n v="-1599661.2959497606"/>
    <x v="2"/>
    <m/>
    <m/>
    <m/>
  </r>
  <r>
    <n v="148"/>
    <m/>
    <x v="1"/>
    <n v="3"/>
    <x v="1"/>
    <m/>
    <s v="Retirado por GA"/>
    <m/>
    <m/>
    <m/>
    <m/>
    <m/>
    <m/>
    <m/>
    <n v="4387242.284880586"/>
    <n v="-4387242.284880586"/>
    <x v="2"/>
    <m/>
    <m/>
    <m/>
  </r>
  <r>
    <n v="149"/>
    <m/>
    <x v="4"/>
    <n v="4"/>
    <x v="2"/>
    <m/>
    <s v="Agregado por GA"/>
    <m/>
    <m/>
    <m/>
    <m/>
    <m/>
    <m/>
    <n v="315183"/>
    <m/>
    <n v="315183"/>
    <x v="2"/>
    <m/>
    <m/>
    <m/>
  </r>
  <r>
    <n v="150"/>
    <m/>
    <x v="5"/>
    <n v="5"/>
    <x v="3"/>
    <m/>
    <s v="Agregado por GA"/>
    <m/>
    <m/>
    <m/>
    <m/>
    <m/>
    <m/>
    <n v="315183"/>
    <m/>
    <n v="315183"/>
    <x v="2"/>
    <m/>
    <m/>
    <m/>
  </r>
  <r>
    <n v="151"/>
    <m/>
    <x v="6"/>
    <n v="6"/>
    <x v="4"/>
    <m/>
    <s v="Agregado por GA"/>
    <m/>
    <m/>
    <m/>
    <m/>
    <m/>
    <m/>
    <n v="315183"/>
    <m/>
    <n v="315183"/>
    <x v="2"/>
    <m/>
    <m/>
    <m/>
  </r>
  <r>
    <n v="152"/>
    <m/>
    <x v="7"/>
    <n v="7"/>
    <x v="5"/>
    <m/>
    <s v="Agregado por GA"/>
    <m/>
    <m/>
    <m/>
    <m/>
    <m/>
    <m/>
    <n v="548418"/>
    <m/>
    <n v="548418"/>
    <x v="2"/>
    <m/>
    <m/>
    <m/>
  </r>
  <r>
    <n v="153"/>
    <m/>
    <x v="24"/>
    <n v="63"/>
    <x v="11"/>
    <m/>
    <s v="Agregado por GA"/>
    <m/>
    <m/>
    <m/>
    <m/>
    <m/>
    <m/>
    <n v="1014081"/>
    <m/>
    <n v="1014081"/>
    <x v="2"/>
    <m/>
    <m/>
    <m/>
  </r>
  <r>
    <n v="154"/>
    <m/>
    <x v="30"/>
    <n v="15"/>
    <x v="13"/>
    <m/>
    <s v="Modificaciòn presupuestaria de malaria para reparaciòn de vehiculos en las regiones"/>
    <m/>
    <m/>
    <m/>
    <m/>
    <m/>
    <m/>
    <m/>
    <n v="660000"/>
    <n v="-660000"/>
    <x v="2"/>
    <m/>
    <m/>
    <m/>
  </r>
  <r>
    <n v="155"/>
    <m/>
    <x v="125"/>
    <n v="26"/>
    <x v="54"/>
    <m/>
    <s v="Agregado por presupuestos para desaduanaje de vacunas"/>
    <m/>
    <m/>
    <m/>
    <m/>
    <m/>
    <m/>
    <n v="100000"/>
    <m/>
    <n v="100000"/>
    <x v="2"/>
    <m/>
    <m/>
    <m/>
  </r>
  <r>
    <n v="156"/>
    <m/>
    <x v="126"/>
    <n v="26"/>
    <x v="54"/>
    <m/>
    <s v="Agregado por presupuestos para desaduanaje de vacunas"/>
    <m/>
    <m/>
    <m/>
    <m/>
    <m/>
    <m/>
    <n v="100000"/>
    <m/>
    <n v="100000"/>
    <x v="2"/>
    <m/>
    <m/>
    <m/>
  </r>
  <r>
    <n v="157"/>
    <m/>
    <x v="127"/>
    <n v="26"/>
    <x v="54"/>
    <m/>
    <s v="Agregado por presupuestos para desaduanaje de vacunas"/>
    <m/>
    <m/>
    <m/>
    <m/>
    <m/>
    <m/>
    <n v="100000"/>
    <m/>
    <n v="100000"/>
    <x v="2"/>
    <m/>
    <m/>
    <m/>
  </r>
  <r>
    <n v="158"/>
    <m/>
    <x v="78"/>
    <n v="66"/>
    <x v="34"/>
    <m/>
    <s v="Modificación presupuestaria de malaria para adquisición de vehiculos"/>
    <m/>
    <m/>
    <m/>
    <m/>
    <m/>
    <m/>
    <m/>
    <n v="428212"/>
    <n v="-428212"/>
    <x v="2"/>
    <m/>
    <m/>
    <m/>
  </r>
  <r>
    <n v="159"/>
    <m/>
    <x v="80"/>
    <n v="42"/>
    <x v="35"/>
    <m/>
    <s v="Modificación presupuestaria de malaria para adquisición de vehiculos"/>
    <m/>
    <m/>
    <m/>
    <m/>
    <m/>
    <m/>
    <m/>
    <n v="308901"/>
    <n v="-308901"/>
    <x v="2"/>
    <m/>
    <m/>
    <m/>
  </r>
  <r>
    <n v="160"/>
    <m/>
    <x v="83"/>
    <n v="44"/>
    <x v="36"/>
    <m/>
    <s v="Modificación presupuestaria de malaria para adquisición de vehiculos"/>
    <m/>
    <m/>
    <m/>
    <m/>
    <m/>
    <m/>
    <m/>
    <n v="200000"/>
    <n v="-200000"/>
    <x v="2"/>
    <m/>
    <m/>
    <m/>
  </r>
  <r>
    <n v="161"/>
    <m/>
    <x v="113"/>
    <n v="61"/>
    <x v="49"/>
    <m/>
    <s v="Modificación presupuestaria de malaria para adquisición de vehiculos"/>
    <m/>
    <m/>
    <m/>
    <m/>
    <m/>
    <m/>
    <n v="937113"/>
    <m/>
    <n v="937113"/>
    <x v="2"/>
    <m/>
    <m/>
    <m/>
  </r>
  <r>
    <n v="162"/>
    <m/>
    <x v="96"/>
    <n v="49"/>
    <x v="42"/>
    <m/>
    <s v="Modificación realizada por gerencia administrativa para fortalecer  este objeto"/>
    <m/>
    <m/>
    <m/>
    <m/>
    <m/>
    <m/>
    <n v="819101.61422576534"/>
    <m/>
    <n v="819101.61422576534"/>
    <x v="2"/>
    <m/>
    <m/>
    <m/>
  </r>
  <r>
    <n v="163"/>
    <m/>
    <x v="97"/>
    <n v="49"/>
    <x v="42"/>
    <m/>
    <s v="Modificación realizada por gerencia administrativa para fortalecer  este objeto"/>
    <m/>
    <m/>
    <m/>
    <m/>
    <m/>
    <m/>
    <n v="875082.97485841927"/>
    <m/>
    <n v="875082.97485841927"/>
    <x v="2"/>
    <m/>
    <m/>
    <m/>
  </r>
  <r>
    <n v="164"/>
    <m/>
    <x v="98"/>
    <n v="49"/>
    <x v="42"/>
    <m/>
    <s v="Modificación realizada por gerencia administrativa para fortalecer  este objeto"/>
    <m/>
    <m/>
    <m/>
    <m/>
    <m/>
    <m/>
    <n v="667915.4109158155"/>
    <m/>
    <n v="667915.4109158155"/>
    <x v="2"/>
    <m/>
    <m/>
    <m/>
  </r>
  <r>
    <n v="165"/>
    <m/>
    <x v="128"/>
    <n v="68"/>
    <x v="55"/>
    <m/>
    <s v="Modificación para la adquisición de data show y televisores"/>
    <m/>
    <m/>
    <m/>
    <m/>
    <m/>
    <m/>
    <n v="300000"/>
    <m/>
    <n v="300000"/>
    <x v="2"/>
    <m/>
    <m/>
    <m/>
  </r>
  <r>
    <n v="166"/>
    <m/>
    <x v="83"/>
    <n v="44"/>
    <x v="36"/>
    <m/>
    <s v="Modificación para la adquisición de data show y televisores"/>
    <m/>
    <m/>
    <m/>
    <m/>
    <m/>
    <m/>
    <m/>
    <n v="300000"/>
    <n v="-300000"/>
    <x v="2"/>
    <m/>
    <m/>
    <m/>
  </r>
  <r>
    <n v="167"/>
    <m/>
    <x v="95"/>
    <n v="67"/>
    <x v="41"/>
    <m/>
    <s v="Agregado por GA"/>
    <m/>
    <m/>
    <m/>
    <m/>
    <m/>
    <m/>
    <n v="2478"/>
    <m/>
    <n v="2478"/>
    <x v="2"/>
    <m/>
    <m/>
    <m/>
  </r>
  <r>
    <n v="168"/>
    <m/>
    <x v="45"/>
    <n v="25"/>
    <x v="20"/>
    <m/>
    <s v="Viaticos de la Subsecretaria de Redes Integradas de Servicios de Salud"/>
    <m/>
    <m/>
    <m/>
    <m/>
    <m/>
    <m/>
    <m/>
    <n v="159343.76999999999"/>
    <n v="-159343.76999999999"/>
    <x v="1"/>
    <m/>
    <m/>
    <n v="159343.76999999999"/>
  </r>
  <r>
    <n v="169"/>
    <m/>
    <x v="49"/>
    <n v="65"/>
    <x v="21"/>
    <m/>
    <s v="Pasajes de la Subsecretaria de Redes Integradas de Servicios de Salud"/>
    <m/>
    <m/>
    <m/>
    <m/>
    <m/>
    <m/>
    <m/>
    <n v="37554.769999999997"/>
    <n v="-37554.769999999997"/>
    <x v="1"/>
    <m/>
    <m/>
    <n v="37554.769999999997"/>
  </r>
  <r>
    <n v="170"/>
    <m/>
    <x v="125"/>
    <n v="26"/>
    <x v="54"/>
    <m/>
    <m/>
    <m/>
    <m/>
    <m/>
    <m/>
    <m/>
    <m/>
    <m/>
    <n v="97745.126666666663"/>
    <n v="-97745.126666666663"/>
    <x v="1"/>
    <m/>
    <m/>
    <n v="97745.126666666663"/>
  </r>
  <r>
    <n v="171"/>
    <m/>
    <x v="126"/>
    <n v="26"/>
    <x v="54"/>
    <m/>
    <m/>
    <m/>
    <m/>
    <m/>
    <m/>
    <m/>
    <m/>
    <m/>
    <n v="97745.126666666663"/>
    <n v="-97745.126666666663"/>
    <x v="1"/>
    <m/>
    <m/>
    <n v="97745.126666666663"/>
  </r>
  <r>
    <n v="172"/>
    <m/>
    <x v="127"/>
    <n v="26"/>
    <x v="54"/>
    <m/>
    <m/>
    <m/>
    <m/>
    <m/>
    <m/>
    <m/>
    <m/>
    <m/>
    <n v="97745.126666666663"/>
    <n v="-97745.126666666663"/>
    <x v="1"/>
    <m/>
    <m/>
    <n v="97745.126666666663"/>
  </r>
  <r>
    <n v="173"/>
    <m/>
    <x v="129"/>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0"/>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6"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974">
      <pivotArea outline="0" collapsedLevelsAreSubtotals="1" fieldPosition="0"/>
    </format>
    <format dxfId="973">
      <pivotArea dataOnly="0" labelOnly="1" fieldPosition="0">
        <references count="1">
          <reference field="4" count="0"/>
        </references>
      </pivotArea>
    </format>
    <format dxfId="972">
      <pivotArea dataOnly="0" labelOnly="1" outline="0" fieldPosition="0">
        <references count="2">
          <reference field="4294967294" count="3">
            <x v="0"/>
            <x v="1"/>
            <x v="2"/>
          </reference>
          <reference field="16" count="0" selected="0"/>
        </references>
      </pivotArea>
    </format>
    <format dxfId="971">
      <pivotArea field="4" type="button" dataOnly="0" labelOnly="1" outline="0" axis="axisRow" fieldPosition="1"/>
    </format>
    <format dxfId="970">
      <pivotArea type="all" dataOnly="0" outline="0" fieldPosition="0"/>
    </format>
    <format dxfId="969">
      <pivotArea dataOnly="0" labelOnly="1" fieldPosition="0">
        <references count="1">
          <reference field="16" count="0"/>
        </references>
      </pivotArea>
    </format>
    <format dxfId="968">
      <pivotArea dataOnly="0" labelOnly="1" fieldPosition="0">
        <references count="1">
          <reference field="16" count="0"/>
        </references>
      </pivotArea>
    </format>
    <format dxfId="967">
      <pivotArea collapsedLevelsAreSubtotals="1" fieldPosition="0">
        <references count="2">
          <reference field="4" count="1">
            <x v="0"/>
          </reference>
          <reference field="22" count="1" selected="0">
            <x v="0"/>
          </reference>
        </references>
      </pivotArea>
    </format>
    <format dxfId="966">
      <pivotArea collapsedLevelsAreSubtotals="1" fieldPosition="0">
        <references count="2">
          <reference field="4" count="1">
            <x v="1"/>
          </reference>
          <reference field="22" count="1" selected="0">
            <x v="0"/>
          </reference>
        </references>
      </pivotArea>
    </format>
    <format dxfId="965">
      <pivotArea collapsedLevelsAreSubtotals="1" fieldPosition="0">
        <references count="2">
          <reference field="4" count="1">
            <x v="4"/>
          </reference>
          <reference field="22" count="1" selected="0">
            <x v="0"/>
          </reference>
        </references>
      </pivotArea>
    </format>
    <format dxfId="964">
      <pivotArea collapsedLevelsAreSubtotals="1" fieldPosition="0">
        <references count="2">
          <reference field="4" count="1">
            <x v="5"/>
          </reference>
          <reference field="22" count="1" selected="0">
            <x v="0"/>
          </reference>
        </references>
      </pivotArea>
    </format>
    <format dxfId="963">
      <pivotArea collapsedLevelsAreSubtotals="1" fieldPosition="0">
        <references count="2">
          <reference field="4" count="1">
            <x v="6"/>
          </reference>
          <reference field="22" count="1" selected="0">
            <x v="0"/>
          </reference>
        </references>
      </pivotArea>
    </format>
    <format dxfId="962">
      <pivotArea collapsedLevelsAreSubtotals="1" fieldPosition="0">
        <references count="2">
          <reference field="4" count="1">
            <x v="7"/>
          </reference>
          <reference field="22" count="1" selected="0">
            <x v="0"/>
          </reference>
        </references>
      </pivotArea>
    </format>
    <format dxfId="961">
      <pivotArea collapsedLevelsAreSubtotals="1" fieldPosition="0">
        <references count="2">
          <reference field="4" count="1">
            <x v="10"/>
          </reference>
          <reference field="22" count="1" selected="0">
            <x v="0"/>
          </reference>
        </references>
      </pivotArea>
    </format>
    <format dxfId="960">
      <pivotArea collapsedLevelsAreSubtotals="1" fieldPosition="0">
        <references count="2">
          <reference field="4" count="1">
            <x v="11"/>
          </reference>
          <reference field="22" count="1" selected="0">
            <x v="0"/>
          </reference>
        </references>
      </pivotArea>
    </format>
    <format dxfId="959">
      <pivotArea collapsedLevelsAreSubtotals="1" fieldPosition="0">
        <references count="2">
          <reference field="4" count="1">
            <x v="26"/>
          </reference>
          <reference field="22" count="1" selected="0">
            <x v="2"/>
          </reference>
        </references>
      </pivotArea>
    </format>
    <format dxfId="958">
      <pivotArea collapsedLevelsAreSubtotals="1" fieldPosition="0">
        <references count="2">
          <reference field="4" count="1">
            <x v="31"/>
          </reference>
          <reference field="22" count="1" selected="0">
            <x v="2"/>
          </reference>
        </references>
      </pivotArea>
    </format>
    <format dxfId="957">
      <pivotArea collapsedLevelsAreSubtotals="1" fieldPosition="0">
        <references count="2">
          <reference field="4" count="1">
            <x v="32"/>
          </reference>
          <reference field="22" count="1" selected="0">
            <x v="2"/>
          </reference>
        </references>
      </pivotArea>
    </format>
    <format dxfId="956">
      <pivotArea collapsedLevelsAreSubtotals="1" fieldPosition="0">
        <references count="2">
          <reference field="4" count="1">
            <x v="33"/>
          </reference>
          <reference field="22" count="1" selected="0">
            <x v="2"/>
          </reference>
        </references>
      </pivotArea>
    </format>
    <format dxfId="955">
      <pivotArea collapsedLevelsAreSubtotals="1" fieldPosition="0">
        <references count="2">
          <reference field="4" count="1">
            <x v="39"/>
          </reference>
          <reference field="22" count="1" selected="0">
            <x v="2"/>
          </reference>
        </references>
      </pivotArea>
    </format>
    <format dxfId="954">
      <pivotArea collapsedLevelsAreSubtotals="1" fieldPosition="0">
        <references count="2">
          <reference field="4" count="1">
            <x v="40"/>
          </reference>
          <reference field="22" count="1" selected="0">
            <x v="2"/>
          </reference>
        </references>
      </pivotArea>
    </format>
    <format dxfId="953">
      <pivotArea collapsedLevelsAreSubtotals="1" fieldPosition="0">
        <references count="2">
          <reference field="4" count="1">
            <x v="42"/>
          </reference>
          <reference field="22" count="1" selected="0">
            <x v="2"/>
          </reference>
        </references>
      </pivotArea>
    </format>
    <format dxfId="952">
      <pivotArea collapsedLevelsAreSubtotals="1" fieldPosition="0">
        <references count="2">
          <reference field="4" count="1">
            <x v="44"/>
          </reference>
          <reference field="22" count="1" selected="0">
            <x v="2"/>
          </reference>
        </references>
      </pivotArea>
    </format>
    <format dxfId="951">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6"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898">
      <pivotArea field="4" grandCol="1" collapsedLevelsAreSubtotals="1" axis="axisRow" fieldPosition="1">
        <references count="1">
          <reference field="4" count="1">
            <x v="0"/>
          </reference>
        </references>
      </pivotArea>
    </format>
    <format dxfId="897">
      <pivotArea field="4" grandCol="1" collapsedLevelsAreSubtotals="1" axis="axisRow" fieldPosition="1">
        <references count="1">
          <reference field="4" count="1">
            <x v="1"/>
          </reference>
        </references>
      </pivotArea>
    </format>
    <format dxfId="896">
      <pivotArea field="4" grandCol="1" collapsedLevelsAreSubtotals="1" axis="axisRow" fieldPosition="1">
        <references count="1">
          <reference field="4" count="1">
            <x v="2"/>
          </reference>
        </references>
      </pivotArea>
    </format>
    <format dxfId="895">
      <pivotArea field="4" grandCol="1" collapsedLevelsAreSubtotals="1" axis="axisRow" fieldPosition="1">
        <references count="1">
          <reference field="4" count="1">
            <x v="3"/>
          </reference>
        </references>
      </pivotArea>
    </format>
    <format dxfId="894">
      <pivotArea field="4" grandCol="1" collapsedLevelsAreSubtotals="1" axis="axisRow" fieldPosition="1">
        <references count="1">
          <reference field="4" count="1">
            <x v="4"/>
          </reference>
        </references>
      </pivotArea>
    </format>
    <format dxfId="893">
      <pivotArea field="4" grandCol="1" collapsedLevelsAreSubtotals="1" axis="axisRow" fieldPosition="1">
        <references count="1">
          <reference field="4" count="1">
            <x v="5"/>
          </reference>
        </references>
      </pivotArea>
    </format>
    <format dxfId="892">
      <pivotArea field="4" grandCol="1" collapsedLevelsAreSubtotals="1" axis="axisRow" fieldPosition="1">
        <references count="1">
          <reference field="4" count="1">
            <x v="6"/>
          </reference>
        </references>
      </pivotArea>
    </format>
    <format dxfId="891">
      <pivotArea field="4" grandCol="1" collapsedLevelsAreSubtotals="1" axis="axisRow" fieldPosition="1">
        <references count="1">
          <reference field="4" count="1">
            <x v="7"/>
          </reference>
        </references>
      </pivotArea>
    </format>
    <format dxfId="890">
      <pivotArea field="4" grandCol="1" collapsedLevelsAreSubtotals="1" axis="axisRow" fieldPosition="1">
        <references count="1">
          <reference field="4" count="1">
            <x v="8"/>
          </reference>
        </references>
      </pivotArea>
    </format>
    <format dxfId="889">
      <pivotArea field="4" grandCol="1" collapsedLevelsAreSubtotals="1" axis="axisRow" fieldPosition="1">
        <references count="1">
          <reference field="4" count="1">
            <x v="9"/>
          </reference>
        </references>
      </pivotArea>
    </format>
    <format dxfId="888">
      <pivotArea field="4" grandCol="1" collapsedLevelsAreSubtotals="1" axis="axisRow" fieldPosition="1">
        <references count="1">
          <reference field="4" count="1">
            <x v="10"/>
          </reference>
        </references>
      </pivotArea>
    </format>
    <format dxfId="887">
      <pivotArea field="4" grandCol="1" collapsedLevelsAreSubtotals="1" axis="axisRow" fieldPosition="1">
        <references count="1">
          <reference field="4" count="1">
            <x v="11"/>
          </reference>
        </references>
      </pivotArea>
    </format>
    <format dxfId="886">
      <pivotArea field="4" grandCol="1" collapsedLevelsAreSubtotals="1" axis="axisRow" fieldPosition="1">
        <references count="1">
          <reference field="4" count="1">
            <x v="12"/>
          </reference>
        </references>
      </pivotArea>
    </format>
    <format dxfId="885">
      <pivotArea field="4" grandCol="1" collapsedLevelsAreSubtotals="1" axis="axisRow" fieldPosition="1">
        <references count="1">
          <reference field="4" count="1">
            <x v="13"/>
          </reference>
        </references>
      </pivotArea>
    </format>
    <format dxfId="884">
      <pivotArea field="4" grandCol="1" collapsedLevelsAreSubtotals="1" axis="axisRow" fieldPosition="1">
        <references count="1">
          <reference field="4" count="1">
            <x v="14"/>
          </reference>
        </references>
      </pivotArea>
    </format>
    <format dxfId="883">
      <pivotArea field="4" grandCol="1" collapsedLevelsAreSubtotals="1" axis="axisRow" fieldPosition="1">
        <references count="1">
          <reference field="4" count="1">
            <x v="15"/>
          </reference>
        </references>
      </pivotArea>
    </format>
    <format dxfId="882">
      <pivotArea field="4" grandCol="1" collapsedLevelsAreSubtotals="1" axis="axisRow" fieldPosition="1">
        <references count="1">
          <reference field="4" count="1">
            <x v="16"/>
          </reference>
        </references>
      </pivotArea>
    </format>
    <format dxfId="881">
      <pivotArea field="4" grandCol="1" collapsedLevelsAreSubtotals="1" axis="axisRow" fieldPosition="1">
        <references count="1">
          <reference field="4" count="1">
            <x v="17"/>
          </reference>
        </references>
      </pivotArea>
    </format>
    <format dxfId="880">
      <pivotArea field="4" grandCol="1" collapsedLevelsAreSubtotals="1" axis="axisRow" fieldPosition="1">
        <references count="1">
          <reference field="4" count="1">
            <x v="18"/>
          </reference>
        </references>
      </pivotArea>
    </format>
    <format dxfId="879">
      <pivotArea field="4" grandCol="1" collapsedLevelsAreSubtotals="1" axis="axisRow" fieldPosition="1">
        <references count="1">
          <reference field="4" count="1">
            <x v="19"/>
          </reference>
        </references>
      </pivotArea>
    </format>
    <format dxfId="878">
      <pivotArea field="4" grandCol="1" collapsedLevelsAreSubtotals="1" axis="axisRow" fieldPosition="1">
        <references count="1">
          <reference field="4" count="1">
            <x v="20"/>
          </reference>
        </references>
      </pivotArea>
    </format>
    <format dxfId="877">
      <pivotArea field="4" grandCol="1" collapsedLevelsAreSubtotals="1" axis="axisRow" fieldPosition="1">
        <references count="1">
          <reference field="4" count="1">
            <x v="21"/>
          </reference>
        </references>
      </pivotArea>
    </format>
    <format dxfId="876">
      <pivotArea field="4" grandCol="1" collapsedLevelsAreSubtotals="1" axis="axisRow" fieldPosition="1">
        <references count="1">
          <reference field="4" count="1">
            <x v="23"/>
          </reference>
        </references>
      </pivotArea>
    </format>
    <format dxfId="875">
      <pivotArea field="4" grandCol="1" collapsedLevelsAreSubtotals="1" axis="axisRow" fieldPosition="1">
        <references count="1">
          <reference field="4" count="1">
            <x v="24"/>
          </reference>
        </references>
      </pivotArea>
    </format>
    <format dxfId="874">
      <pivotArea field="4" grandCol="1" collapsedLevelsAreSubtotals="1" axis="axisRow" fieldPosition="1">
        <references count="1">
          <reference field="4" count="1">
            <x v="25"/>
          </reference>
        </references>
      </pivotArea>
    </format>
    <format dxfId="873">
      <pivotArea field="4" grandCol="1" collapsedLevelsAreSubtotals="1" axis="axisRow" fieldPosition="1">
        <references count="1">
          <reference field="4" count="1">
            <x v="26"/>
          </reference>
        </references>
      </pivotArea>
    </format>
    <format dxfId="872">
      <pivotArea field="4" grandCol="1" collapsedLevelsAreSubtotals="1" axis="axisRow" fieldPosition="1">
        <references count="1">
          <reference field="4" count="1">
            <x v="27"/>
          </reference>
        </references>
      </pivotArea>
    </format>
    <format dxfId="871">
      <pivotArea field="4" grandCol="1" collapsedLevelsAreSubtotals="1" axis="axisRow" fieldPosition="1">
        <references count="1">
          <reference field="4" count="1">
            <x v="28"/>
          </reference>
        </references>
      </pivotArea>
    </format>
    <format dxfId="870">
      <pivotArea field="4" grandCol="1" collapsedLevelsAreSubtotals="1" axis="axisRow" fieldPosition="1">
        <references count="1">
          <reference field="4" count="1">
            <x v="29"/>
          </reference>
        </references>
      </pivotArea>
    </format>
    <format dxfId="869">
      <pivotArea field="4" grandCol="1" collapsedLevelsAreSubtotals="1" axis="axisRow" fieldPosition="1">
        <references count="1">
          <reference field="4" count="1">
            <x v="30"/>
          </reference>
        </references>
      </pivotArea>
    </format>
    <format dxfId="868">
      <pivotArea field="4" grandCol="1" collapsedLevelsAreSubtotals="1" axis="axisRow" fieldPosition="1">
        <references count="1">
          <reference field="4" count="1">
            <x v="31"/>
          </reference>
        </references>
      </pivotArea>
    </format>
    <format dxfId="867">
      <pivotArea field="4" grandCol="1" collapsedLevelsAreSubtotals="1" axis="axisRow" fieldPosition="1">
        <references count="1">
          <reference field="4" count="1">
            <x v="32"/>
          </reference>
        </references>
      </pivotArea>
    </format>
    <format dxfId="866">
      <pivotArea field="4" grandCol="1" collapsedLevelsAreSubtotals="1" axis="axisRow" fieldPosition="1">
        <references count="1">
          <reference field="4" count="1">
            <x v="33"/>
          </reference>
        </references>
      </pivotArea>
    </format>
    <format dxfId="865">
      <pivotArea collapsedLevelsAreSubtotals="1" fieldPosition="0">
        <references count="2">
          <reference field="4" count="1">
            <x v="34"/>
          </reference>
          <reference field="16" count="1" selected="0">
            <x v="0"/>
          </reference>
        </references>
      </pivotArea>
    </format>
    <format dxfId="864">
      <pivotArea field="4" grandCol="1" collapsedLevelsAreSubtotals="1" axis="axisRow" fieldPosition="1">
        <references count="1">
          <reference field="4" count="1">
            <x v="34"/>
          </reference>
        </references>
      </pivotArea>
    </format>
    <format dxfId="863">
      <pivotArea collapsedLevelsAreSubtotals="1" fieldPosition="0">
        <references count="2">
          <reference field="4" count="1">
            <x v="35"/>
          </reference>
          <reference field="16" count="1" selected="0">
            <x v="0"/>
          </reference>
        </references>
      </pivotArea>
    </format>
    <format dxfId="862">
      <pivotArea field="4" grandCol="1" collapsedLevelsAreSubtotals="1" axis="axisRow" fieldPosition="1">
        <references count="1">
          <reference field="4" count="1">
            <x v="35"/>
          </reference>
        </references>
      </pivotArea>
    </format>
    <format dxfId="861">
      <pivotArea collapsedLevelsAreSubtotals="1" fieldPosition="0">
        <references count="2">
          <reference field="4" count="1">
            <x v="36"/>
          </reference>
          <reference field="16" count="1" selected="0">
            <x v="0"/>
          </reference>
        </references>
      </pivotArea>
    </format>
    <format dxfId="860">
      <pivotArea field="4" grandCol="1" collapsedLevelsAreSubtotals="1" axis="axisRow" fieldPosition="1">
        <references count="1">
          <reference field="4" count="1">
            <x v="36"/>
          </reference>
        </references>
      </pivotArea>
    </format>
    <format dxfId="859">
      <pivotArea collapsedLevelsAreSubtotals="1" fieldPosition="0">
        <references count="2">
          <reference field="4" count="1">
            <x v="37"/>
          </reference>
          <reference field="16" count="1" selected="0">
            <x v="0"/>
          </reference>
        </references>
      </pivotArea>
    </format>
    <format dxfId="858">
      <pivotArea field="4" grandCol="1" collapsedLevelsAreSubtotals="1" axis="axisRow" fieldPosition="1">
        <references count="1">
          <reference field="4" count="1">
            <x v="37"/>
          </reference>
        </references>
      </pivotArea>
    </format>
    <format dxfId="857">
      <pivotArea collapsedLevelsAreSubtotals="1" fieldPosition="0">
        <references count="2">
          <reference field="4" count="1">
            <x v="38"/>
          </reference>
          <reference field="16" count="1" selected="0">
            <x v="0"/>
          </reference>
        </references>
      </pivotArea>
    </format>
    <format dxfId="856">
      <pivotArea field="4" grandCol="1" collapsedLevelsAreSubtotals="1" axis="axisRow" fieldPosition="1">
        <references count="1">
          <reference field="4" count="1">
            <x v="38"/>
          </reference>
        </references>
      </pivotArea>
    </format>
    <format dxfId="855">
      <pivotArea collapsedLevelsAreSubtotals="1" fieldPosition="0">
        <references count="2">
          <reference field="4" count="1">
            <x v="39"/>
          </reference>
          <reference field="16" count="1" selected="0">
            <x v="0"/>
          </reference>
        </references>
      </pivotArea>
    </format>
    <format dxfId="854">
      <pivotArea field="4" grandCol="1" collapsedLevelsAreSubtotals="1" axis="axisRow" fieldPosition="1">
        <references count="1">
          <reference field="4" count="1">
            <x v="39"/>
          </reference>
        </references>
      </pivotArea>
    </format>
    <format dxfId="853">
      <pivotArea collapsedLevelsAreSubtotals="1" fieldPosition="0">
        <references count="2">
          <reference field="4" count="1">
            <x v="40"/>
          </reference>
          <reference field="16" count="1" selected="0">
            <x v="0"/>
          </reference>
        </references>
      </pivotArea>
    </format>
    <format dxfId="852">
      <pivotArea field="4" grandCol="1" collapsedLevelsAreSubtotals="1" axis="axisRow" fieldPosition="1">
        <references count="1">
          <reference field="4" count="1">
            <x v="40"/>
          </reference>
        </references>
      </pivotArea>
    </format>
    <format dxfId="851">
      <pivotArea collapsedLevelsAreSubtotals="1" fieldPosition="0">
        <references count="2">
          <reference field="4" count="1">
            <x v="41"/>
          </reference>
          <reference field="16" count="1" selected="0">
            <x v="0"/>
          </reference>
        </references>
      </pivotArea>
    </format>
    <format dxfId="850">
      <pivotArea field="4" grandCol="1" collapsedLevelsAreSubtotals="1" axis="axisRow" fieldPosition="1">
        <references count="1">
          <reference field="4" count="1">
            <x v="41"/>
          </reference>
        </references>
      </pivotArea>
    </format>
    <format dxfId="849">
      <pivotArea collapsedLevelsAreSubtotals="1" fieldPosition="0">
        <references count="2">
          <reference field="4" count="1">
            <x v="42"/>
          </reference>
          <reference field="16" count="1" selected="0">
            <x v="0"/>
          </reference>
        </references>
      </pivotArea>
    </format>
    <format dxfId="848">
      <pivotArea field="4" grandCol="1" collapsedLevelsAreSubtotals="1" axis="axisRow" fieldPosition="1">
        <references count="1">
          <reference field="4" count="1">
            <x v="42"/>
          </reference>
        </references>
      </pivotArea>
    </format>
    <format dxfId="847">
      <pivotArea collapsedLevelsAreSubtotals="1" fieldPosition="0">
        <references count="2">
          <reference field="4" count="1">
            <x v="43"/>
          </reference>
          <reference field="16" count="1" selected="0">
            <x v="0"/>
          </reference>
        </references>
      </pivotArea>
    </format>
    <format dxfId="846">
      <pivotArea field="4" grandCol="1" collapsedLevelsAreSubtotals="1" axis="axisRow" fieldPosition="1">
        <references count="1">
          <reference field="4" count="1">
            <x v="43"/>
          </reference>
        </references>
      </pivotArea>
    </format>
    <format dxfId="845">
      <pivotArea collapsedLevelsAreSubtotals="1" fieldPosition="0">
        <references count="2">
          <reference field="4" count="1">
            <x v="44"/>
          </reference>
          <reference field="16" count="1" selected="0">
            <x v="0"/>
          </reference>
        </references>
      </pivotArea>
    </format>
    <format dxfId="844">
      <pivotArea field="4" grandCol="1" collapsedLevelsAreSubtotals="1" axis="axisRow" fieldPosition="1">
        <references count="1">
          <reference field="4" count="1">
            <x v="44"/>
          </reference>
        </references>
      </pivotArea>
    </format>
    <format dxfId="843">
      <pivotArea collapsedLevelsAreSubtotals="1" fieldPosition="0">
        <references count="2">
          <reference field="4" count="1">
            <x v="45"/>
          </reference>
          <reference field="16" count="1" selected="0">
            <x v="0"/>
          </reference>
        </references>
      </pivotArea>
    </format>
    <format dxfId="842">
      <pivotArea field="4" grandCol="1" collapsedLevelsAreSubtotals="1" axis="axisRow" fieldPosition="1">
        <references count="1">
          <reference field="4" count="1">
            <x v="45"/>
          </reference>
        </references>
      </pivotArea>
    </format>
    <format dxfId="841">
      <pivotArea collapsedLevelsAreSubtotals="1" fieldPosition="0">
        <references count="2">
          <reference field="4" count="1">
            <x v="46"/>
          </reference>
          <reference field="16" count="1" selected="0">
            <x v="0"/>
          </reference>
        </references>
      </pivotArea>
    </format>
    <format dxfId="840">
      <pivotArea field="4" grandCol="1" collapsedLevelsAreSubtotals="1" axis="axisRow" fieldPosition="1">
        <references count="1">
          <reference field="4" count="1">
            <x v="46"/>
          </reference>
        </references>
      </pivotArea>
    </format>
    <format dxfId="839">
      <pivotArea collapsedLevelsAreSubtotals="1" fieldPosition="0">
        <references count="2">
          <reference field="4" count="1">
            <x v="47"/>
          </reference>
          <reference field="16" count="1" selected="0">
            <x v="0"/>
          </reference>
        </references>
      </pivotArea>
    </format>
    <format dxfId="838">
      <pivotArea field="4" grandCol="1" collapsedLevelsAreSubtotals="1" axis="axisRow" fieldPosition="1">
        <references count="1">
          <reference field="4" count="1">
            <x v="47"/>
          </reference>
        </references>
      </pivotArea>
    </format>
    <format dxfId="837">
      <pivotArea collapsedLevelsAreSubtotals="1" fieldPosition="0">
        <references count="2">
          <reference field="4" count="1">
            <x v="48"/>
          </reference>
          <reference field="16" count="1" selected="0">
            <x v="0"/>
          </reference>
        </references>
      </pivotArea>
    </format>
    <format dxfId="836">
      <pivotArea field="4" grandCol="1" collapsedLevelsAreSubtotals="1" axis="axisRow" fieldPosition="1">
        <references count="1">
          <reference field="4" count="1">
            <x v="48"/>
          </reference>
        </references>
      </pivotArea>
    </format>
    <format dxfId="835">
      <pivotArea collapsedLevelsAreSubtotals="1" fieldPosition="0">
        <references count="2">
          <reference field="4" count="1">
            <x v="49"/>
          </reference>
          <reference field="16" count="1" selected="0">
            <x v="0"/>
          </reference>
        </references>
      </pivotArea>
    </format>
    <format dxfId="834">
      <pivotArea field="4" grandCol="1" collapsedLevelsAreSubtotals="1" axis="axisRow" fieldPosition="1">
        <references count="1">
          <reference field="4" count="1">
            <x v="49"/>
          </reference>
        </references>
      </pivotArea>
    </format>
    <format dxfId="833">
      <pivotArea collapsedLevelsAreSubtotals="1" fieldPosition="0">
        <references count="2">
          <reference field="4" count="1">
            <x v="50"/>
          </reference>
          <reference field="16" count="1" selected="0">
            <x v="0"/>
          </reference>
        </references>
      </pivotArea>
    </format>
    <format dxfId="832">
      <pivotArea field="4" grandCol="1" collapsedLevelsAreSubtotals="1" axis="axisRow" fieldPosition="1">
        <references count="1">
          <reference field="4" count="1">
            <x v="50"/>
          </reference>
        </references>
      </pivotArea>
    </format>
    <format dxfId="831">
      <pivotArea collapsedLevelsAreSubtotals="1" fieldPosition="0">
        <references count="2">
          <reference field="4" count="1">
            <x v="51"/>
          </reference>
          <reference field="16" count="1" selected="0">
            <x v="0"/>
          </reference>
        </references>
      </pivotArea>
    </format>
    <format dxfId="830">
      <pivotArea field="4" grandCol="1" collapsedLevelsAreSubtotals="1" axis="axisRow" fieldPosition="1">
        <references count="1">
          <reference field="4" count="1">
            <x v="51"/>
          </reference>
        </references>
      </pivotArea>
    </format>
    <format dxfId="829">
      <pivotArea collapsedLevelsAreSubtotals="1" fieldPosition="0">
        <references count="2">
          <reference field="4" count="1">
            <x v="53"/>
          </reference>
          <reference field="16" count="1" selected="0">
            <x v="0"/>
          </reference>
        </references>
      </pivotArea>
    </format>
    <format dxfId="828">
      <pivotArea field="4" grandCol="1" collapsedLevelsAreSubtotals="1" axis="axisRow" fieldPosition="1">
        <references count="1">
          <reference field="4" count="1">
            <x v="53"/>
          </reference>
        </references>
      </pivotArea>
    </format>
    <format dxfId="827">
      <pivotArea collapsedLevelsAreSubtotals="1" fieldPosition="0">
        <references count="2">
          <reference field="4" count="1">
            <x v="54"/>
          </reference>
          <reference field="16" count="1" selected="0">
            <x v="0"/>
          </reference>
        </references>
      </pivotArea>
    </format>
    <format dxfId="826">
      <pivotArea field="4" grandCol="1" collapsedLevelsAreSubtotals="1" axis="axisRow" fieldPosition="1">
        <references count="1">
          <reference field="4" count="1">
            <x v="54"/>
          </reference>
        </references>
      </pivotArea>
    </format>
    <format dxfId="825">
      <pivotArea collapsedLevelsAreSubtotals="1" fieldPosition="0">
        <references count="2">
          <reference field="4" count="1">
            <x v="55"/>
          </reference>
          <reference field="16" count="1" selected="0">
            <x v="0"/>
          </reference>
        </references>
      </pivotArea>
    </format>
    <format dxfId="824">
      <pivotArea field="4" grandCol="1" collapsedLevelsAreSubtotals="1" axis="axisRow" fieldPosition="1">
        <references count="1">
          <reference field="4" count="1">
            <x v="55"/>
          </reference>
        </references>
      </pivotArea>
    </format>
    <format dxfId="823">
      <pivotArea collapsedLevelsAreSubtotals="1" fieldPosition="0">
        <references count="1">
          <reference field="4" count="1">
            <x v="0"/>
          </reference>
        </references>
      </pivotArea>
    </format>
    <format dxfId="822">
      <pivotArea collapsedLevelsAreSubtotals="1" fieldPosition="0">
        <references count="1">
          <reference field="4" count="1">
            <x v="1"/>
          </reference>
        </references>
      </pivotArea>
    </format>
    <format dxfId="821">
      <pivotArea collapsedLevelsAreSubtotals="1" fieldPosition="0">
        <references count="1">
          <reference field="4" count="1">
            <x v="2"/>
          </reference>
        </references>
      </pivotArea>
    </format>
    <format dxfId="820">
      <pivotArea collapsedLevelsAreSubtotals="1" fieldPosition="0">
        <references count="1">
          <reference field="4" count="1">
            <x v="3"/>
          </reference>
        </references>
      </pivotArea>
    </format>
    <format dxfId="819">
      <pivotArea collapsedLevelsAreSubtotals="1" fieldPosition="0">
        <references count="1">
          <reference field="4" count="1">
            <x v="4"/>
          </reference>
        </references>
      </pivotArea>
    </format>
    <format dxfId="818">
      <pivotArea collapsedLevelsAreSubtotals="1" fieldPosition="0">
        <references count="1">
          <reference field="4" count="1">
            <x v="5"/>
          </reference>
        </references>
      </pivotArea>
    </format>
    <format dxfId="817">
      <pivotArea collapsedLevelsAreSubtotals="1" fieldPosition="0">
        <references count="1">
          <reference field="4" count="1">
            <x v="6"/>
          </reference>
        </references>
      </pivotArea>
    </format>
    <format dxfId="816">
      <pivotArea collapsedLevelsAreSubtotals="1" fieldPosition="0">
        <references count="1">
          <reference field="4" count="1">
            <x v="7"/>
          </reference>
        </references>
      </pivotArea>
    </format>
    <format dxfId="815">
      <pivotArea collapsedLevelsAreSubtotals="1" fieldPosition="0">
        <references count="1">
          <reference field="4" count="1">
            <x v="8"/>
          </reference>
        </references>
      </pivotArea>
    </format>
    <format dxfId="814">
      <pivotArea collapsedLevelsAreSubtotals="1" fieldPosition="0">
        <references count="1">
          <reference field="4" count="1">
            <x v="9"/>
          </reference>
        </references>
      </pivotArea>
    </format>
    <format dxfId="813">
      <pivotArea collapsedLevelsAreSubtotals="1" fieldPosition="0">
        <references count="1">
          <reference field="4" count="1">
            <x v="10"/>
          </reference>
        </references>
      </pivotArea>
    </format>
    <format dxfId="812">
      <pivotArea collapsedLevelsAreSubtotals="1" fieldPosition="0">
        <references count="1">
          <reference field="4" count="1">
            <x v="11"/>
          </reference>
        </references>
      </pivotArea>
    </format>
    <format dxfId="811">
      <pivotArea collapsedLevelsAreSubtotals="1" fieldPosition="0">
        <references count="1">
          <reference field="4" count="1">
            <x v="12"/>
          </reference>
        </references>
      </pivotArea>
    </format>
    <format dxfId="810">
      <pivotArea collapsedLevelsAreSubtotals="1" fieldPosition="0">
        <references count="1">
          <reference field="4" count="1">
            <x v="13"/>
          </reference>
        </references>
      </pivotArea>
    </format>
    <format dxfId="809">
      <pivotArea collapsedLevelsAreSubtotals="1" fieldPosition="0">
        <references count="1">
          <reference field="4" count="1">
            <x v="14"/>
          </reference>
        </references>
      </pivotArea>
    </format>
    <format dxfId="808">
      <pivotArea collapsedLevelsAreSubtotals="1" fieldPosition="0">
        <references count="1">
          <reference field="4" count="1">
            <x v="15"/>
          </reference>
        </references>
      </pivotArea>
    </format>
    <format dxfId="807">
      <pivotArea collapsedLevelsAreSubtotals="1" fieldPosition="0">
        <references count="1">
          <reference field="4" count="1">
            <x v="16"/>
          </reference>
        </references>
      </pivotArea>
    </format>
    <format dxfId="806">
      <pivotArea collapsedLevelsAreSubtotals="1" fieldPosition="0">
        <references count="1">
          <reference field="4" count="1">
            <x v="17"/>
          </reference>
        </references>
      </pivotArea>
    </format>
    <format dxfId="805">
      <pivotArea collapsedLevelsAreSubtotals="1" fieldPosition="0">
        <references count="1">
          <reference field="4" count="1">
            <x v="18"/>
          </reference>
        </references>
      </pivotArea>
    </format>
    <format dxfId="804">
      <pivotArea collapsedLevelsAreSubtotals="1" fieldPosition="0">
        <references count="1">
          <reference field="4" count="1">
            <x v="19"/>
          </reference>
        </references>
      </pivotArea>
    </format>
    <format dxfId="803">
      <pivotArea collapsedLevelsAreSubtotals="1" fieldPosition="0">
        <references count="1">
          <reference field="4" count="1">
            <x v="20"/>
          </reference>
        </references>
      </pivotArea>
    </format>
    <format dxfId="802">
      <pivotArea collapsedLevelsAreSubtotals="1" fieldPosition="0">
        <references count="1">
          <reference field="4" count="1">
            <x v="21"/>
          </reference>
        </references>
      </pivotArea>
    </format>
    <format dxfId="801">
      <pivotArea collapsedLevelsAreSubtotals="1" fieldPosition="0">
        <references count="1">
          <reference field="4" count="1">
            <x v="23"/>
          </reference>
        </references>
      </pivotArea>
    </format>
    <format dxfId="800">
      <pivotArea collapsedLevelsAreSubtotals="1" fieldPosition="0">
        <references count="1">
          <reference field="4" count="1">
            <x v="24"/>
          </reference>
        </references>
      </pivotArea>
    </format>
    <format dxfId="799">
      <pivotArea collapsedLevelsAreSubtotals="1" fieldPosition="0">
        <references count="1">
          <reference field="4" count="1">
            <x v="25"/>
          </reference>
        </references>
      </pivotArea>
    </format>
    <format dxfId="798">
      <pivotArea collapsedLevelsAreSubtotals="1" fieldPosition="0">
        <references count="1">
          <reference field="4" count="1">
            <x v="26"/>
          </reference>
        </references>
      </pivotArea>
    </format>
    <format dxfId="797">
      <pivotArea collapsedLevelsAreSubtotals="1" fieldPosition="0">
        <references count="1">
          <reference field="4" count="1">
            <x v="27"/>
          </reference>
        </references>
      </pivotArea>
    </format>
    <format dxfId="796">
      <pivotArea collapsedLevelsAreSubtotals="1" fieldPosition="0">
        <references count="1">
          <reference field="4" count="1">
            <x v="28"/>
          </reference>
        </references>
      </pivotArea>
    </format>
    <format dxfId="795">
      <pivotArea collapsedLevelsAreSubtotals="1" fieldPosition="0">
        <references count="1">
          <reference field="4" count="1">
            <x v="29"/>
          </reference>
        </references>
      </pivotArea>
    </format>
    <format dxfId="794">
      <pivotArea collapsedLevelsAreSubtotals="1" fieldPosition="0">
        <references count="1">
          <reference field="4" count="1">
            <x v="30"/>
          </reference>
        </references>
      </pivotArea>
    </format>
    <format dxfId="793">
      <pivotArea collapsedLevelsAreSubtotals="1" fieldPosition="0">
        <references count="1">
          <reference field="4" count="1">
            <x v="31"/>
          </reference>
        </references>
      </pivotArea>
    </format>
    <format dxfId="792">
      <pivotArea collapsedLevelsAreSubtotals="1" fieldPosition="0">
        <references count="1">
          <reference field="4" count="1">
            <x v="32"/>
          </reference>
        </references>
      </pivotArea>
    </format>
    <format dxfId="791">
      <pivotArea collapsedLevelsAreSubtotals="1" fieldPosition="0">
        <references count="1">
          <reference field="4" count="1">
            <x v="33"/>
          </reference>
        </references>
      </pivotArea>
    </format>
    <format dxfId="790">
      <pivotArea grandRow="1" outline="0" collapsedLevelsAreSubtotals="1" fieldPosition="0"/>
    </format>
    <format dxfId="789">
      <pivotArea collapsedLevelsAreSubtotals="1" fieldPosition="0">
        <references count="2">
          <reference field="4" count="1">
            <x v="0"/>
          </reference>
          <reference field="16" count="1" selected="0">
            <x v="3"/>
          </reference>
        </references>
      </pivotArea>
    </format>
    <format dxfId="788">
      <pivotArea collapsedLevelsAreSubtotals="1" fieldPosition="0">
        <references count="2">
          <reference field="4" count="1">
            <x v="1"/>
          </reference>
          <reference field="16" count="1" selected="0">
            <x v="3"/>
          </reference>
        </references>
      </pivotArea>
    </format>
    <format dxfId="787">
      <pivotArea collapsedLevelsAreSubtotals="1" fieldPosition="0">
        <references count="2">
          <reference field="4" count="1">
            <x v="2"/>
          </reference>
          <reference field="16" count="1" selected="0">
            <x v="3"/>
          </reference>
        </references>
      </pivotArea>
    </format>
    <format dxfId="786">
      <pivotArea collapsedLevelsAreSubtotals="1" fieldPosition="0">
        <references count="2">
          <reference field="4" count="1">
            <x v="3"/>
          </reference>
          <reference field="16" count="1" selected="0">
            <x v="3"/>
          </reference>
        </references>
      </pivotArea>
    </format>
    <format dxfId="785">
      <pivotArea collapsedLevelsAreSubtotals="1" fieldPosition="0">
        <references count="2">
          <reference field="4" count="1">
            <x v="4"/>
          </reference>
          <reference field="16" count="1" selected="0">
            <x v="3"/>
          </reference>
        </references>
      </pivotArea>
    </format>
    <format dxfId="784">
      <pivotArea collapsedLevelsAreSubtotals="1" fieldPosition="0">
        <references count="2">
          <reference field="4" count="1">
            <x v="5"/>
          </reference>
          <reference field="16" count="1" selected="0">
            <x v="3"/>
          </reference>
        </references>
      </pivotArea>
    </format>
    <format dxfId="783">
      <pivotArea collapsedLevelsAreSubtotals="1" fieldPosition="0">
        <references count="2">
          <reference field="4" count="1">
            <x v="6"/>
          </reference>
          <reference field="16" count="1" selected="0">
            <x v="3"/>
          </reference>
        </references>
      </pivotArea>
    </format>
    <format dxfId="782">
      <pivotArea collapsedLevelsAreSubtotals="1" fieldPosition="0">
        <references count="2">
          <reference field="4" count="1">
            <x v="7"/>
          </reference>
          <reference field="16" count="1" selected="0">
            <x v="3"/>
          </reference>
        </references>
      </pivotArea>
    </format>
    <format dxfId="781">
      <pivotArea collapsedLevelsAreSubtotals="1" fieldPosition="0">
        <references count="2">
          <reference field="4" count="1">
            <x v="8"/>
          </reference>
          <reference field="16" count="1" selected="0">
            <x v="3"/>
          </reference>
        </references>
      </pivotArea>
    </format>
    <format dxfId="780">
      <pivotArea collapsedLevelsAreSubtotals="1" fieldPosition="0">
        <references count="2">
          <reference field="4" count="1">
            <x v="9"/>
          </reference>
          <reference field="16" count="1" selected="0">
            <x v="3"/>
          </reference>
        </references>
      </pivotArea>
    </format>
    <format dxfId="779">
      <pivotArea collapsedLevelsAreSubtotals="1" fieldPosition="0">
        <references count="2">
          <reference field="4" count="1">
            <x v="10"/>
          </reference>
          <reference field="16" count="1" selected="0">
            <x v="3"/>
          </reference>
        </references>
      </pivotArea>
    </format>
    <format dxfId="778">
      <pivotArea collapsedLevelsAreSubtotals="1" fieldPosition="0">
        <references count="2">
          <reference field="4" count="1">
            <x v="11"/>
          </reference>
          <reference field="16" count="1" selected="0">
            <x v="3"/>
          </reference>
        </references>
      </pivotArea>
    </format>
    <format dxfId="777">
      <pivotArea collapsedLevelsAreSubtotals="1" fieldPosition="0">
        <references count="2">
          <reference field="4" count="1">
            <x v="12"/>
          </reference>
          <reference field="16" count="1" selected="0">
            <x v="3"/>
          </reference>
        </references>
      </pivotArea>
    </format>
    <format dxfId="776">
      <pivotArea collapsedLevelsAreSubtotals="1" fieldPosition="0">
        <references count="2">
          <reference field="4" count="1">
            <x v="13"/>
          </reference>
          <reference field="16" count="1" selected="0">
            <x v="3"/>
          </reference>
        </references>
      </pivotArea>
    </format>
    <format dxfId="775">
      <pivotArea collapsedLevelsAreSubtotals="1" fieldPosition="0">
        <references count="2">
          <reference field="4" count="1">
            <x v="14"/>
          </reference>
          <reference field="16" count="1" selected="0">
            <x v="3"/>
          </reference>
        </references>
      </pivotArea>
    </format>
    <format dxfId="774">
      <pivotArea collapsedLevelsAreSubtotals="1" fieldPosition="0">
        <references count="2">
          <reference field="4" count="1">
            <x v="15"/>
          </reference>
          <reference field="16" count="1" selected="0">
            <x v="3"/>
          </reference>
        </references>
      </pivotArea>
    </format>
    <format dxfId="773">
      <pivotArea collapsedLevelsAreSubtotals="1" fieldPosition="0">
        <references count="2">
          <reference field="4" count="1">
            <x v="16"/>
          </reference>
          <reference field="16" count="1" selected="0">
            <x v="3"/>
          </reference>
        </references>
      </pivotArea>
    </format>
    <format dxfId="772">
      <pivotArea collapsedLevelsAreSubtotals="1" fieldPosition="0">
        <references count="2">
          <reference field="4" count="1">
            <x v="17"/>
          </reference>
          <reference field="16" count="1" selected="0">
            <x v="3"/>
          </reference>
        </references>
      </pivotArea>
    </format>
    <format dxfId="771">
      <pivotArea collapsedLevelsAreSubtotals="1" fieldPosition="0">
        <references count="2">
          <reference field="4" count="1">
            <x v="18"/>
          </reference>
          <reference field="16" count="1" selected="0">
            <x v="3"/>
          </reference>
        </references>
      </pivotArea>
    </format>
    <format dxfId="770">
      <pivotArea collapsedLevelsAreSubtotals="1" fieldPosition="0">
        <references count="2">
          <reference field="4" count="1">
            <x v="19"/>
          </reference>
          <reference field="16" count="1" selected="0">
            <x v="3"/>
          </reference>
        </references>
      </pivotArea>
    </format>
    <format dxfId="769">
      <pivotArea collapsedLevelsAreSubtotals="1" fieldPosition="0">
        <references count="2">
          <reference field="4" count="1">
            <x v="20"/>
          </reference>
          <reference field="16" count="1" selected="0">
            <x v="3"/>
          </reference>
        </references>
      </pivotArea>
    </format>
    <format dxfId="768">
      <pivotArea collapsedLevelsAreSubtotals="1" fieldPosition="0">
        <references count="2">
          <reference field="4" count="1">
            <x v="21"/>
          </reference>
          <reference field="16" count="1" selected="0">
            <x v="3"/>
          </reference>
        </references>
      </pivotArea>
    </format>
    <format dxfId="767">
      <pivotArea collapsedLevelsAreSubtotals="1" fieldPosition="0">
        <references count="2">
          <reference field="4" count="1">
            <x v="23"/>
          </reference>
          <reference field="16" count="1" selected="0">
            <x v="3"/>
          </reference>
        </references>
      </pivotArea>
    </format>
    <format dxfId="766">
      <pivotArea collapsedLevelsAreSubtotals="1" fieldPosition="0">
        <references count="2">
          <reference field="4" count="1">
            <x v="24"/>
          </reference>
          <reference field="16" count="1" selected="0">
            <x v="3"/>
          </reference>
        </references>
      </pivotArea>
    </format>
    <format dxfId="765">
      <pivotArea collapsedLevelsAreSubtotals="1" fieldPosition="0">
        <references count="2">
          <reference field="4" count="1">
            <x v="25"/>
          </reference>
          <reference field="16" count="1" selected="0">
            <x v="3"/>
          </reference>
        </references>
      </pivotArea>
    </format>
    <format dxfId="764">
      <pivotArea collapsedLevelsAreSubtotals="1" fieldPosition="0">
        <references count="2">
          <reference field="4" count="1">
            <x v="26"/>
          </reference>
          <reference field="16" count="1" selected="0">
            <x v="3"/>
          </reference>
        </references>
      </pivotArea>
    </format>
    <format dxfId="763">
      <pivotArea collapsedLevelsAreSubtotals="1" fieldPosition="0">
        <references count="2">
          <reference field="4" count="1">
            <x v="27"/>
          </reference>
          <reference field="16" count="1" selected="0">
            <x v="3"/>
          </reference>
        </references>
      </pivotArea>
    </format>
    <format dxfId="762">
      <pivotArea collapsedLevelsAreSubtotals="1" fieldPosition="0">
        <references count="2">
          <reference field="4" count="1">
            <x v="28"/>
          </reference>
          <reference field="16" count="1" selected="0">
            <x v="3"/>
          </reference>
        </references>
      </pivotArea>
    </format>
    <format dxfId="761">
      <pivotArea collapsedLevelsAreSubtotals="1" fieldPosition="0">
        <references count="2">
          <reference field="4" count="1">
            <x v="29"/>
          </reference>
          <reference field="16" count="1" selected="0">
            <x v="3"/>
          </reference>
        </references>
      </pivotArea>
    </format>
    <format dxfId="760">
      <pivotArea collapsedLevelsAreSubtotals="1" fieldPosition="0">
        <references count="2">
          <reference field="4" count="1">
            <x v="30"/>
          </reference>
          <reference field="16" count="1" selected="0">
            <x v="3"/>
          </reference>
        </references>
      </pivotArea>
    </format>
    <format dxfId="759">
      <pivotArea collapsedLevelsAreSubtotals="1" fieldPosition="0">
        <references count="2">
          <reference field="4" count="1">
            <x v="31"/>
          </reference>
          <reference field="16" count="1" selected="0">
            <x v="3"/>
          </reference>
        </references>
      </pivotArea>
    </format>
    <format dxfId="758">
      <pivotArea collapsedLevelsAreSubtotals="1" fieldPosition="0">
        <references count="2">
          <reference field="4" count="1">
            <x v="32"/>
          </reference>
          <reference field="16" count="1" selected="0">
            <x v="3"/>
          </reference>
        </references>
      </pivotArea>
    </format>
    <format dxfId="757">
      <pivotArea collapsedLevelsAreSubtotals="1" fieldPosition="0">
        <references count="2">
          <reference field="4" count="1">
            <x v="33"/>
          </reference>
          <reference field="16" count="1" selected="0">
            <x v="3"/>
          </reference>
        </references>
      </pivotArea>
    </format>
    <format dxfId="756">
      <pivotArea collapsedLevelsAreSubtotals="1" fieldPosition="0">
        <references count="2">
          <reference field="4" count="1">
            <x v="34"/>
          </reference>
          <reference field="16" count="1" selected="0">
            <x v="3"/>
          </reference>
        </references>
      </pivotArea>
    </format>
    <format dxfId="755">
      <pivotArea collapsedLevelsAreSubtotals="1" fieldPosition="0">
        <references count="2">
          <reference field="4" count="1">
            <x v="35"/>
          </reference>
          <reference field="16" count="1" selected="0">
            <x v="3"/>
          </reference>
        </references>
      </pivotArea>
    </format>
    <format dxfId="754">
      <pivotArea collapsedLevelsAreSubtotals="1" fieldPosition="0">
        <references count="2">
          <reference field="4" count="1">
            <x v="36"/>
          </reference>
          <reference field="16" count="1" selected="0">
            <x v="3"/>
          </reference>
        </references>
      </pivotArea>
    </format>
    <format dxfId="753">
      <pivotArea collapsedLevelsAreSubtotals="1" fieldPosition="0">
        <references count="2">
          <reference field="4" count="1">
            <x v="37"/>
          </reference>
          <reference field="16" count="1" selected="0">
            <x v="3"/>
          </reference>
        </references>
      </pivotArea>
    </format>
    <format dxfId="752">
      <pivotArea collapsedLevelsAreSubtotals="1" fieldPosition="0">
        <references count="2">
          <reference field="4" count="1">
            <x v="38"/>
          </reference>
          <reference field="16" count="1" selected="0">
            <x v="3"/>
          </reference>
        </references>
      </pivotArea>
    </format>
    <format dxfId="751">
      <pivotArea collapsedLevelsAreSubtotals="1" fieldPosition="0">
        <references count="2">
          <reference field="4" count="1">
            <x v="39"/>
          </reference>
          <reference field="16" count="1" selected="0">
            <x v="3"/>
          </reference>
        </references>
      </pivotArea>
    </format>
    <format dxfId="750">
      <pivotArea collapsedLevelsAreSubtotals="1" fieldPosition="0">
        <references count="2">
          <reference field="4" count="1">
            <x v="40"/>
          </reference>
          <reference field="16" count="1" selected="0">
            <x v="3"/>
          </reference>
        </references>
      </pivotArea>
    </format>
    <format dxfId="749">
      <pivotArea collapsedLevelsAreSubtotals="1" fieldPosition="0">
        <references count="2">
          <reference field="4" count="1">
            <x v="41"/>
          </reference>
          <reference field="16" count="1" selected="0">
            <x v="3"/>
          </reference>
        </references>
      </pivotArea>
    </format>
    <format dxfId="748">
      <pivotArea collapsedLevelsAreSubtotals="1" fieldPosition="0">
        <references count="2">
          <reference field="4" count="1">
            <x v="42"/>
          </reference>
          <reference field="16" count="1" selected="0">
            <x v="3"/>
          </reference>
        </references>
      </pivotArea>
    </format>
    <format dxfId="747">
      <pivotArea collapsedLevelsAreSubtotals="1" fieldPosition="0">
        <references count="2">
          <reference field="4" count="1">
            <x v="43"/>
          </reference>
          <reference field="16" count="1" selected="0">
            <x v="3"/>
          </reference>
        </references>
      </pivotArea>
    </format>
    <format dxfId="746">
      <pivotArea collapsedLevelsAreSubtotals="1" fieldPosition="0">
        <references count="2">
          <reference field="4" count="1">
            <x v="44"/>
          </reference>
          <reference field="16" count="1" selected="0">
            <x v="3"/>
          </reference>
        </references>
      </pivotArea>
    </format>
    <format dxfId="745">
      <pivotArea collapsedLevelsAreSubtotals="1" fieldPosition="0">
        <references count="2">
          <reference field="4" count="1">
            <x v="45"/>
          </reference>
          <reference field="16" count="1" selected="0">
            <x v="3"/>
          </reference>
        </references>
      </pivotArea>
    </format>
    <format dxfId="744">
      <pivotArea collapsedLevelsAreSubtotals="1" fieldPosition="0">
        <references count="2">
          <reference field="4" count="1">
            <x v="46"/>
          </reference>
          <reference field="16" count="1" selected="0">
            <x v="3"/>
          </reference>
        </references>
      </pivotArea>
    </format>
    <format dxfId="743">
      <pivotArea collapsedLevelsAreSubtotals="1" fieldPosition="0">
        <references count="2">
          <reference field="4" count="1">
            <x v="47"/>
          </reference>
          <reference field="16" count="1" selected="0">
            <x v="3"/>
          </reference>
        </references>
      </pivotArea>
    </format>
    <format dxfId="742">
      <pivotArea collapsedLevelsAreSubtotals="1" fieldPosition="0">
        <references count="2">
          <reference field="4" count="1">
            <x v="48"/>
          </reference>
          <reference field="16" count="1" selected="0">
            <x v="3"/>
          </reference>
        </references>
      </pivotArea>
    </format>
    <format dxfId="741">
      <pivotArea collapsedLevelsAreSubtotals="1" fieldPosition="0">
        <references count="2">
          <reference field="4" count="1">
            <x v="49"/>
          </reference>
          <reference field="16" count="1" selected="0">
            <x v="3"/>
          </reference>
        </references>
      </pivotArea>
    </format>
    <format dxfId="740">
      <pivotArea collapsedLevelsAreSubtotals="1" fieldPosition="0">
        <references count="2">
          <reference field="4" count="1">
            <x v="50"/>
          </reference>
          <reference field="16" count="1" selected="0">
            <x v="3"/>
          </reference>
        </references>
      </pivotArea>
    </format>
    <format dxfId="739">
      <pivotArea collapsedLevelsAreSubtotals="1" fieldPosition="0">
        <references count="2">
          <reference field="4" count="1">
            <x v="51"/>
          </reference>
          <reference field="16" count="1" selected="0">
            <x v="3"/>
          </reference>
        </references>
      </pivotArea>
    </format>
    <format dxfId="738">
      <pivotArea collapsedLevelsAreSubtotals="1" fieldPosition="0">
        <references count="2">
          <reference field="4" count="1">
            <x v="53"/>
          </reference>
          <reference field="16" count="1" selected="0">
            <x v="3"/>
          </reference>
        </references>
      </pivotArea>
    </format>
    <format dxfId="737">
      <pivotArea collapsedLevelsAreSubtotals="1" fieldPosition="0">
        <references count="2">
          <reference field="4" count="1">
            <x v="54"/>
          </reference>
          <reference field="16" count="1" selected="0">
            <x v="3"/>
          </reference>
        </references>
      </pivotArea>
    </format>
    <format dxfId="736">
      <pivotArea collapsedLevelsAreSubtotals="1" fieldPosition="0">
        <references count="2">
          <reference field="4" count="1">
            <x v="55"/>
          </reference>
          <reference field="16" count="1" selected="0">
            <x v="3"/>
          </reference>
        </references>
      </pivotArea>
    </format>
    <format dxfId="735">
      <pivotArea type="origin" dataOnly="0" labelOnly="1" outline="0" fieldPosition="0"/>
    </format>
    <format dxfId="734">
      <pivotArea field="16" type="button" dataOnly="0" labelOnly="1" outline="0" axis="axisCol" fieldPosition="0"/>
    </format>
    <format dxfId="733">
      <pivotArea type="topRight" dataOnly="0" labelOnly="1" outline="0" fieldPosition="0"/>
    </format>
    <format dxfId="732">
      <pivotArea dataOnly="0" labelOnly="1" fieldPosition="0">
        <references count="1">
          <reference field="16" count="0"/>
        </references>
      </pivotArea>
    </format>
    <format dxfId="731">
      <pivotArea dataOnly="0" labelOnly="1" grandCol="1" outline="0" fieldPosition="0"/>
    </format>
    <format dxfId="730">
      <pivotArea type="origin" dataOnly="0" labelOnly="1" outline="0" fieldPosition="0"/>
    </format>
    <format dxfId="729">
      <pivotArea field="16" type="button" dataOnly="0" labelOnly="1" outline="0" axis="axisCol" fieldPosition="0"/>
    </format>
    <format dxfId="728">
      <pivotArea type="origin" dataOnly="0" labelOnly="1" outline="0" fieldPosition="0"/>
    </format>
    <format dxfId="727">
      <pivotArea field="16" type="button" dataOnly="0" labelOnly="1" outline="0" axis="axisCol" fieldPosition="0"/>
    </format>
    <format dxfId="726">
      <pivotArea type="topRight" dataOnly="0" labelOnly="1" outline="0" fieldPosition="0"/>
    </format>
    <format dxfId="725">
      <pivotArea type="all" dataOnly="0" outline="0" fieldPosition="0"/>
    </format>
    <format dxfId="724">
      <pivotArea dataOnly="0" labelOnly="1" fieldPosition="0">
        <references count="1">
          <reference field="16" count="0"/>
        </references>
      </pivotArea>
    </format>
    <format dxfId="723">
      <pivotArea dataOnly="0" labelOnly="1" grandCol="1" outline="0" fieldPosition="0"/>
    </format>
    <format dxfId="722">
      <pivotArea dataOnly="0" labelOnly="1" fieldPosition="0">
        <references count="1">
          <reference field="16" count="0"/>
        </references>
      </pivotArea>
    </format>
    <format dxfId="721">
      <pivotArea dataOnly="0" labelOnly="1" grandCol="1" outline="0" fieldPosition="0"/>
    </format>
    <format dxfId="720">
      <pivotArea dataOnly="0" labelOnly="1" fieldPosition="0">
        <references count="1">
          <reference field="16" count="0"/>
        </references>
      </pivotArea>
    </format>
    <format dxfId="719">
      <pivotArea dataOnly="0" labelOnly="1" grandCol="1" outline="0" fieldPosition="0"/>
    </format>
    <format dxfId="718">
      <pivotArea dataOnly="0" labelOnly="1" fieldPosition="0">
        <references count="1">
          <reference field="16" count="0"/>
        </references>
      </pivotArea>
    </format>
    <format dxfId="717">
      <pivotArea dataOnly="0" labelOnly="1" grandCol="1" outline="0" fieldPosition="0"/>
    </format>
    <format dxfId="716">
      <pivotArea grandRow="1" outline="0" collapsedLevelsAreSubtotals="1" fieldPosition="0"/>
    </format>
    <format dxfId="715">
      <pivotArea dataOnly="0" labelOnly="1" grandRow="1" outline="0" fieldPosition="0"/>
    </format>
    <format dxfId="714">
      <pivotArea dataOnly="0" labelOnly="1" grandRow="1" outline="0" fieldPosition="0"/>
    </format>
    <format dxfId="713">
      <pivotArea dataOnly="0" labelOnly="1" grandRow="1" outline="0" fieldPosition="0"/>
    </format>
    <format dxfId="712">
      <pivotArea dataOnly="0" fieldPosition="0">
        <references count="1">
          <reference field="4" count="0" defaultSubtotal="1"/>
        </references>
      </pivotArea>
    </format>
    <format dxfId="711">
      <pivotArea dataOnly="0" grandRow="1" fieldPosition="0"/>
    </format>
    <format dxfId="710">
      <pivotArea dataOnly="0" outline="0" fieldPosition="0">
        <references count="1">
          <reference field="16" count="2">
            <x v="2"/>
            <x v="3"/>
          </reference>
        </references>
      </pivotArea>
    </format>
    <format dxfId="709">
      <pivotArea dataOnly="0" outline="0" fieldPosition="0">
        <references count="1">
          <reference field="16" count="1">
            <x v="0"/>
          </reference>
        </references>
      </pivotArea>
    </format>
    <format dxfId="708">
      <pivotArea dataOnly="0" grandCol="1" outline="0" fieldPosition="0"/>
    </format>
    <format dxfId="707">
      <pivotArea dataOnly="0" outline="0" fieldPosition="0">
        <references count="1">
          <reference field="16" count="1">
            <x v="1"/>
          </reference>
        </references>
      </pivotArea>
    </format>
    <format dxfId="706">
      <pivotArea dataOnly="0" labelOnly="1" fieldPosition="0">
        <references count="1">
          <reference field="16" count="0"/>
        </references>
      </pivotArea>
    </format>
    <format dxfId="705">
      <pivotArea dataOnly="0" labelOnly="1" grandCol="1" outline="0" fieldPosition="0"/>
    </format>
    <format dxfId="704">
      <pivotArea type="origin" dataOnly="0" labelOnly="1" outline="0" fieldPosition="0"/>
    </format>
    <format dxfId="703">
      <pivotArea field="16" type="button" dataOnly="0" labelOnly="1" outline="0" axis="axisCol" fieldPosition="0"/>
    </format>
    <format dxfId="702">
      <pivotArea type="topRight" dataOnly="0" labelOnly="1" outline="0" fieldPosition="0"/>
    </format>
    <format dxfId="701">
      <pivotArea dataOnly="0" labelOnly="1" fieldPosition="0">
        <references count="1">
          <reference field="16" count="0"/>
        </references>
      </pivotArea>
    </format>
    <format dxfId="700">
      <pivotArea dataOnly="0" labelOnly="1" grandCol="1" outline="0" fieldPosition="0"/>
    </format>
    <format dxfId="699">
      <pivotArea type="origin" dataOnly="0" labelOnly="1" outline="0" fieldPosition="0"/>
    </format>
    <format dxfId="698">
      <pivotArea field="16" type="button" dataOnly="0" labelOnly="1" outline="0" axis="axisCol" fieldPosition="0"/>
    </format>
    <format dxfId="697">
      <pivotArea type="topRight" dataOnly="0" labelOnly="1" outline="0" fieldPosition="0"/>
    </format>
    <format dxfId="696">
      <pivotArea type="origin" dataOnly="0" labelOnly="1" outline="0" fieldPosition="0"/>
    </format>
    <format dxfId="695">
      <pivotArea field="16" type="button" dataOnly="0" labelOnly="1" outline="0" axis="axisCol" fieldPosition="0"/>
    </format>
    <format dxfId="694">
      <pivotArea type="topRight" dataOnly="0" labelOnly="1" outline="0" fieldPosition="0"/>
    </format>
    <format dxfId="693">
      <pivotArea field="22" type="button" dataOnly="0" labelOnly="1" outline="0" axis="axisRow" fieldPosition="0"/>
    </format>
    <format dxfId="692">
      <pivotArea dataOnly="0" labelOnly="1" fieldPosition="0">
        <references count="1">
          <reference field="22" count="0"/>
        </references>
      </pivotArea>
    </format>
    <format dxfId="691">
      <pivotArea dataOnly="0" labelOnly="1" fieldPosition="0">
        <references count="1">
          <reference field="22" count="0"/>
        </references>
      </pivotArea>
    </format>
    <format dxfId="690">
      <pivotArea collapsedLevelsAreSubtotals="1" fieldPosition="0">
        <references count="1">
          <reference field="22" count="1">
            <x v="0"/>
          </reference>
        </references>
      </pivotArea>
    </format>
    <format dxfId="689">
      <pivotArea collapsedLevelsAreSubtotals="1" fieldPosition="0">
        <references count="1">
          <reference field="22" count="1">
            <x v="1"/>
          </reference>
        </references>
      </pivotArea>
    </format>
    <format dxfId="688">
      <pivotArea collapsedLevelsAreSubtotals="1" fieldPosition="0">
        <references count="1">
          <reference field="22" count="1">
            <x v="2"/>
          </reference>
        </references>
      </pivotArea>
    </format>
    <format dxfId="687">
      <pivotArea collapsedLevelsAreSubtotals="1" fieldPosition="0">
        <references count="1">
          <reference field="22" count="1">
            <x v="3"/>
          </reference>
        </references>
      </pivotArea>
    </format>
    <format dxfId="686">
      <pivotArea collapsedLevelsAreSubtotals="1" fieldPosition="0">
        <references count="1">
          <reference field="22" count="1">
            <x v="4"/>
          </reference>
        </references>
      </pivotArea>
    </format>
    <format dxfId="685">
      <pivotArea dataOnly="0" fieldPosition="0">
        <references count="1">
          <reference field="22" count="0" defaultSubtotal="1"/>
        </references>
      </pivotArea>
    </format>
    <format dxfId="684">
      <pivotArea dataOnly="0" fieldPosition="0">
        <references count="1">
          <reference field="22" count="0" defaultSubtotal="1"/>
        </references>
      </pivotArea>
    </format>
    <format dxfId="683">
      <pivotArea dataOnly="0" fieldPosition="0">
        <references count="1">
          <reference field="22" count="0" defaultSubtotal="1"/>
        </references>
      </pivotArea>
    </format>
    <format dxfId="682">
      <pivotArea collapsedLevelsAreSubtotals="1" fieldPosition="0">
        <references count="1">
          <reference field="22" count="1">
            <x v="0"/>
          </reference>
        </references>
      </pivotArea>
    </format>
    <format dxfId="681">
      <pivotArea collapsedLevelsAreSubtotals="1" fieldPosition="0">
        <references count="1">
          <reference field="22" count="1">
            <x v="1"/>
          </reference>
        </references>
      </pivotArea>
    </format>
    <format dxfId="680">
      <pivotArea collapsedLevelsAreSubtotals="1" fieldPosition="0">
        <references count="1">
          <reference field="22" count="1">
            <x v="2"/>
          </reference>
        </references>
      </pivotArea>
    </format>
    <format dxfId="679">
      <pivotArea collapsedLevelsAreSubtotals="1" fieldPosition="0">
        <references count="1">
          <reference field="22" count="1">
            <x v="3"/>
          </reference>
        </references>
      </pivotArea>
    </format>
    <format dxfId="678">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100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4" totalsRowShown="0" headerRowDxfId="996" dataDxfId="995" dataCellStyle="Moneda">
  <autoFilter ref="A1:T274" xr:uid="{4938F6A6-4F63-4EEE-A72C-924D2B5F5D64}">
    <filterColumn colId="2">
      <filters>
        <filter val="42110-MALARIA"/>
        <filter val="42110-TB"/>
      </filters>
    </filterColumn>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994">
      <calculatedColumnFormula>ROW(DIARIO[[#This Row],[Nombre de Cuenta]])-1</calculatedColumnFormula>
    </tableColumn>
    <tableColumn id="2" xr3:uid="{FC2729A6-8780-4E89-B983-343448558747}" name="Tipo de Compra" dataDxfId="993"/>
    <tableColumn id="3" xr3:uid="{F52E2A0D-14ED-49E6-929B-A7B45A573605}" name="Objeto de Gasto" dataDxfId="992"/>
    <tableColumn id="4" xr3:uid="{90BBECC0-2345-4772-9712-7CAB62D762DF}" name="Código de orden" dataDxfId="991">
      <calculatedColumnFormula>VLOOKUP(C2,CATALOGO[],2,FALSE)</calculatedColumnFormula>
    </tableColumn>
    <tableColumn id="5" xr3:uid="{CCB9CE21-D601-4181-8E09-808963A89EDC}" name="Nombre de Cuenta" dataDxfId="990">
      <calculatedColumnFormula>VLOOKUP(DIARIO[[#This Row],[Objeto de Gasto]],CATALOGO[],3,FALSE)</calculatedColumnFormula>
    </tableColumn>
    <tableColumn id="6" xr3:uid="{DB10CB65-E7F5-477B-9F1B-DAA4CCE25D23}" name="Responsable" dataDxfId="989"/>
    <tableColumn id="7" xr3:uid="{60557A1B-F36B-4144-B4EE-4319C4BDC087}" name="Especificaciones Técnicas" dataDxfId="988"/>
    <tableColumn id="8" xr3:uid="{B8F63D65-7E45-481A-B968-02577D1CC35A}" name="No. de Oficio de solicitud ETN" dataDxfId="987"/>
    <tableColumn id="9" xr3:uid="{9A89F2EF-2A75-47F5-AC69-65572195F40E}" name="Fecha de ingreso del Of. ETN a CNS" dataDxfId="986"/>
    <tableColumn id="10" xr3:uid="{E0D80095-861F-48AB-9701-043F0AFE9BD3}" name="Número de Of. De CNS a GA" dataDxfId="985"/>
    <tableColumn id="11" xr3:uid="{05234ABC-F53B-4942-A98E-D333775A01D3}" name="Fecha solicitud de SSRISS a GA2" dataDxfId="984"/>
    <tableColumn id="12" xr3:uid="{D73AD363-9EC6-489D-BC5B-12C748A5EB6F}" name="Numero de Of. de CNS a SSRISS" dataDxfId="983"/>
    <tableColumn id="13" xr3:uid="{AB0C3C9B-912C-4CE8-8D10-3C6D382FAC2D}" name="Fecha de Of. de SSRISS a DGN2" dataDxfId="982"/>
    <tableColumn id="14" xr3:uid="{35D94959-4188-4C5C-9AAA-2F81CC01AA17}" name="Entrada" dataDxfId="981" dataCellStyle="Moneda"/>
    <tableColumn id="15" xr3:uid="{68EBABEF-6409-4EF3-B510-FD808A1A0DE7}" name="Salida" dataDxfId="980" dataCellStyle="Moneda"/>
    <tableColumn id="16" xr3:uid="{08C0AF4D-6545-4548-AB14-AB0307FAB982}" name="Saldo" dataDxfId="979" dataCellStyle="Moneda">
      <calculatedColumnFormula>N2-O2</calculatedColumnFormula>
    </tableColumn>
    <tableColumn id="17" xr3:uid="{14091832-84B7-4A1A-9EFA-2DA5CD0298D0}" name="Estatus" dataDxfId="978"/>
    <tableColumn id="22" xr3:uid="{3B23ECAC-6B6A-46CE-A7DD-D2A6B1668819}" name="# de Proceso" dataDxfId="977"/>
    <tableColumn id="18" xr3:uid="{55E3DCA5-2FC4-45DA-95CB-1321E1F6AB60}" name="Comentarios Finales" dataDxfId="976"/>
    <tableColumn id="19" xr3:uid="{758086F1-4761-47DF-90AD-AB9494CD3928}" name="Pagado" dataDxfId="975"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950" dataDxfId="949">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948" totalsRowDxfId="947"/>
    <tableColumn id="2" xr3:uid="{4944A3DA-BBEF-42FE-B9AF-317DCDFCB550}" name="APROBADO" totalsRowFunction="sum" dataDxfId="946" totalsRowDxfId="945" dataCellStyle="Moneda"/>
    <tableColumn id="3" xr3:uid="{8DD81181-703C-446E-AED7-EC959C5786E5}" name="MODIFICACIONES" totalsRowFunction="sum" dataDxfId="944" totalsRowDxfId="943" dataCellStyle="Moneda" totalsRowCellStyle="Moneda"/>
    <tableColumn id="4" xr3:uid="{7AC914FB-6AF6-47C9-911D-415D4F78F233}" name="DISPONIBLE" totalsRowFunction="sum" dataDxfId="942" totalsRowDxfId="941">
      <calculatedColumnFormula>Tabla5[[#This Row],[APROBADO]]+Tabla5[[#This Row],[MODIFICACIONES]]</calculatedColumnFormula>
    </tableColumn>
    <tableColumn id="5" xr3:uid="{E0541E5D-124E-47DE-AEF5-2BC2308987F4}" name="% Total" totalsRowFunction="custom" dataDxfId="940" totalsRowDxfId="939">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938" dataDxfId="937" totalsRowDxfId="936">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935" totalsRowDxfId="934"/>
    <tableColumn id="2" xr3:uid="{06A87F87-5B47-48FC-8548-2E642C3772D8}" name="VIH" totalsRowFunction="custom" dataDxfId="933" totalsRowDxfId="932"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931" totalsRowDxfId="930"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929" totalsRowDxfId="928"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927" totalsRowDxfId="926"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925" totalsRowDxfId="924"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923" dataDxfId="922" dataCellStyle="Moneda">
  <autoFilter ref="AA5:AF10" xr:uid="{BF0D6635-A8B9-46D0-81D2-656295F74490}"/>
  <tableColumns count="6">
    <tableColumn id="1" xr3:uid="{82995C1E-0A44-4A6E-B4B1-8F0CF6962D8C}" name="Grupo" dataDxfId="921"/>
    <tableColumn id="2" xr3:uid="{0C82A2B4-9F3C-439D-AE1C-6E8E6D1A7690}" name="SSRISS" dataDxfId="920" dataCellStyle="Moneda"/>
    <tableColumn id="3" xr3:uid="{9729D6CC-9484-4809-B1EE-54821A52A277}" name="VIH" dataDxfId="919" dataCellStyle="Moneda"/>
    <tableColumn id="4" xr3:uid="{62D4FAB6-D263-4900-90C1-69E53DE411FF}" name="MALARIA" dataDxfId="918" dataCellStyle="Moneda"/>
    <tableColumn id="5" xr3:uid="{115023FD-6FB3-4CEA-A5FE-DB4520F8F237}" name="TB" dataDxfId="917" dataCellStyle="Moneda"/>
    <tableColumn id="6" xr3:uid="{2E8D4625-0FE7-4863-A8A1-BF1495D525FF}" name="Total" dataDxfId="916">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915" dataDxfId="914" totalsRowDxfId="913">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912" totalsRowDxfId="911"/>
    <tableColumn id="2" xr3:uid="{2D4BF7F4-479F-464B-BA16-1BF8D27BA6F5}" name="ADJUDICADO" totalsRowFunction="sum" dataDxfId="910" totalsRowDxfId="909"/>
    <tableColumn id="3" xr3:uid="{36270741-23D3-43A0-BD0C-1B1E065AE9EB}" name="PROCESO" totalsRowFunction="sum" dataDxfId="908" totalsRowDxfId="907"/>
    <tableColumn id="4" xr3:uid="{10338F9B-0303-4C25-A9F9-4A095CBCBBBC}" name="FRACASADO" totalsRowFunction="sum" dataDxfId="906" totalsRowDxfId="905"/>
    <tableColumn id="5" xr3:uid="{A6F7ED24-F1F4-4E4F-9AE6-A9F6BA37B5B6}" name="DESIERTO" totalsRowFunction="sum" dataDxfId="904" totalsRowDxfId="903"/>
    <tableColumn id="6" xr3:uid="{64D7750D-7751-49D0-B3D6-9DCA3A1E97FF}" name="OBSERVACIONES" totalsRowFunction="sum" dataDxfId="902" totalsRowDxfId="901"/>
    <tableColumn id="7" xr3:uid="{29A872E8-B158-4CC0-BDCA-E6B368B5868B}" name="SUMA" totalsRowFunction="sum" dataDxfId="900" totalsRowDxfId="899">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677" dataDxfId="675" headerRowBorderDxfId="676" tableBorderDxfId="674">
  <autoFilter ref="A1:K18" xr:uid="{A5900031-BA8A-45E0-9C32-511B960C6604}"/>
  <tableColumns count="11">
    <tableColumn id="1" xr3:uid="{9D85C964-15CA-4C94-A698-881CA673DBD5}" name="N°" dataDxfId="673"/>
    <tableColumn id="2" xr3:uid="{5FF8472C-7546-4317-9DA3-F1525A5FD075}" name="No.- Proceso" dataDxfId="672"/>
    <tableColumn id="3" xr3:uid="{62281B00-31EB-4C12-A70B-2D92FA3B755A}" name="Objeto de Gasto" dataDxfId="671"/>
    <tableColumn id="4" xr3:uid="{D5A9C426-DAE7-4408-8A11-B2BF14228670}" name="Nombre" dataDxfId="670"/>
    <tableColumn id="5" xr3:uid="{DA1AFA95-A005-4909-8D00-78EF9AB1061C}" name="Timpos de entrega" dataDxfId="669"/>
    <tableColumn id="6" xr3:uid="{D526FD70-B72C-4DE0-BB98-58EBD02D903F}" name="Empresa adjudicada según contrato" dataDxfId="668"/>
    <tableColumn id="7" xr3:uid="{F6E8C1D8-B563-4070-8E1B-10956FF2E6AD}" name="Fecha de contrato " dataDxfId="667"/>
    <tableColumn id="8" xr3:uid="{739387F1-BC95-49DF-96B9-513B1FBFE98B}" name="Monto del Contrato" dataDxfId="666" dataCellStyle="Moneda"/>
    <tableColumn id="9" xr3:uid="{CFDD41A7-F841-4DAA-B8A5-7B344169C33C}" name="PENDIENTE DE PAGO" dataDxfId="665"/>
    <tableColumn id="10" xr3:uid="{EE5319FB-A4C3-4FE9-BA1C-0229648F0E59}" name="Unidad Ejecutora" dataDxfId="664"/>
    <tableColumn id="11" xr3:uid="{5598B6DB-9318-48D0-950B-56F4E2B5D8DE}" name="Observaciones" dataDxfId="663"/>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2.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695</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718</v>
      </c>
      <c r="D342">
        <v>4</v>
      </c>
    </row>
    <row r="343" spans="1:4" x14ac:dyDescent="0.25">
      <c r="A343" s="1" t="s">
        <v>714</v>
      </c>
      <c r="B343">
        <v>68</v>
      </c>
      <c r="C343" t="s">
        <v>718</v>
      </c>
      <c r="D343">
        <v>5</v>
      </c>
    </row>
    <row r="344" spans="1:4" x14ac:dyDescent="0.25">
      <c r="A344" s="1" t="s">
        <v>715</v>
      </c>
      <c r="B344">
        <v>68</v>
      </c>
      <c r="C344" t="s">
        <v>718</v>
      </c>
      <c r="D344">
        <v>5</v>
      </c>
    </row>
    <row r="345" spans="1:4" x14ac:dyDescent="0.25">
      <c r="A345" s="1" t="s">
        <v>716</v>
      </c>
      <c r="B345">
        <v>68</v>
      </c>
      <c r="C345" t="s">
        <v>718</v>
      </c>
      <c r="D345">
        <v>5</v>
      </c>
    </row>
    <row r="346" spans="1:4" x14ac:dyDescent="0.25">
      <c r="A346" s="1" t="s">
        <v>717</v>
      </c>
      <c r="B346">
        <v>68</v>
      </c>
      <c r="C346" t="s">
        <v>718</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4"/>
  <sheetViews>
    <sheetView zoomScale="104" zoomScaleNormal="100" workbookViewId="0">
      <selection activeCell="C279" sqref="C279"/>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663</v>
      </c>
      <c r="J1" s="2" t="s">
        <v>664</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hidden="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hidden="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hidden="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hidden="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hidden="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hidden="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hidden="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hidden="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hidden="1"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773</v>
      </c>
      <c r="H146" s="2"/>
      <c r="I146" s="8"/>
      <c r="J146" s="2"/>
      <c r="K146" s="8"/>
      <c r="L146" s="2"/>
      <c r="M146" s="8"/>
      <c r="N146" s="13">
        <v>3782189</v>
      </c>
      <c r="O146" s="13"/>
      <c r="P146" s="14">
        <f t="shared" ref="P146:P154" si="17">N146-O146</f>
        <v>3782189</v>
      </c>
      <c r="Q146" s="2" t="s">
        <v>33</v>
      </c>
      <c r="R146" s="38"/>
      <c r="S146" s="12"/>
      <c r="T146" s="13"/>
    </row>
    <row r="147" spans="1:20" s="3" customFormat="1" ht="30" hidden="1"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772</v>
      </c>
      <c r="H147" s="2"/>
      <c r="I147" s="8"/>
      <c r="J147" s="2"/>
      <c r="K147" s="8"/>
      <c r="L147" s="2"/>
      <c r="M147" s="8"/>
      <c r="N147" s="13"/>
      <c r="O147" s="13">
        <v>943096.41916965332</v>
      </c>
      <c r="P147" s="14">
        <f t="shared" si="17"/>
        <v>-943096.41916965332</v>
      </c>
      <c r="Q147" s="2" t="s">
        <v>33</v>
      </c>
      <c r="R147" s="38"/>
      <c r="S147" s="12"/>
      <c r="T147" s="13"/>
    </row>
    <row r="148" spans="1:20" s="3" customFormat="1" ht="30" hidden="1"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772</v>
      </c>
      <c r="H148" s="2"/>
      <c r="I148" s="8"/>
      <c r="J148" s="2"/>
      <c r="K148" s="8"/>
      <c r="L148" s="2"/>
      <c r="M148" s="8"/>
      <c r="N148" s="13"/>
      <c r="O148" s="13">
        <v>1599661.2959497606</v>
      </c>
      <c r="P148" s="14">
        <f t="shared" si="17"/>
        <v>-1599661.2959497606</v>
      </c>
      <c r="Q148" s="2" t="s">
        <v>33</v>
      </c>
      <c r="R148" s="38"/>
      <c r="S148" s="12"/>
      <c r="T148" s="13"/>
    </row>
    <row r="149" spans="1:20" s="3" customFormat="1" ht="30" hidden="1"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772</v>
      </c>
      <c r="H149" s="2"/>
      <c r="I149" s="8"/>
      <c r="J149" s="2"/>
      <c r="K149" s="8"/>
      <c r="L149" s="2"/>
      <c r="M149" s="8"/>
      <c r="N149" s="13"/>
      <c r="O149" s="13">
        <v>4387242.284880586</v>
      </c>
      <c r="P149" s="14">
        <f t="shared" si="17"/>
        <v>-4387242.284880586</v>
      </c>
      <c r="Q149" s="2" t="s">
        <v>33</v>
      </c>
      <c r="R149" s="38"/>
      <c r="S149" s="12"/>
      <c r="T149" s="13"/>
    </row>
    <row r="150" spans="1:20" s="3" customFormat="1" ht="30" hidden="1"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773</v>
      </c>
      <c r="H150" s="2"/>
      <c r="I150" s="8"/>
      <c r="J150" s="2"/>
      <c r="K150" s="8"/>
      <c r="L150" s="2"/>
      <c r="M150" s="8"/>
      <c r="N150" s="13">
        <v>315183</v>
      </c>
      <c r="O150" s="13"/>
      <c r="P150" s="14">
        <f t="shared" si="17"/>
        <v>315183</v>
      </c>
      <c r="Q150" s="2" t="s">
        <v>33</v>
      </c>
      <c r="R150" s="38"/>
      <c r="S150" s="12"/>
      <c r="T150" s="13"/>
    </row>
    <row r="151" spans="1:20" s="3" customFormat="1" ht="30" hidden="1"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773</v>
      </c>
      <c r="H151" s="2"/>
      <c r="I151" s="8"/>
      <c r="J151" s="2"/>
      <c r="K151" s="8"/>
      <c r="L151" s="2"/>
      <c r="M151" s="8"/>
      <c r="N151" s="13">
        <v>315183</v>
      </c>
      <c r="O151" s="13"/>
      <c r="P151" s="14">
        <f t="shared" si="17"/>
        <v>315183</v>
      </c>
      <c r="Q151" s="2" t="s">
        <v>33</v>
      </c>
      <c r="R151" s="38"/>
      <c r="S151" s="12"/>
      <c r="T151" s="13"/>
    </row>
    <row r="152" spans="1:20" s="3" customFormat="1" ht="30" hidden="1"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773</v>
      </c>
      <c r="H152" s="2"/>
      <c r="I152" s="8"/>
      <c r="J152" s="2"/>
      <c r="K152" s="8"/>
      <c r="L152" s="2"/>
      <c r="M152" s="8"/>
      <c r="N152" s="13">
        <v>315183</v>
      </c>
      <c r="O152" s="13"/>
      <c r="P152" s="14">
        <f t="shared" si="17"/>
        <v>315183</v>
      </c>
      <c r="Q152" s="2" t="s">
        <v>33</v>
      </c>
      <c r="R152" s="38"/>
      <c r="S152" s="12"/>
      <c r="T152" s="13"/>
    </row>
    <row r="153" spans="1:20" s="3" customFormat="1" ht="30" hidden="1"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773</v>
      </c>
      <c r="H153" s="2"/>
      <c r="I153" s="8"/>
      <c r="J153" s="2"/>
      <c r="K153" s="8"/>
      <c r="L153" s="2"/>
      <c r="M153" s="8"/>
      <c r="N153" s="13">
        <v>548418</v>
      </c>
      <c r="O153" s="13"/>
      <c r="P153" s="14">
        <f t="shared" si="17"/>
        <v>548418</v>
      </c>
      <c r="Q153" s="2" t="s">
        <v>33</v>
      </c>
      <c r="R153" s="38"/>
      <c r="S153" s="12"/>
      <c r="T153" s="13"/>
    </row>
    <row r="154" spans="1:20" s="3" customFormat="1" ht="30" hidden="1"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773</v>
      </c>
      <c r="H154" s="2"/>
      <c r="I154" s="8"/>
      <c r="J154" s="2"/>
      <c r="K154" s="8"/>
      <c r="L154" s="2"/>
      <c r="M154" s="8"/>
      <c r="N154" s="13">
        <v>1014081</v>
      </c>
      <c r="O154" s="13"/>
      <c r="P154" s="14">
        <f t="shared" si="17"/>
        <v>1014081</v>
      </c>
      <c r="Q154" s="2" t="s">
        <v>33</v>
      </c>
      <c r="R154" s="38"/>
      <c r="S154" s="12"/>
      <c r="T154" s="13"/>
    </row>
    <row r="155" spans="1:20" s="3" customFormat="1" ht="45" hidden="1"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hidden="1"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771</v>
      </c>
      <c r="H156" s="59"/>
      <c r="I156" s="60"/>
      <c r="J156" s="59"/>
      <c r="K156" s="60"/>
      <c r="L156" s="59"/>
      <c r="M156" s="60"/>
      <c r="N156" s="61">
        <v>100000</v>
      </c>
      <c r="O156" s="13"/>
      <c r="P156" s="61">
        <f t="shared" si="18"/>
        <v>100000</v>
      </c>
      <c r="Q156" s="55" t="s">
        <v>33</v>
      </c>
      <c r="R156" s="39"/>
      <c r="S156" s="62"/>
      <c r="T156" s="61"/>
    </row>
    <row r="157" spans="1:20" s="3" customFormat="1" ht="30" hidden="1"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771</v>
      </c>
      <c r="H157" s="59"/>
      <c r="I157" s="60"/>
      <c r="J157" s="59"/>
      <c r="K157" s="60"/>
      <c r="L157" s="59"/>
      <c r="M157" s="60"/>
      <c r="N157" s="61">
        <v>100000</v>
      </c>
      <c r="O157" s="13"/>
      <c r="P157" s="61">
        <f>N157-O157</f>
        <v>100000</v>
      </c>
      <c r="Q157" s="55" t="s">
        <v>33</v>
      </c>
      <c r="R157" s="39"/>
      <c r="S157" s="62"/>
      <c r="T157" s="61"/>
    </row>
    <row r="158" spans="1:20" s="3" customFormat="1" ht="30" hidden="1"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771</v>
      </c>
      <c r="H158" s="59"/>
      <c r="I158" s="60"/>
      <c r="J158" s="59"/>
      <c r="K158" s="60"/>
      <c r="L158" s="59"/>
      <c r="M158" s="60"/>
      <c r="N158" s="61">
        <v>100000</v>
      </c>
      <c r="O158" s="13"/>
      <c r="P158" s="61">
        <f>N158-O158</f>
        <v>100000</v>
      </c>
      <c r="Q158" s="55" t="s">
        <v>33</v>
      </c>
      <c r="R158" s="39"/>
      <c r="S158" s="62"/>
      <c r="T158" s="61"/>
    </row>
    <row r="159" spans="1:20" s="3" customFormat="1" ht="45" hidden="1"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704</v>
      </c>
      <c r="H159" s="59"/>
      <c r="I159" s="60"/>
      <c r="J159" s="59"/>
      <c r="K159" s="60"/>
      <c r="L159" s="59"/>
      <c r="M159" s="60"/>
      <c r="N159" s="61"/>
      <c r="O159" s="13">
        <v>428212</v>
      </c>
      <c r="P159" s="61">
        <f t="shared" si="18"/>
        <v>-428212</v>
      </c>
      <c r="Q159" s="55" t="s">
        <v>33</v>
      </c>
      <c r="R159" s="39"/>
      <c r="S159" s="62"/>
      <c r="T159" s="61"/>
    </row>
    <row r="160" spans="1:20" s="3" customFormat="1" ht="45" hidden="1"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704</v>
      </c>
      <c r="H160" s="59"/>
      <c r="I160" s="60"/>
      <c r="J160" s="59"/>
      <c r="K160" s="60"/>
      <c r="L160" s="59"/>
      <c r="M160" s="60"/>
      <c r="N160" s="61"/>
      <c r="O160" s="13">
        <v>308901</v>
      </c>
      <c r="P160" s="61">
        <f t="shared" si="18"/>
        <v>-308901</v>
      </c>
      <c r="Q160" s="55" t="s">
        <v>33</v>
      </c>
      <c r="R160" s="39"/>
      <c r="S160" s="62"/>
      <c r="T160" s="61"/>
    </row>
    <row r="161" spans="1:20" s="3" customFormat="1" ht="45" hidden="1"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704</v>
      </c>
      <c r="H161" s="59"/>
      <c r="I161" s="60"/>
      <c r="J161" s="59"/>
      <c r="K161" s="60"/>
      <c r="L161" s="59"/>
      <c r="M161" s="60"/>
      <c r="N161" s="61"/>
      <c r="O161" s="13">
        <v>200000</v>
      </c>
      <c r="P161" s="61">
        <f t="shared" si="18"/>
        <v>-200000</v>
      </c>
      <c r="Q161" s="55" t="s">
        <v>33</v>
      </c>
      <c r="R161" s="39"/>
      <c r="S161" s="62"/>
      <c r="T161" s="61"/>
    </row>
    <row r="162" spans="1:20" s="3" customFormat="1" ht="45" hidden="1"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704</v>
      </c>
      <c r="H162" s="59"/>
      <c r="I162" s="60"/>
      <c r="J162" s="59"/>
      <c r="K162" s="60"/>
      <c r="L162" s="59"/>
      <c r="M162" s="60"/>
      <c r="N162" s="61">
        <v>937113</v>
      </c>
      <c r="O162" s="13"/>
      <c r="P162" s="61">
        <f t="shared" si="18"/>
        <v>937113</v>
      </c>
      <c r="Q162" s="55" t="s">
        <v>33</v>
      </c>
      <c r="R162" s="39"/>
      <c r="S162" s="62"/>
      <c r="T162" s="61"/>
    </row>
    <row r="163" spans="1:20" s="3" customFormat="1" ht="45" hidden="1"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707</v>
      </c>
      <c r="H163" s="59"/>
      <c r="I163" s="60"/>
      <c r="J163" s="59"/>
      <c r="K163" s="60"/>
      <c r="L163" s="59"/>
      <c r="M163" s="60"/>
      <c r="N163" s="61">
        <v>819101.61422576534</v>
      </c>
      <c r="O163" s="13"/>
      <c r="P163" s="61">
        <f t="shared" si="18"/>
        <v>819101.61422576534</v>
      </c>
      <c r="Q163" s="55" t="s">
        <v>33</v>
      </c>
      <c r="R163" s="39"/>
      <c r="S163" s="62"/>
      <c r="T163" s="61"/>
    </row>
    <row r="164" spans="1:20" s="3" customFormat="1" ht="45" hidden="1"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707</v>
      </c>
      <c r="H164" s="59"/>
      <c r="I164" s="60"/>
      <c r="J164" s="59"/>
      <c r="K164" s="60"/>
      <c r="L164" s="59"/>
      <c r="M164" s="60"/>
      <c r="N164" s="61">
        <v>875082.97485841927</v>
      </c>
      <c r="O164" s="13"/>
      <c r="P164" s="61">
        <f t="shared" si="18"/>
        <v>875082.97485841927</v>
      </c>
      <c r="Q164" s="55" t="s">
        <v>33</v>
      </c>
      <c r="R164" s="39"/>
      <c r="S164" s="62"/>
      <c r="T164" s="61"/>
    </row>
    <row r="165" spans="1:20" s="3" customFormat="1" ht="45" hidden="1"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707</v>
      </c>
      <c r="H165" s="59"/>
      <c r="I165" s="60"/>
      <c r="J165" s="59"/>
      <c r="K165" s="60"/>
      <c r="L165" s="59"/>
      <c r="M165" s="60"/>
      <c r="N165" s="61">
        <v>667915.4109158155</v>
      </c>
      <c r="O165" s="13"/>
      <c r="P165" s="61">
        <f t="shared" si="18"/>
        <v>667915.4109158155</v>
      </c>
      <c r="Q165" s="55" t="s">
        <v>33</v>
      </c>
      <c r="R165" s="39"/>
      <c r="S165" s="62"/>
      <c r="T165" s="61"/>
    </row>
    <row r="166" spans="1:20" s="3" customFormat="1" ht="30" hidden="1" outlineLevel="1" x14ac:dyDescent="0.25">
      <c r="A166" s="53">
        <f>ROW(DIARIO[[#This Row],[Nombre de Cuenta]])-1</f>
        <v>165</v>
      </c>
      <c r="B166" s="55"/>
      <c r="C166" s="56" t="s">
        <v>719</v>
      </c>
      <c r="D166" s="57">
        <f>VLOOKUP(C166,CATALOGO[],2,FALSE)</f>
        <v>68</v>
      </c>
      <c r="E166" s="58" t="str">
        <f>VLOOKUP(DIARIO[[#This Row],[Objeto de Gasto]],CATALOGO[],3,FALSE)</f>
        <v>42510 Equipo de Comunicación</v>
      </c>
      <c r="F166" s="59"/>
      <c r="G166" s="62" t="s">
        <v>720</v>
      </c>
      <c r="H166" s="59"/>
      <c r="I166" s="60"/>
      <c r="J166" s="59"/>
      <c r="K166" s="60"/>
      <c r="L166" s="59"/>
      <c r="M166" s="60"/>
      <c r="N166" s="61">
        <v>300000</v>
      </c>
      <c r="O166" s="13"/>
      <c r="P166" s="61">
        <f t="shared" ref="P166:P173" si="19">N166-O166</f>
        <v>300000</v>
      </c>
      <c r="Q166" s="55" t="s">
        <v>33</v>
      </c>
      <c r="R166" s="39"/>
      <c r="S166" s="62"/>
      <c r="T166" s="61"/>
    </row>
    <row r="167" spans="1:20" s="3" customFormat="1" ht="30" hidden="1"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720</v>
      </c>
      <c r="H167" s="59"/>
      <c r="I167" s="60"/>
      <c r="J167" s="59"/>
      <c r="K167" s="60"/>
      <c r="L167" s="59"/>
      <c r="M167" s="60"/>
      <c r="N167" s="61"/>
      <c r="O167" s="13">
        <v>300000</v>
      </c>
      <c r="P167" s="61">
        <f t="shared" si="19"/>
        <v>-300000</v>
      </c>
      <c r="Q167" s="55" t="s">
        <v>33</v>
      </c>
      <c r="R167" s="39"/>
      <c r="S167" s="62"/>
      <c r="T167" s="61"/>
    </row>
    <row r="168" spans="1:20" s="3" customFormat="1" hidden="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773</v>
      </c>
      <c r="H168" s="59"/>
      <c r="I168" s="60"/>
      <c r="J168" s="59"/>
      <c r="K168" s="60"/>
      <c r="L168" s="59"/>
      <c r="M168" s="60"/>
      <c r="N168" s="61">
        <v>2478</v>
      </c>
      <c r="O168" s="13"/>
      <c r="P168" s="61">
        <f>N168-O168</f>
        <v>2478</v>
      </c>
      <c r="Q168" s="55" t="s">
        <v>33</v>
      </c>
      <c r="R168" s="39"/>
      <c r="S168" s="62"/>
      <c r="T168" s="61"/>
    </row>
    <row r="169" spans="1:20" s="3" customFormat="1" ht="45" hidden="1"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758</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hidden="1"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759</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hidden="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hidden="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hidden="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hidden="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hidden="1" collapsed="1"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hidden="1"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hidden="1"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hidden="1"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hidden="1"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hidden="1"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hidden="1"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hidden="1"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hidden="1"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hidden="1"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hidden="1"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hidden="1"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hidden="1"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hidden="1"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hidden="1"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hidden="1"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660</v>
      </c>
      <c r="T190" s="31"/>
    </row>
    <row r="191" spans="1:25" ht="90" hidden="1"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713</v>
      </c>
    </row>
    <row r="192" spans="1:25" ht="30" hidden="1"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hidden="1"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hidden="1"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676</v>
      </c>
      <c r="K194" s="9">
        <v>45404</v>
      </c>
      <c r="L194" s="1"/>
      <c r="M194" s="9"/>
      <c r="O194" s="22">
        <v>896998</v>
      </c>
      <c r="P194" s="4">
        <f t="shared" si="23"/>
        <v>-896998</v>
      </c>
      <c r="Q194" s="23" t="s">
        <v>14</v>
      </c>
      <c r="R194" s="39"/>
      <c r="S194" s="6" t="s">
        <v>751</v>
      </c>
    </row>
    <row r="195" spans="1:20" ht="60" hidden="1"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hidden="1"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hidden="1"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hidden="1"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hidden="1"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724</v>
      </c>
    </row>
    <row r="200" spans="1:20" ht="45" hidden="1"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hidden="1"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657</v>
      </c>
      <c r="K201" s="9">
        <v>45358</v>
      </c>
      <c r="L201" s="1"/>
      <c r="M201" s="9"/>
      <c r="O201" s="22">
        <v>2657500</v>
      </c>
      <c r="P201" s="4">
        <v>-2657500</v>
      </c>
      <c r="Q201" s="23" t="s">
        <v>14</v>
      </c>
      <c r="R201" s="39" t="s">
        <v>625</v>
      </c>
      <c r="S201" s="6" t="s">
        <v>658</v>
      </c>
    </row>
    <row r="202" spans="1:20" ht="45" hidden="1"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hidden="1"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hidden="1"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hidden="1"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hidden="1"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669</v>
      </c>
      <c r="S206" s="6"/>
      <c r="T206" s="22">
        <v>118910</v>
      </c>
    </row>
    <row r="207" spans="1:20" ht="45" hidden="1"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hidden="1"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hidden="1"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657</v>
      </c>
      <c r="K209" s="9">
        <v>45358</v>
      </c>
      <c r="L209" s="1"/>
      <c r="M209" s="9"/>
      <c r="O209" s="22">
        <v>0</v>
      </c>
      <c r="P209" s="4">
        <f t="shared" ref="P209:P219" si="25">N209-O209</f>
        <v>0</v>
      </c>
      <c r="Q209" s="23" t="s">
        <v>14</v>
      </c>
      <c r="R209" s="39" t="s">
        <v>625</v>
      </c>
      <c r="S209" s="6" t="s">
        <v>659</v>
      </c>
    </row>
    <row r="210" spans="1:20" ht="45" hidden="1"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657</v>
      </c>
      <c r="K210" s="9">
        <v>45358</v>
      </c>
      <c r="L210" s="1"/>
      <c r="M210" s="9"/>
      <c r="O210" s="22">
        <v>1331518</v>
      </c>
      <c r="P210" s="4">
        <f t="shared" si="25"/>
        <v>-1331518</v>
      </c>
      <c r="Q210" s="23" t="s">
        <v>14</v>
      </c>
      <c r="R210" s="39" t="s">
        <v>625</v>
      </c>
      <c r="S210" s="6" t="s">
        <v>659</v>
      </c>
    </row>
    <row r="211" spans="1:20" ht="30" hidden="1"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657</v>
      </c>
      <c r="K211" s="9">
        <v>45358</v>
      </c>
      <c r="L211" s="1"/>
      <c r="M211" s="9"/>
      <c r="O211" s="22">
        <v>1950000</v>
      </c>
      <c r="P211" s="4">
        <f t="shared" si="25"/>
        <v>-1950000</v>
      </c>
      <c r="Q211" s="23" t="s">
        <v>14</v>
      </c>
      <c r="R211" s="39" t="s">
        <v>625</v>
      </c>
      <c r="S211" s="6" t="s">
        <v>658</v>
      </c>
    </row>
    <row r="212" spans="1:20" ht="60" hidden="1"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682</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hidden="1"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676</v>
      </c>
      <c r="K213" s="9">
        <v>45404</v>
      </c>
      <c r="L213" s="1"/>
      <c r="M213" s="9"/>
      <c r="O213" s="22">
        <v>0</v>
      </c>
      <c r="P213" s="4">
        <f t="shared" si="25"/>
        <v>0</v>
      </c>
      <c r="Q213" s="23" t="s">
        <v>14</v>
      </c>
      <c r="R213" s="39"/>
      <c r="S213" s="6" t="s">
        <v>482</v>
      </c>
    </row>
    <row r="214" spans="1:20" ht="240" hidden="1"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hidden="1"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hidden="1"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hidden="1"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654</v>
      </c>
      <c r="K218" s="9">
        <v>45404</v>
      </c>
      <c r="L218" s="1"/>
      <c r="M218" s="9"/>
      <c r="O218" s="22">
        <v>200000</v>
      </c>
      <c r="P218" s="4">
        <f t="shared" si="25"/>
        <v>-200000</v>
      </c>
      <c r="Q218" s="23" t="s">
        <v>14</v>
      </c>
      <c r="R218" s="39" t="s">
        <v>769</v>
      </c>
      <c r="S218" s="6"/>
    </row>
    <row r="219" spans="1:20" hidden="1"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hidden="1"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770</v>
      </c>
      <c r="S220" s="6"/>
    </row>
    <row r="221" spans="1:20" ht="45" hidden="1"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770</v>
      </c>
      <c r="S221" s="6"/>
    </row>
    <row r="222" spans="1:20" ht="45" hidden="1"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770</v>
      </c>
      <c r="S222" s="6"/>
    </row>
    <row r="223" spans="1:20" ht="30" hidden="1"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661</v>
      </c>
      <c r="K223" s="9">
        <v>45370</v>
      </c>
      <c r="L223" s="1"/>
      <c r="M223" s="9"/>
      <c r="O223" s="22">
        <v>0</v>
      </c>
      <c r="P223" s="4">
        <f t="shared" si="26"/>
        <v>0</v>
      </c>
      <c r="Q223" s="23" t="s">
        <v>22</v>
      </c>
      <c r="R223" s="39"/>
      <c r="S223" s="6" t="s">
        <v>662</v>
      </c>
    </row>
    <row r="224" spans="1:20" ht="45" hidden="1"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734</v>
      </c>
    </row>
    <row r="225" spans="1:19" ht="30" hidden="1"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734</v>
      </c>
    </row>
    <row r="226" spans="1:19" ht="30" hidden="1"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hidden="1"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hidden="1"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hidden="1"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631</v>
      </c>
    </row>
    <row r="230" spans="1:19" ht="30" hidden="1"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626</v>
      </c>
      <c r="K230" s="9">
        <v>45386</v>
      </c>
      <c r="L230" s="1"/>
      <c r="M230" s="9"/>
      <c r="O230" s="22">
        <f>77683+30779.75+44239.08+25536.74+49416.3</f>
        <v>227654.87</v>
      </c>
      <c r="P230" s="4">
        <f>N230-O230</f>
        <v>-227654.87</v>
      </c>
      <c r="Q230" s="23" t="s">
        <v>18</v>
      </c>
      <c r="R230" s="39"/>
      <c r="S230" s="6"/>
    </row>
    <row r="231" spans="1:19" ht="30" hidden="1"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hidden="1"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629</v>
      </c>
      <c r="H232" s="1" t="s">
        <v>627</v>
      </c>
      <c r="I232" s="9">
        <v>45386</v>
      </c>
      <c r="J232" s="1" t="s">
        <v>652</v>
      </c>
      <c r="K232" s="9">
        <v>45390</v>
      </c>
      <c r="L232" s="1"/>
      <c r="M232" s="9"/>
      <c r="O232" s="22">
        <v>688200</v>
      </c>
      <c r="P232" s="4">
        <f t="shared" ref="P232:P233" si="27">N232-O232</f>
        <v>-688200</v>
      </c>
      <c r="Q232" s="23" t="s">
        <v>26</v>
      </c>
      <c r="R232" s="39"/>
      <c r="S232" s="6" t="s">
        <v>757</v>
      </c>
    </row>
    <row r="233" spans="1:19" ht="30" hidden="1"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630</v>
      </c>
      <c r="H233" s="1" t="s">
        <v>628</v>
      </c>
      <c r="I233" s="9">
        <v>45386</v>
      </c>
      <c r="J233" s="1"/>
      <c r="K233" s="9"/>
      <c r="L233" s="1"/>
      <c r="M233" s="9"/>
      <c r="O233" s="22">
        <v>0</v>
      </c>
      <c r="P233" s="4">
        <f t="shared" si="27"/>
        <v>0</v>
      </c>
      <c r="Q233" s="23" t="s">
        <v>10</v>
      </c>
      <c r="R233" s="39"/>
      <c r="S233" s="6" t="s">
        <v>632</v>
      </c>
    </row>
    <row r="234" spans="1:19" ht="90" hidden="1"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633</v>
      </c>
      <c r="H234" s="1" t="s">
        <v>634</v>
      </c>
      <c r="I234" s="9">
        <v>45386</v>
      </c>
      <c r="J234" s="1" t="s">
        <v>650</v>
      </c>
      <c r="K234" s="9">
        <v>45394</v>
      </c>
      <c r="L234" s="1"/>
      <c r="M234" s="9"/>
      <c r="O234" s="22">
        <v>0</v>
      </c>
      <c r="P234" s="4">
        <f t="shared" ref="P234:P239" si="28">N234-O234</f>
        <v>0</v>
      </c>
      <c r="Q234" s="23" t="s">
        <v>14</v>
      </c>
      <c r="R234" s="39"/>
      <c r="S234" s="6" t="s">
        <v>762</v>
      </c>
    </row>
    <row r="235" spans="1:19" hidden="1"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635</v>
      </c>
      <c r="H235" s="1" t="s">
        <v>636</v>
      </c>
      <c r="I235" s="9">
        <v>45391</v>
      </c>
      <c r="J235" s="1" t="s">
        <v>650</v>
      </c>
      <c r="K235" s="9">
        <v>45394</v>
      </c>
      <c r="L235" s="1"/>
      <c r="M235" s="9"/>
      <c r="O235" s="22">
        <v>0</v>
      </c>
      <c r="P235" s="4">
        <f t="shared" si="28"/>
        <v>0</v>
      </c>
      <c r="Q235" s="23" t="s">
        <v>14</v>
      </c>
      <c r="R235" s="39"/>
      <c r="S235" s="6" t="s">
        <v>762</v>
      </c>
    </row>
    <row r="236" spans="1:19" hidden="1"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637</v>
      </c>
      <c r="H236" s="1" t="s">
        <v>638</v>
      </c>
      <c r="I236" s="9">
        <v>45391</v>
      </c>
      <c r="J236" s="1" t="s">
        <v>651</v>
      </c>
      <c r="K236" s="9">
        <v>45394</v>
      </c>
      <c r="L236" s="1"/>
      <c r="M236" s="9"/>
      <c r="O236" s="22">
        <f>4618.6+3860+1183</f>
        <v>9661.6</v>
      </c>
      <c r="P236" s="4">
        <f t="shared" si="28"/>
        <v>-9661.6</v>
      </c>
      <c r="Q236" s="23" t="s">
        <v>18</v>
      </c>
      <c r="R236" s="39"/>
      <c r="S236" s="6"/>
    </row>
    <row r="237" spans="1:19" ht="30"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639</v>
      </c>
      <c r="H237" s="1" t="s">
        <v>640</v>
      </c>
      <c r="I237" s="9">
        <v>45391</v>
      </c>
      <c r="J237" s="1" t="s">
        <v>654</v>
      </c>
      <c r="K237" s="9">
        <v>45404</v>
      </c>
      <c r="L237" s="1"/>
      <c r="M237" s="9"/>
      <c r="O237" s="22">
        <v>100000</v>
      </c>
      <c r="P237" s="4">
        <f t="shared" si="28"/>
        <v>-100000</v>
      </c>
      <c r="Q237" s="23" t="s">
        <v>14</v>
      </c>
      <c r="R237" s="39" t="s">
        <v>769</v>
      </c>
      <c r="S237" s="6"/>
    </row>
    <row r="238" spans="1:19" ht="30" hidden="1"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641</v>
      </c>
      <c r="H238" s="1" t="s">
        <v>642</v>
      </c>
      <c r="I238" s="9">
        <v>45387</v>
      </c>
      <c r="J238" s="1" t="s">
        <v>721</v>
      </c>
      <c r="K238" s="9">
        <v>45422</v>
      </c>
      <c r="L238" s="1"/>
      <c r="M238" s="9"/>
      <c r="O238" s="22"/>
      <c r="P238" s="4">
        <f t="shared" si="28"/>
        <v>0</v>
      </c>
      <c r="Q238" s="23" t="s">
        <v>10</v>
      </c>
      <c r="R238" s="39"/>
      <c r="S238" s="6" t="s">
        <v>643</v>
      </c>
    </row>
    <row r="239" spans="1:19" ht="30" hidden="1"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644</v>
      </c>
      <c r="H239" s="1" t="s">
        <v>655</v>
      </c>
      <c r="I239" s="9">
        <v>45393</v>
      </c>
      <c r="J239" s="1" t="s">
        <v>656</v>
      </c>
      <c r="K239" s="9">
        <v>45397</v>
      </c>
      <c r="L239" s="1"/>
      <c r="M239" s="9"/>
      <c r="O239" s="22">
        <v>1950</v>
      </c>
      <c r="P239" s="4">
        <f t="shared" si="28"/>
        <v>-1950</v>
      </c>
      <c r="Q239" s="55" t="s">
        <v>18</v>
      </c>
      <c r="R239" s="39"/>
      <c r="S239" s="6"/>
    </row>
    <row r="240" spans="1:19" hidden="1"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645</v>
      </c>
      <c r="H240" s="1" t="s">
        <v>646</v>
      </c>
      <c r="I240" s="9">
        <v>45393</v>
      </c>
      <c r="J240" s="1"/>
      <c r="K240" s="9"/>
      <c r="L240" s="1"/>
      <c r="M240" s="9"/>
      <c r="O240" s="22">
        <v>48000</v>
      </c>
      <c r="P240" s="4">
        <f t="shared" ref="P240" si="29">N240-O240</f>
        <v>-48000</v>
      </c>
      <c r="Q240" s="23" t="s">
        <v>10</v>
      </c>
      <c r="R240" s="39"/>
      <c r="S240" s="6" t="s">
        <v>683</v>
      </c>
    </row>
    <row r="241" spans="1:20" ht="30" hidden="1"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647</v>
      </c>
      <c r="H241" s="1" t="s">
        <v>648</v>
      </c>
      <c r="I241" s="9">
        <v>45393</v>
      </c>
      <c r="J241" s="1" t="s">
        <v>668</v>
      </c>
      <c r="K241" s="9">
        <v>45394</v>
      </c>
      <c r="L241" s="1"/>
      <c r="M241" s="9"/>
      <c r="O241" s="22">
        <v>0</v>
      </c>
      <c r="P241" s="4">
        <f t="shared" ref="P241:P246" si="30">N241-O241</f>
        <v>0</v>
      </c>
      <c r="Q241" s="23" t="s">
        <v>14</v>
      </c>
      <c r="R241" s="39"/>
      <c r="S241" s="6" t="s">
        <v>649</v>
      </c>
    </row>
    <row r="242" spans="1:20" ht="45" hidden="1"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665</v>
      </c>
      <c r="H242" s="1" t="s">
        <v>666</v>
      </c>
      <c r="I242" s="9" t="s">
        <v>667</v>
      </c>
      <c r="J242" s="1" t="s">
        <v>682</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hidden="1"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674</v>
      </c>
      <c r="H243" s="1" t="s">
        <v>670</v>
      </c>
      <c r="I243" s="9">
        <v>45400</v>
      </c>
      <c r="J243" s="1" t="s">
        <v>672</v>
      </c>
      <c r="K243" s="9">
        <v>45400</v>
      </c>
      <c r="L243" s="1"/>
      <c r="M243" s="9"/>
      <c r="O243" s="22">
        <v>4098337.95</v>
      </c>
      <c r="P243" s="4">
        <f t="shared" si="30"/>
        <v>-4098337.95</v>
      </c>
      <c r="Q243" s="55" t="s">
        <v>18</v>
      </c>
      <c r="R243" s="39"/>
      <c r="S243" s="6" t="s">
        <v>726</v>
      </c>
      <c r="T243" s="4">
        <v>4098337.95</v>
      </c>
    </row>
    <row r="244" spans="1:20" ht="60" hidden="1"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675</v>
      </c>
      <c r="H244" s="1" t="s">
        <v>671</v>
      </c>
      <c r="I244" s="9">
        <v>45400</v>
      </c>
      <c r="J244" s="1" t="s">
        <v>673</v>
      </c>
      <c r="K244" s="9">
        <v>45400</v>
      </c>
      <c r="L244" s="1"/>
      <c r="M244" s="9"/>
      <c r="O244" s="22">
        <v>4906493.63</v>
      </c>
      <c r="P244" s="4">
        <f t="shared" si="30"/>
        <v>-4906493.63</v>
      </c>
      <c r="Q244" s="23" t="s">
        <v>18</v>
      </c>
      <c r="R244" s="39"/>
      <c r="S244" s="6" t="s">
        <v>725</v>
      </c>
      <c r="T244" s="4">
        <f>4909480.89-2987.26</f>
        <v>4906493.63</v>
      </c>
    </row>
    <row r="245" spans="1:20" ht="75" hidden="1"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678</v>
      </c>
      <c r="H245" s="1" t="s">
        <v>677</v>
      </c>
      <c r="I245" s="9">
        <v>45400</v>
      </c>
      <c r="J245" s="1" t="s">
        <v>679</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751</v>
      </c>
    </row>
    <row r="246" spans="1:20" ht="75" hidden="1"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681</v>
      </c>
      <c r="H246" s="1" t="s">
        <v>680</v>
      </c>
      <c r="I246" s="9">
        <v>45400</v>
      </c>
      <c r="J246" s="1" t="s">
        <v>679</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751</v>
      </c>
    </row>
    <row r="247" spans="1:20" hidden="1"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645</v>
      </c>
      <c r="H247" s="1" t="s">
        <v>646</v>
      </c>
      <c r="I247" s="9">
        <v>45406</v>
      </c>
      <c r="J247" s="1" t="s">
        <v>684</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hidden="1"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695</v>
      </c>
      <c r="G248" s="6" t="s">
        <v>494</v>
      </c>
      <c r="H248" s="1" t="s">
        <v>685</v>
      </c>
      <c r="I248" s="9">
        <v>45406</v>
      </c>
      <c r="J248" s="1" t="s">
        <v>688</v>
      </c>
      <c r="K248" s="9">
        <v>45411</v>
      </c>
      <c r="L248" s="1"/>
      <c r="M248" s="9"/>
      <c r="O248" s="22">
        <v>0</v>
      </c>
      <c r="P248" s="4">
        <f>N248-O248</f>
        <v>0</v>
      </c>
      <c r="Q248" s="23" t="s">
        <v>14</v>
      </c>
      <c r="R248" s="39"/>
      <c r="S248" s="6" t="s">
        <v>687</v>
      </c>
    </row>
    <row r="249" spans="1:20" ht="45" hidden="1"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686</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683</v>
      </c>
      <c r="T249" s="31"/>
    </row>
    <row r="250" spans="1:20" ht="165" hidden="1"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695</v>
      </c>
      <c r="G250" s="6" t="s">
        <v>689</v>
      </c>
      <c r="H250" s="1" t="s">
        <v>690</v>
      </c>
      <c r="I250" s="9">
        <v>45407</v>
      </c>
      <c r="J250" s="1" t="s">
        <v>705</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691</v>
      </c>
    </row>
    <row r="251" spans="1:20" ht="165" hidden="1"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695</v>
      </c>
      <c r="G251" s="6" t="s">
        <v>689</v>
      </c>
      <c r="H251" s="1" t="s">
        <v>690</v>
      </c>
      <c r="I251" s="9">
        <v>45407</v>
      </c>
      <c r="J251" s="1" t="s">
        <v>705</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691</v>
      </c>
    </row>
    <row r="252" spans="1:20" ht="165" hidden="1"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695</v>
      </c>
      <c r="G252" s="6" t="s">
        <v>689</v>
      </c>
      <c r="H252" s="1" t="s">
        <v>690</v>
      </c>
      <c r="I252" s="9">
        <v>45407</v>
      </c>
      <c r="J252" s="1" t="s">
        <v>705</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691</v>
      </c>
    </row>
    <row r="253" spans="1:20" ht="90" hidden="1"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695</v>
      </c>
      <c r="G253" s="6" t="s">
        <v>693</v>
      </c>
      <c r="H253" s="1" t="s">
        <v>692</v>
      </c>
      <c r="I253" s="9">
        <v>45407</v>
      </c>
      <c r="J253" s="1" t="s">
        <v>706</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694</v>
      </c>
    </row>
    <row r="254" spans="1:20" ht="90" hidden="1"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695</v>
      </c>
      <c r="G254" s="6" t="s">
        <v>693</v>
      </c>
      <c r="H254" s="1" t="s">
        <v>692</v>
      </c>
      <c r="I254" s="9">
        <v>45407</v>
      </c>
      <c r="J254" s="1" t="s">
        <v>706</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694</v>
      </c>
    </row>
    <row r="255" spans="1:20" ht="90" hidden="1"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695</v>
      </c>
      <c r="G255" s="6" t="s">
        <v>693</v>
      </c>
      <c r="H255" s="1" t="s">
        <v>692</v>
      </c>
      <c r="I255" s="9">
        <v>45407</v>
      </c>
      <c r="J255" s="1" t="s">
        <v>706</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694</v>
      </c>
    </row>
    <row r="256" spans="1:20" ht="45" hidden="1" x14ac:dyDescent="0.25">
      <c r="A256" s="53">
        <f>ROW(DIARIO[[#This Row],[Nombre de Cuenta]])-$A$174-1</f>
        <v>82</v>
      </c>
      <c r="B256" s="23" t="s">
        <v>21</v>
      </c>
      <c r="C256" s="34" t="s">
        <v>409</v>
      </c>
      <c r="D256" s="7">
        <f>VLOOKUP(C256,CATALOGO[],2,FALSE)</f>
        <v>37</v>
      </c>
      <c r="E256" s="36" t="str">
        <f>VLOOKUP(DIARIO[[#This Row],[Objeto de Gasto]],CATALOGO[],3,FALSE)</f>
        <v>35251 Reactivos</v>
      </c>
      <c r="F256" s="1" t="s">
        <v>695</v>
      </c>
      <c r="G256" s="6" t="s">
        <v>697</v>
      </c>
      <c r="H256" s="1" t="s">
        <v>696</v>
      </c>
      <c r="I256" s="9">
        <v>45406</v>
      </c>
      <c r="J256" s="1" t="s">
        <v>699</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700</v>
      </c>
    </row>
    <row r="257" spans="1:19" ht="45" hidden="1" x14ac:dyDescent="0.25">
      <c r="A257" s="53">
        <f>ROW(DIARIO[[#This Row],[Nombre de Cuenta]])-$A$174-1</f>
        <v>83</v>
      </c>
      <c r="B257" s="23" t="s">
        <v>21</v>
      </c>
      <c r="C257" s="34" t="s">
        <v>212</v>
      </c>
      <c r="D257" s="7">
        <f>VLOOKUP(C257,CATALOGO[],2,FALSE)</f>
        <v>37</v>
      </c>
      <c r="E257" s="36" t="str">
        <f>VLOOKUP(DIARIO[[#This Row],[Objeto de Gasto]],CATALOGO[],3,FALSE)</f>
        <v>35251 Reactivos</v>
      </c>
      <c r="F257" s="1" t="s">
        <v>695</v>
      </c>
      <c r="G257" s="6" t="s">
        <v>698</v>
      </c>
      <c r="H257" s="1" t="s">
        <v>696</v>
      </c>
      <c r="I257" s="9">
        <v>45406</v>
      </c>
      <c r="J257" s="1" t="s">
        <v>699</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700</v>
      </c>
    </row>
    <row r="258" spans="1:19" ht="60" hidden="1"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695</v>
      </c>
      <c r="G258" s="6" t="s">
        <v>702</v>
      </c>
      <c r="H258" s="1" t="s">
        <v>701</v>
      </c>
      <c r="I258" s="9">
        <v>45400</v>
      </c>
      <c r="J258" s="1" t="s">
        <v>703</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730</v>
      </c>
    </row>
    <row r="259" spans="1:19" hidden="1"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695</v>
      </c>
      <c r="G259" s="6" t="s">
        <v>722</v>
      </c>
      <c r="H259" s="1" t="s">
        <v>728</v>
      </c>
      <c r="I259" s="9">
        <v>45422</v>
      </c>
      <c r="J259" s="1" t="s">
        <v>727</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hidden="1"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723</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hidden="1"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723</v>
      </c>
      <c r="K261" s="9">
        <v>45426</v>
      </c>
      <c r="L261" s="1"/>
      <c r="M261" s="9"/>
      <c r="O261" s="22"/>
      <c r="P261" s="4">
        <f t="shared" si="33"/>
        <v>0</v>
      </c>
      <c r="Q261" s="23" t="s">
        <v>14</v>
      </c>
      <c r="R261" s="39"/>
      <c r="S261" s="6" t="s">
        <v>729</v>
      </c>
    </row>
    <row r="262" spans="1:19" ht="30" hidden="1"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723</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hidden="1"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723</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hidden="1" x14ac:dyDescent="0.25">
      <c r="A264" s="53">
        <f>ROW(DIARIO[[#This Row],[Nombre de Cuenta]])-$A$174-1</f>
        <v>90</v>
      </c>
      <c r="B264" s="23" t="s">
        <v>9</v>
      </c>
      <c r="C264" s="34" t="s">
        <v>719</v>
      </c>
      <c r="D264" s="7">
        <f>VLOOKUP(C264,CATALOGO[],2,FALSE)</f>
        <v>68</v>
      </c>
      <c r="E264" s="36" t="str">
        <f>VLOOKUP(DIARIO[[#This Row],[Objeto de Gasto]],CATALOGO[],3,FALSE)</f>
        <v>42510 Equipo de Comunicación</v>
      </c>
      <c r="F264" s="1" t="s">
        <v>11</v>
      </c>
      <c r="G264" s="6" t="s">
        <v>731</v>
      </c>
      <c r="H264" s="1" t="s">
        <v>732</v>
      </c>
      <c r="I264" s="9">
        <v>45427</v>
      </c>
      <c r="J264" s="1" t="s">
        <v>733</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hidden="1"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735</v>
      </c>
      <c r="H265" s="1" t="s">
        <v>736</v>
      </c>
      <c r="I265" s="9">
        <v>45436</v>
      </c>
      <c r="J265" s="1" t="s">
        <v>747</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hidden="1"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738</v>
      </c>
      <c r="H266" s="1" t="s">
        <v>737</v>
      </c>
      <c r="I266" s="9">
        <v>45436</v>
      </c>
      <c r="J266" s="1" t="s">
        <v>747</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hidden="1"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739</v>
      </c>
      <c r="H267" s="1" t="s">
        <v>740</v>
      </c>
      <c r="I267" s="9">
        <v>45436</v>
      </c>
      <c r="J267" s="1" t="s">
        <v>746</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hidden="1"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744</v>
      </c>
      <c r="H268" s="1" t="s">
        <v>742</v>
      </c>
      <c r="I268" s="9">
        <v>45421</v>
      </c>
      <c r="J268" s="1" t="s">
        <v>745</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hidden="1"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743</v>
      </c>
      <c r="H269" s="1" t="s">
        <v>741</v>
      </c>
      <c r="I269" s="9">
        <v>45421</v>
      </c>
      <c r="J269" s="1" t="s">
        <v>745</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hidden="1"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749</v>
      </c>
      <c r="H270" s="1" t="s">
        <v>748</v>
      </c>
      <c r="I270" s="9">
        <v>45441</v>
      </c>
      <c r="J270" s="1" t="s">
        <v>745</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hidden="1"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750</v>
      </c>
      <c r="H271" s="1"/>
      <c r="I271" s="9"/>
      <c r="J271" s="1" t="s">
        <v>745</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hidden="1"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752</v>
      </c>
      <c r="H272" s="1" t="s">
        <v>754</v>
      </c>
      <c r="I272" s="9">
        <v>45415</v>
      </c>
      <c r="J272" s="1" t="s">
        <v>753</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hidden="1"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755</v>
      </c>
      <c r="H273" s="1"/>
      <c r="I273" s="9"/>
      <c r="J273" s="1" t="s">
        <v>756</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row r="274" spans="1:19" ht="30" hidden="1" x14ac:dyDescent="0.25">
      <c r="A274" s="53">
        <f>ROW(DIARIO[[#This Row],[Nombre de Cuenta]])-$A$174-1</f>
        <v>100</v>
      </c>
      <c r="B274" s="23" t="s">
        <v>9</v>
      </c>
      <c r="C274" s="34" t="s">
        <v>247</v>
      </c>
      <c r="D274" s="7">
        <f>VLOOKUP(C274,CATALOGO[],2,FALSE)</f>
        <v>44</v>
      </c>
      <c r="E274" s="36" t="str">
        <f>VLOOKUP(DIARIO[[#This Row],[Objeto de Gasto]],CATALOGO[],3,FALSE)</f>
        <v>35650 Aceites Y Grasas Lubricantes</v>
      </c>
      <c r="F274" s="1" t="s">
        <v>11</v>
      </c>
      <c r="G274" s="6" t="s">
        <v>781</v>
      </c>
      <c r="H274" s="1" t="s">
        <v>782</v>
      </c>
      <c r="I274" s="126">
        <v>45421</v>
      </c>
      <c r="J274" s="1" t="s">
        <v>783</v>
      </c>
      <c r="K274" s="126">
        <v>45433</v>
      </c>
      <c r="L274" s="1"/>
      <c r="M274" s="126"/>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4" s="4">
        <f>N274-O274</f>
        <v>-38400</v>
      </c>
      <c r="Q274" s="23" t="s">
        <v>14</v>
      </c>
      <c r="R274" s="39"/>
      <c r="S274" s="6"/>
    </row>
  </sheetData>
  <phoneticPr fontId="10" type="noConversion"/>
  <conditionalFormatting sqref="Q2:R274">
    <cfRule type="containsText" dxfId="1006" priority="1" operator="containsText" text="Observaciones">
      <formula>NOT(ISERROR(SEARCH("Observaciones",Q2)))</formula>
    </cfRule>
    <cfRule type="containsText" dxfId="1005" priority="2" operator="containsText" text="Proceso">
      <formula>NOT(ISERROR(SEARCH("Proceso",Q2)))</formula>
    </cfRule>
    <cfRule type="containsText" dxfId="1004" priority="3" operator="containsText" text="Modificaciones">
      <formula>NOT(ISERROR(SEARCH("Modificaciones",Q2)))</formula>
    </cfRule>
    <cfRule type="containsText" dxfId="1003" priority="4" operator="containsText" text="Proceso">
      <formula>NOT(ISERROR(SEARCH("Proceso",Q2)))</formula>
    </cfRule>
    <cfRule type="containsText" dxfId="1002" priority="5" operator="containsText" text="Observaciones">
      <formula>NOT(ISERROR(SEARCH("Observaciones",Q2)))</formula>
    </cfRule>
    <cfRule type="containsText" dxfId="1001" priority="6" operator="containsText" text="Observaciones">
      <formula>NOT(ISERROR(SEARCH("Observaciones",Q2)))</formula>
    </cfRule>
    <cfRule type="containsText" dxfId="1000" priority="7" operator="containsText" text="Adjudicado">
      <formula>NOT(ISERROR(SEARCH("Adjudicado",Q2)))</formula>
    </cfRule>
    <cfRule type="containsText" dxfId="999" priority="8" operator="containsText" text="Desierto">
      <formula>NOT(ISERROR(SEARCH("Desierto",Q2)))</formula>
    </cfRule>
    <cfRule type="containsText" dxfId="998" priority="9" operator="containsText" text="Fracasado">
      <formula>NOT(ISERROR(SEARCH("Fracasado",Q2)))</formula>
    </cfRule>
    <cfRule type="containsText" dxfId="997" priority="10" operator="containsText" text="F'CATALAGO y LISTAS'!$H$6">
      <formula>NOT(ISERROR(SEARCH("F'CATALAGO y LISTAS'!$H$6",Q2)))</formula>
    </cfRule>
  </conditionalFormatting>
  <dataValidations count="3">
    <dataValidation type="list" allowBlank="1" showInputMessage="1" showErrorMessage="1" sqref="B2:B274" xr:uid="{E5A4EA42-AB34-4238-A870-4BB6E4FC2190}">
      <formula1>INDIRECT("COMPRAS[Tipo de Compra]")</formula1>
    </dataValidation>
    <dataValidation type="list" allowBlank="1" showInputMessage="1" showErrorMessage="1" sqref="F2:F274" xr:uid="{33482B32-5431-4811-8847-47F4D35E9D6D}">
      <formula1>INDIRECT("RESPONSABLES[Responsables]")</formula1>
    </dataValidation>
    <dataValidation type="list" allowBlank="1" showInputMessage="1" showErrorMessage="1" sqref="Q2:Q27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29"/>
      <c r="C2" s="130" t="s">
        <v>560</v>
      </c>
      <c r="D2" s="129"/>
      <c r="E2" s="129"/>
    </row>
    <row r="3" spans="2:5" ht="16.5" x14ac:dyDescent="0.3">
      <c r="B3" s="129"/>
      <c r="C3" s="135" t="s">
        <v>18</v>
      </c>
      <c r="D3" s="135"/>
      <c r="E3" s="135"/>
    </row>
    <row r="4" spans="2:5" ht="16.5" x14ac:dyDescent="0.3">
      <c r="B4" s="131" t="s">
        <v>374</v>
      </c>
      <c r="C4" s="132" t="s">
        <v>653</v>
      </c>
      <c r="D4" s="132" t="s">
        <v>623</v>
      </c>
      <c r="E4" s="132" t="s">
        <v>583</v>
      </c>
    </row>
    <row r="5" spans="2:5" ht="16.5" x14ac:dyDescent="0.3">
      <c r="B5" s="133" t="s">
        <v>24</v>
      </c>
      <c r="C5" s="134">
        <v>-90884253.159999996</v>
      </c>
      <c r="D5" s="134">
        <v>89316146.840000004</v>
      </c>
      <c r="E5" s="134">
        <v>-1568106.3199999928</v>
      </c>
    </row>
    <row r="6" spans="2:5" ht="16.5" x14ac:dyDescent="0.3">
      <c r="B6" s="133" t="s">
        <v>91</v>
      </c>
      <c r="C6" s="134">
        <v>-666977.91999999993</v>
      </c>
      <c r="D6" s="134">
        <v>609043.91999999993</v>
      </c>
      <c r="E6" s="134">
        <v>-57934</v>
      </c>
    </row>
    <row r="7" spans="2:5" ht="16.5" x14ac:dyDescent="0.3">
      <c r="B7" s="133" t="s">
        <v>167</v>
      </c>
      <c r="C7" s="134">
        <v>-46995179.25</v>
      </c>
      <c r="D7" s="134">
        <v>34345363.350000001</v>
      </c>
      <c r="E7" s="134">
        <v>-12649815.899999999</v>
      </c>
    </row>
    <row r="8" spans="2:5" ht="16.5" x14ac:dyDescent="0.3">
      <c r="B8" s="133" t="s">
        <v>293</v>
      </c>
      <c r="C8" s="134">
        <v>-18850014.610000003</v>
      </c>
      <c r="D8" s="134">
        <v>2401200</v>
      </c>
      <c r="E8" s="134">
        <v>-16448814.610000003</v>
      </c>
    </row>
    <row r="9" spans="2:5" ht="16.5" x14ac:dyDescent="0.3">
      <c r="B9" s="133" t="s">
        <v>622</v>
      </c>
      <c r="C9" s="134">
        <v>-157396424.94</v>
      </c>
      <c r="D9" s="134">
        <v>126671754.11000001</v>
      </c>
      <c r="E9" s="134">
        <v>-30724670.830000043</v>
      </c>
    </row>
    <row r="10" spans="2:5" ht="16.5" x14ac:dyDescent="0.3">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abSelected="1" zoomScaleNormal="100" workbookViewId="0">
      <selection activeCell="S7" sqref="S7"/>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566</v>
      </c>
      <c r="G4" s="99"/>
      <c r="I4" s="97"/>
      <c r="J4" s="98" t="s">
        <v>567</v>
      </c>
      <c r="P4" s="99"/>
      <c r="R4" s="97"/>
      <c r="S4" s="98" t="s">
        <v>712</v>
      </c>
      <c r="X4" s="99"/>
      <c r="Z4" s="97"/>
      <c r="AA4" s="98" t="s">
        <v>760</v>
      </c>
      <c r="AG4" s="99"/>
      <c r="AI4" s="97"/>
      <c r="AJ4" s="98" t="s">
        <v>774</v>
      </c>
      <c r="AR4" s="99"/>
    </row>
    <row r="5" spans="1:168" ht="15.75" thickBot="1" x14ac:dyDescent="0.3">
      <c r="A5" s="97"/>
      <c r="B5" s="5" t="s">
        <v>568</v>
      </c>
      <c r="C5" s="5" t="s">
        <v>569</v>
      </c>
      <c r="D5" s="5" t="s">
        <v>570</v>
      </c>
      <c r="E5" s="5" t="s">
        <v>571</v>
      </c>
      <c r="F5" s="53" t="s">
        <v>784</v>
      </c>
      <c r="G5" s="100"/>
      <c r="H5" s="93"/>
      <c r="I5" s="97"/>
      <c r="J5" s="5" t="s">
        <v>572</v>
      </c>
      <c r="K5" s="5" t="s">
        <v>573</v>
      </c>
      <c r="L5" s="5" t="s">
        <v>574</v>
      </c>
      <c r="M5" s="5" t="s">
        <v>575</v>
      </c>
      <c r="N5" s="5" t="s">
        <v>576</v>
      </c>
      <c r="O5" s="5" t="s">
        <v>577</v>
      </c>
      <c r="P5" s="100"/>
      <c r="Q5" s="93"/>
      <c r="R5" s="97"/>
      <c r="S5" s="82" t="s">
        <v>709</v>
      </c>
      <c r="T5" s="85" t="s">
        <v>708</v>
      </c>
      <c r="U5" s="83" t="s">
        <v>710</v>
      </c>
      <c r="V5" s="85" t="s">
        <v>711</v>
      </c>
      <c r="W5" s="83" t="s">
        <v>390</v>
      </c>
      <c r="X5" s="106"/>
      <c r="Z5" s="97"/>
      <c r="AA5" s="5" t="s">
        <v>761</v>
      </c>
      <c r="AB5" s="5" t="s">
        <v>576</v>
      </c>
      <c r="AC5" s="5" t="s">
        <v>573</v>
      </c>
      <c r="AD5" s="5" t="s">
        <v>581</v>
      </c>
      <c r="AE5" s="5" t="s">
        <v>575</v>
      </c>
      <c r="AF5" s="5" t="s">
        <v>582</v>
      </c>
      <c r="AG5" s="99"/>
      <c r="AI5" s="97"/>
      <c r="AJ5" s="124" t="s">
        <v>777</v>
      </c>
      <c r="AK5" s="124" t="s">
        <v>579</v>
      </c>
      <c r="AL5" s="124" t="s">
        <v>578</v>
      </c>
      <c r="AM5" s="124" t="s">
        <v>778</v>
      </c>
      <c r="AN5" s="124" t="s">
        <v>779</v>
      </c>
      <c r="AO5" s="124" t="s">
        <v>780</v>
      </c>
      <c r="AP5" s="124" t="s">
        <v>775</v>
      </c>
      <c r="AR5" s="99"/>
    </row>
    <row r="6" spans="1:168"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580</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0.30783052379120479</v>
      </c>
      <c r="T6" s="86">
        <f>O7</f>
        <v>157396424.94</v>
      </c>
      <c r="U6" s="87">
        <f>O8/Tabla5[[#Totals],[DISPONIBLE]]</f>
        <v>0.21600050460709938</v>
      </c>
      <c r="V6" s="88">
        <f>SUM(DIARIO[Pagado])/SUMIFS(DIARIO[Salida],DIARIO[Estatus],"Adjudicado")</f>
        <v>0.80479435386342291</v>
      </c>
      <c r="W6" s="89">
        <f>SUM(DIARIO[Pagado])</f>
        <v>126671754.11</v>
      </c>
      <c r="X6" s="99"/>
      <c r="Z6" s="97"/>
      <c r="AA6" s="1" t="s">
        <v>765</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573</v>
      </c>
      <c r="AK6" s="5">
        <f>COUNTIFS(DIARIO[Objeto de Gasto],"*VIH*",DIARIO[Estatus],$AK$5)-COUNTIFS(DIARIO[Objeto de Gasto],"*VIH*",DIARIO[Estatus],$AK$5,DIARIO[Tipo de Compra],"")</f>
        <v>7</v>
      </c>
      <c r="AL6" s="5">
        <f>COUNTIFS(DIARIO[Objeto de Gasto],"*VIH*",DIARIO[Estatus],$AL$5)</f>
        <v>16</v>
      </c>
      <c r="AM6" s="5">
        <f>COUNTIFS(DIARIO[Objeto de Gasto],"*VIH*",DIARIO[Estatus],$AM$5)</f>
        <v>0</v>
      </c>
      <c r="AN6" s="5">
        <f>COUNTIFS(DIARIO[Objeto de Gasto],"*VIH*",DIARIO[Estatus],$AN$5)</f>
        <v>1</v>
      </c>
      <c r="AO6" s="5">
        <f>COUNTIFS(DIARIO[Objeto de Gasto],"*VIH*",DIARIO[Estatus],$AO$5)</f>
        <v>4</v>
      </c>
      <c r="AP6" s="5">
        <f>SUM(Tabla11[[#This Row],[ADJUDICADO]:[OBSERVACIONES]])</f>
        <v>28</v>
      </c>
      <c r="AR6" s="99"/>
    </row>
    <row r="7" spans="1:168"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579</v>
      </c>
      <c r="K7" s="101">
        <f>-SUMIFS(DIARIO[Saldo],DIARIO[Estatus],"Adjudicado",DIARIO[Objeto de Gasto],"*VIH*")</f>
        <v>46645416.096436448</v>
      </c>
      <c r="L7" s="101">
        <f>-SUMIFS(DIARIO[Saldo],DIARIO[Estatus],"Adjudicado",DIARIO[Objeto de Gasto],"*Malaria*")</f>
        <v>31724346.421207644</v>
      </c>
      <c r="M7" s="101">
        <f>-SUMIFS(DIARIO[Saldo],DIARIO[Estatus],"Adjudicado",DIARIO[Objeto de Gasto],"*TB*")</f>
        <v>18656160.772178218</v>
      </c>
      <c r="N7" s="101">
        <f>-SUMIFS(DIARIO[Saldo],DIARIO[Estatus],"Adjudicado",DIARIO[Objeto de Gasto],"*SSRISS*")</f>
        <v>60370501.650177695</v>
      </c>
      <c r="O7" s="101">
        <f>Tabla6[[#This Row],[VIH]]+Tabla6[[#This Row],[MARARIA]]+Tabla6[[#This Row],[TB]]+Tabla6[[#This Row],[SSRISS]]</f>
        <v>157396424.94</v>
      </c>
      <c r="P7" s="106"/>
      <c r="Q7" s="41"/>
      <c r="R7" s="97"/>
      <c r="X7" s="99"/>
      <c r="Z7" s="97"/>
      <c r="AA7" s="1" t="s">
        <v>764</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581</v>
      </c>
      <c r="AK7" s="5">
        <f>COUNTIFS(DIARIO[Objeto de Gasto],"*MALARIA*",DIARIO[Estatus],$AK$5)-COUNTIFS(DIARIO[Objeto de Gasto],"*MALARIA*",DIARIO[Estatus],$AK$5,DIARIO[Tipo de Compra],"")</f>
        <v>10</v>
      </c>
      <c r="AL7" s="5">
        <f>COUNTIFS(DIARIO[Objeto de Gasto],"*MALARIA*",DIARIO[Estatus],$AL$5)</f>
        <v>25</v>
      </c>
      <c r="AM7" s="5">
        <f>COUNTIFS(DIARIO[Objeto de Gasto],"*MALARIA*",DIARIO[Estatus],$AM$5)</f>
        <v>2</v>
      </c>
      <c r="AN7" s="5">
        <f>COUNTIFS(DIARIO[Objeto de Gasto],"*MALARIA*",DIARIO[Estatus],$AN$5)</f>
        <v>2</v>
      </c>
      <c r="AO7" s="5">
        <f>COUNTIFS(DIARIO[Objeto de Gasto],"*MALARIA*",DIARIO[Estatus],$AO$5)</f>
        <v>6</v>
      </c>
      <c r="AP7" s="5">
        <f>SUM(Tabla11[[#This Row],[ADJUDICADO]:[OBSERVACIONES]])</f>
        <v>45</v>
      </c>
      <c r="AR7" s="99"/>
    </row>
    <row r="8" spans="1:168"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578</v>
      </c>
      <c r="K8" s="101">
        <f>-SUMIFS(DIARIO[Saldo],DIARIO[Estatus],"Proceso",DIARIO[Objeto de Gasto],"*VIH*")</f>
        <v>69704502.742322981</v>
      </c>
      <c r="L8" s="101">
        <f>-SUMIFS(DIARIO[Saldo],DIARIO[Estatus],"Proceso",DIARIO[Objeto de Gasto],"*Malaria*")</f>
        <v>27329003.195395321</v>
      </c>
      <c r="M8" s="101">
        <f>-SUMIFS(DIARIO[Saldo],DIARIO[Estatus],"Proceso",DIARIO[Objeto de Gasto],"*TB*")</f>
        <v>13154431.272281691</v>
      </c>
      <c r="N8" s="101">
        <f>-SUMIFS(DIARIO[Saldo],DIARIO[Estatus],"Proceso",DIARIO[Objeto de Gasto],"*SSRISS*")</f>
        <v>255000</v>
      </c>
      <c r="O8" s="101">
        <f>Tabla6[[#This Row],[VIH]]+Tabla6[[#This Row],[MARARIA]]+Tabla6[[#This Row],[TB]]+Tabla6[[#This Row],[SSRISS]]</f>
        <v>110442937.20999999</v>
      </c>
      <c r="P8" s="106"/>
      <c r="Q8" s="41"/>
      <c r="R8" s="97"/>
      <c r="X8" s="99"/>
      <c r="Z8" s="97"/>
      <c r="AA8" s="1" t="s">
        <v>766</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776</v>
      </c>
      <c r="AK8" s="5">
        <f>COUNTIFS(DIARIO[Objeto de Gasto],"*TB*",DIARIO[Estatus],$AK$5)-COUNTIFS(DIARIO[Objeto de Gasto],"*TB*",DIARIO[Estatus],$AK$5,DIARIO[Tipo de Compra],"")</f>
        <v>8</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23</v>
      </c>
      <c r="AR8" s="99"/>
    </row>
    <row r="9" spans="1:168"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571</v>
      </c>
      <c r="K9" s="112">
        <f>K6-K7-K8</f>
        <v>67070832.47124058</v>
      </c>
      <c r="L9" s="112">
        <f t="shared" ref="L9:N9" si="1">L6-L7-L8</f>
        <v>22802066.953397028</v>
      </c>
      <c r="M9" s="112">
        <f t="shared" si="1"/>
        <v>20778856.755540088</v>
      </c>
      <c r="N9" s="112">
        <f t="shared" si="1"/>
        <v>131452766.66982231</v>
      </c>
      <c r="O9" s="112">
        <f>O6-O7-O8</f>
        <v>242104522.85000002</v>
      </c>
      <c r="P9" s="113"/>
      <c r="Q9" s="111"/>
      <c r="R9" s="97"/>
      <c r="X9" s="99"/>
      <c r="Z9" s="97"/>
      <c r="AA9" s="1" t="s">
        <v>767</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576</v>
      </c>
      <c r="AK9" s="5">
        <f>COUNTIFS(DIARIO[Objeto de Gasto],"*SSRISS*",DIARIO[Estatus],$AK$5)-COUNTIFS(DIARIO[Objeto de Gasto],"*SSRISS*",DIARIO[Estatus],$AK$5,DIARIO[Tipo de Compra],"")</f>
        <v>2</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3</v>
      </c>
      <c r="AR9" s="99"/>
    </row>
    <row r="10" spans="1:168" x14ac:dyDescent="0.25">
      <c r="A10" s="97"/>
      <c r="B10" s="104" t="s">
        <v>582</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768</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582</v>
      </c>
      <c r="AK10" s="53">
        <f>SUBTOTAL(109,Tabla11[ADJUDICADO])</f>
        <v>27</v>
      </c>
      <c r="AL10" s="53">
        <f>SUBTOTAL(109,Tabla11[PROCESO])</f>
        <v>56</v>
      </c>
      <c r="AM10" s="53">
        <f>SUBTOTAL(109,Tabla11[FRACASADO])</f>
        <v>2</v>
      </c>
      <c r="AN10" s="53">
        <f>SUBTOTAL(109,Tabla11[DESIERTO])</f>
        <v>4</v>
      </c>
      <c r="AO10" s="53">
        <f>SUBTOTAL(109,Tabla11[OBSERVACIONES])</f>
        <v>10</v>
      </c>
      <c r="AP10" s="53">
        <f>SUBTOTAL(109,Tabla11[SUMA])</f>
        <v>99</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zoomScale="111" zoomScaleNormal="100" workbookViewId="0">
      <selection activeCell="B32" sqref="B32"/>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40" t="s">
        <v>559</v>
      </c>
      <c r="C2" s="140" t="s">
        <v>560</v>
      </c>
      <c r="D2" s="140"/>
      <c r="E2" s="140"/>
      <c r="F2" s="140"/>
      <c r="G2" s="140"/>
    </row>
    <row r="3" spans="2:12" ht="18.75" thickBot="1" x14ac:dyDescent="0.3">
      <c r="B3" s="139" t="s">
        <v>561</v>
      </c>
      <c r="C3" s="139" t="s">
        <v>31</v>
      </c>
      <c r="D3" s="139" t="s">
        <v>33</v>
      </c>
      <c r="E3" s="139" t="s">
        <v>18</v>
      </c>
      <c r="F3" s="139" t="s">
        <v>14</v>
      </c>
      <c r="G3" s="139" t="s">
        <v>562</v>
      </c>
    </row>
    <row r="4" spans="2:12" ht="17.25" thickBot="1" x14ac:dyDescent="0.35">
      <c r="B4" s="141" t="s">
        <v>765</v>
      </c>
      <c r="C4" s="134"/>
      <c r="D4" s="134"/>
      <c r="E4" s="134"/>
      <c r="F4" s="134"/>
      <c r="G4" s="134"/>
      <c r="I4" s="52" t="s">
        <v>563</v>
      </c>
      <c r="J4" s="63">
        <v>39520</v>
      </c>
      <c r="K4" s="52" t="s">
        <v>564</v>
      </c>
      <c r="L4" s="64">
        <v>2362100</v>
      </c>
    </row>
    <row r="5" spans="2:12" ht="16.5" x14ac:dyDescent="0.3">
      <c r="B5" s="136" t="s">
        <v>29</v>
      </c>
      <c r="C5" s="134">
        <v>111754498</v>
      </c>
      <c r="D5" s="134">
        <v>3782189</v>
      </c>
      <c r="E5" s="134">
        <v>-43177914.200000003</v>
      </c>
      <c r="F5" s="134">
        <v>0</v>
      </c>
      <c r="G5" s="134">
        <v>72358772.799999997</v>
      </c>
      <c r="I5" s="44" t="str">
        <f>J4&amp;"-VIH"</f>
        <v>39520-VIH</v>
      </c>
      <c r="J5" s="45">
        <f>SUMIFS(DIARIO[Saldo],DIARIO[Estatus],"Saldo inicial",DIARIO[Objeto de Gasto],I5)</f>
        <v>4029405</v>
      </c>
      <c r="K5" s="46">
        <f>IFERROR(SUM(J5)/SUM($J$5:$J$8),"0%")</f>
        <v>0.34676839008753452</v>
      </c>
      <c r="L5" s="47">
        <f>K5*$L$4</f>
        <v>819101.61422576534</v>
      </c>
    </row>
    <row r="6" spans="2:12" ht="16.5" x14ac:dyDescent="0.3">
      <c r="B6" s="136" t="s">
        <v>37</v>
      </c>
      <c r="C6" s="134">
        <v>10404570</v>
      </c>
      <c r="D6" s="134">
        <v>-6930000</v>
      </c>
      <c r="E6" s="134">
        <v>-294066.33</v>
      </c>
      <c r="F6" s="134">
        <v>0</v>
      </c>
      <c r="G6" s="134">
        <v>3180503.67</v>
      </c>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36" t="s">
        <v>42</v>
      </c>
      <c r="C7" s="134">
        <v>9312952</v>
      </c>
      <c r="D7" s="134">
        <v>315183</v>
      </c>
      <c r="E7" s="134">
        <v>0</v>
      </c>
      <c r="F7" s="134">
        <v>0</v>
      </c>
      <c r="G7" s="134">
        <v>9628135</v>
      </c>
      <c r="I7" s="48" t="str">
        <f>J4&amp;"-TB"</f>
        <v>39520-TB</v>
      </c>
      <c r="J7" s="49">
        <f>SUMIFS(DIARIO[Saldo],DIARIO[Estatus],"Saldo inicial",DIARIO[Objeto de Gasto],I7)</f>
        <v>3285675</v>
      </c>
      <c r="K7" s="50">
        <f>IFERROR(SUM(J7)/SUM($J$5:$J$8),"0%")</f>
        <v>0.28276339313145737</v>
      </c>
      <c r="L7" s="51">
        <f>K7*$L$4</f>
        <v>667915.4109158155</v>
      </c>
    </row>
    <row r="8" spans="2:12" ht="16.5" x14ac:dyDescent="0.3">
      <c r="B8" s="136" t="s">
        <v>47</v>
      </c>
      <c r="C8" s="134">
        <v>9312952</v>
      </c>
      <c r="D8" s="134">
        <v>315183</v>
      </c>
      <c r="E8" s="134">
        <v>0</v>
      </c>
      <c r="F8" s="134">
        <v>0</v>
      </c>
      <c r="G8" s="134">
        <v>9628135</v>
      </c>
      <c r="I8" s="48" t="str">
        <f>J4&amp;"-SSRISS"</f>
        <v>39520-SSRISS</v>
      </c>
      <c r="J8" s="49">
        <f>SUMIFS(DIARIO[Saldo],DIARIO[Estatus],"Saldo inicial",DIARIO[Objeto de Gasto],I8)</f>
        <v>0</v>
      </c>
      <c r="K8" s="50">
        <f>IFERROR(SUM(J8)/SUM($J$5:$J$8),"0%")</f>
        <v>0</v>
      </c>
      <c r="L8" s="51">
        <f>K8*$L$4</f>
        <v>0</v>
      </c>
    </row>
    <row r="9" spans="2:12" ht="17.25" thickBot="1" x14ac:dyDescent="0.35">
      <c r="B9" s="136" t="s">
        <v>52</v>
      </c>
      <c r="C9" s="134">
        <v>9312952</v>
      </c>
      <c r="D9" s="134">
        <v>315183</v>
      </c>
      <c r="E9" s="134">
        <v>-3124977.88</v>
      </c>
      <c r="F9" s="134">
        <v>0</v>
      </c>
      <c r="G9" s="134">
        <v>6503157.1200000001</v>
      </c>
    </row>
    <row r="10" spans="2:12" ht="17.25" thickTop="1" x14ac:dyDescent="0.3">
      <c r="B10" s="136" t="s">
        <v>57</v>
      </c>
      <c r="C10" s="134">
        <v>16204493</v>
      </c>
      <c r="D10" s="134">
        <v>548418</v>
      </c>
      <c r="E10" s="134">
        <v>-5075170.87</v>
      </c>
      <c r="F10" s="134">
        <v>0</v>
      </c>
      <c r="G10" s="134">
        <v>11677740.129999999</v>
      </c>
    </row>
    <row r="11" spans="2:12" ht="16.5" x14ac:dyDescent="0.3">
      <c r="B11" s="136" t="s">
        <v>62</v>
      </c>
      <c r="C11" s="134">
        <v>2526467</v>
      </c>
      <c r="D11" s="134">
        <v>0</v>
      </c>
      <c r="E11" s="134">
        <v>-660822.77</v>
      </c>
      <c r="F11" s="134">
        <v>0</v>
      </c>
      <c r="G11" s="134">
        <v>1865644.23</v>
      </c>
    </row>
    <row r="12" spans="2:12" ht="16.5" x14ac:dyDescent="0.3">
      <c r="B12" s="136" t="s">
        <v>67</v>
      </c>
      <c r="C12" s="134">
        <v>101081376</v>
      </c>
      <c r="D12" s="134">
        <v>0</v>
      </c>
      <c r="E12" s="134">
        <v>-31651456.139999997</v>
      </c>
      <c r="F12" s="134">
        <v>0</v>
      </c>
      <c r="G12" s="134">
        <v>69429919.859999999</v>
      </c>
    </row>
    <row r="13" spans="2:12" ht="16.5" x14ac:dyDescent="0.3">
      <c r="B13" s="136" t="s">
        <v>72</v>
      </c>
      <c r="C13" s="134">
        <v>8423448</v>
      </c>
      <c r="D13" s="134">
        <v>0</v>
      </c>
      <c r="E13" s="134">
        <v>0</v>
      </c>
      <c r="F13" s="134">
        <v>0</v>
      </c>
      <c r="G13" s="134">
        <v>8423448</v>
      </c>
    </row>
    <row r="14" spans="2:12" ht="16.5" x14ac:dyDescent="0.3">
      <c r="B14" s="136" t="s">
        <v>77</v>
      </c>
      <c r="C14" s="134">
        <v>8423448</v>
      </c>
      <c r="D14" s="134">
        <v>0</v>
      </c>
      <c r="E14" s="134">
        <v>-6433381.5699999994</v>
      </c>
      <c r="F14" s="134">
        <v>0</v>
      </c>
      <c r="G14" s="134">
        <v>1990066.4300000006</v>
      </c>
    </row>
    <row r="15" spans="2:12" ht="17.25" thickBot="1" x14ac:dyDescent="0.35">
      <c r="B15" s="136" t="s">
        <v>82</v>
      </c>
      <c r="C15" s="134">
        <v>4609930</v>
      </c>
      <c r="D15" s="134">
        <v>0</v>
      </c>
      <c r="E15" s="134">
        <v>-190785.45999999996</v>
      </c>
      <c r="F15" s="134">
        <v>0</v>
      </c>
      <c r="G15" s="134">
        <v>4419144.54</v>
      </c>
    </row>
    <row r="16" spans="2:12" ht="17.25" thickBot="1" x14ac:dyDescent="0.35">
      <c r="B16" s="136" t="s">
        <v>348</v>
      </c>
      <c r="C16" s="134">
        <v>261508</v>
      </c>
      <c r="D16" s="134">
        <v>1014081</v>
      </c>
      <c r="E16" s="134">
        <v>-275677.94</v>
      </c>
      <c r="F16" s="134">
        <v>0</v>
      </c>
      <c r="G16" s="134">
        <v>999911.06</v>
      </c>
    </row>
    <row r="17" spans="2:8" ht="17.25" thickTop="1" x14ac:dyDescent="0.3">
      <c r="B17" s="142" t="s">
        <v>786</v>
      </c>
      <c r="C17" s="125">
        <v>291628594</v>
      </c>
      <c r="D17" s="125">
        <v>-639763</v>
      </c>
      <c r="E17" s="125">
        <v>-90884253.159999982</v>
      </c>
      <c r="F17" s="125">
        <v>0</v>
      </c>
      <c r="G17" s="125">
        <v>200104577.84</v>
      </c>
    </row>
    <row r="18" spans="2:8" ht="16.5" x14ac:dyDescent="0.3">
      <c r="B18" s="141" t="s">
        <v>764</v>
      </c>
      <c r="C18" s="134"/>
      <c r="D18" s="134"/>
      <c r="E18" s="134"/>
      <c r="F18" s="134"/>
      <c r="G18" s="134"/>
    </row>
    <row r="19" spans="2:8" ht="16.5" x14ac:dyDescent="0.3">
      <c r="B19" s="136" t="s">
        <v>93</v>
      </c>
      <c r="C19" s="134">
        <v>4468001</v>
      </c>
      <c r="D19" s="134">
        <v>0</v>
      </c>
      <c r="E19" s="134">
        <v>0</v>
      </c>
      <c r="F19" s="134">
        <v>-4468001</v>
      </c>
      <c r="G19" s="134">
        <v>0</v>
      </c>
    </row>
    <row r="20" spans="2:8" ht="17.25" thickBot="1" x14ac:dyDescent="0.35">
      <c r="B20" s="136" t="s">
        <v>98</v>
      </c>
      <c r="C20" s="134">
        <v>1507780</v>
      </c>
      <c r="D20" s="134">
        <v>-660000</v>
      </c>
      <c r="E20" s="134">
        <v>0</v>
      </c>
      <c r="F20" s="134">
        <v>-349780</v>
      </c>
      <c r="G20" s="134">
        <v>498000</v>
      </c>
    </row>
    <row r="21" spans="2:8" ht="17.25" thickBot="1" x14ac:dyDescent="0.35">
      <c r="B21" s="136" t="s">
        <v>103</v>
      </c>
      <c r="C21" s="134">
        <v>1206000</v>
      </c>
      <c r="D21" s="134">
        <v>0</v>
      </c>
      <c r="E21" s="134">
        <v>0</v>
      </c>
      <c r="F21" s="134">
        <v>0</v>
      </c>
      <c r="G21" s="134">
        <v>1206000</v>
      </c>
    </row>
    <row r="22" spans="2:8" ht="17.25" thickTop="1" x14ac:dyDescent="0.3">
      <c r="B22" s="136" t="s">
        <v>108</v>
      </c>
      <c r="C22" s="134">
        <v>128819</v>
      </c>
      <c r="D22" s="134">
        <v>0</v>
      </c>
      <c r="E22" s="134">
        <v>0</v>
      </c>
      <c r="F22" s="134">
        <v>0</v>
      </c>
      <c r="G22" s="134">
        <v>128819</v>
      </c>
    </row>
    <row r="23" spans="2:8" ht="16.5" x14ac:dyDescent="0.3">
      <c r="B23" s="136" t="s">
        <v>123</v>
      </c>
      <c r="C23" s="134">
        <v>326552</v>
      </c>
      <c r="D23" s="134">
        <v>0</v>
      </c>
      <c r="E23" s="134">
        <v>0</v>
      </c>
      <c r="F23" s="134">
        <v>-100000</v>
      </c>
      <c r="G23" s="134">
        <v>226552</v>
      </c>
    </row>
    <row r="24" spans="2:8" ht="16.5" x14ac:dyDescent="0.3">
      <c r="B24" s="136" t="s">
        <v>138</v>
      </c>
      <c r="C24" s="134">
        <v>92480</v>
      </c>
      <c r="D24" s="134">
        <v>0</v>
      </c>
      <c r="E24" s="134">
        <v>0</v>
      </c>
      <c r="F24" s="134">
        <v>0</v>
      </c>
      <c r="G24" s="134">
        <v>92480</v>
      </c>
    </row>
    <row r="25" spans="2:8" ht="16.5" x14ac:dyDescent="0.3">
      <c r="B25" s="136" t="s">
        <v>143</v>
      </c>
      <c r="C25" s="134">
        <v>1126044</v>
      </c>
      <c r="D25" s="134">
        <v>0</v>
      </c>
      <c r="E25" s="134">
        <v>-57934</v>
      </c>
      <c r="F25" s="134">
        <v>0</v>
      </c>
      <c r="G25" s="134">
        <v>1068110</v>
      </c>
      <c r="H25" s="20" t="s">
        <v>763</v>
      </c>
    </row>
    <row r="26" spans="2:8" ht="16.5" x14ac:dyDescent="0.3">
      <c r="B26" s="136" t="s">
        <v>353</v>
      </c>
      <c r="C26" s="134">
        <v>279464</v>
      </c>
      <c r="D26" s="134">
        <v>0</v>
      </c>
      <c r="E26" s="134">
        <v>0</v>
      </c>
      <c r="F26" s="134">
        <v>0</v>
      </c>
      <c r="G26" s="134">
        <v>279464</v>
      </c>
    </row>
    <row r="27" spans="2:8" ht="16.5" x14ac:dyDescent="0.3">
      <c r="B27" s="136" t="s">
        <v>148</v>
      </c>
      <c r="C27" s="134">
        <v>2817263</v>
      </c>
      <c r="D27" s="134">
        <v>0</v>
      </c>
      <c r="E27" s="134">
        <v>-159343.76999999999</v>
      </c>
      <c r="F27" s="134">
        <v>0</v>
      </c>
      <c r="G27" s="134">
        <v>2657919.23</v>
      </c>
    </row>
    <row r="28" spans="2:8" ht="17.25" thickBot="1" x14ac:dyDescent="0.35">
      <c r="B28" s="136" t="s">
        <v>358</v>
      </c>
      <c r="C28" s="134">
        <v>331874</v>
      </c>
      <c r="D28" s="134">
        <v>0</v>
      </c>
      <c r="E28" s="134">
        <v>-37554.769999999997</v>
      </c>
      <c r="F28" s="134">
        <v>0</v>
      </c>
      <c r="G28" s="134">
        <v>294319.23</v>
      </c>
      <c r="H28" s="41"/>
    </row>
    <row r="29" spans="2:8" ht="17.25" thickTop="1" x14ac:dyDescent="0.3">
      <c r="B29" s="136" t="s">
        <v>153</v>
      </c>
      <c r="C29" s="134">
        <v>0</v>
      </c>
      <c r="D29" s="134">
        <v>300000</v>
      </c>
      <c r="E29" s="134">
        <v>-293235.38</v>
      </c>
      <c r="F29" s="134">
        <v>0</v>
      </c>
      <c r="G29" s="134">
        <v>6764.6199999999953</v>
      </c>
      <c r="H29" s="41"/>
    </row>
    <row r="30" spans="2:8" ht="17.25" thickBot="1" x14ac:dyDescent="0.35">
      <c r="B30" s="136" t="s">
        <v>158</v>
      </c>
      <c r="C30" s="134">
        <v>1992400</v>
      </c>
      <c r="D30" s="134">
        <v>0</v>
      </c>
      <c r="E30" s="134">
        <v>-118910</v>
      </c>
      <c r="F30" s="134">
        <v>0</v>
      </c>
      <c r="G30" s="134">
        <v>1873490</v>
      </c>
      <c r="H30" s="41"/>
    </row>
    <row r="31" spans="2:8" ht="17.25" thickTop="1" x14ac:dyDescent="0.3">
      <c r="B31" s="142" t="s">
        <v>787</v>
      </c>
      <c r="C31" s="125">
        <v>14276677</v>
      </c>
      <c r="D31" s="125">
        <v>-360000</v>
      </c>
      <c r="E31" s="125">
        <v>-666977.91999999993</v>
      </c>
      <c r="F31" s="125">
        <v>-4917781</v>
      </c>
      <c r="G31" s="125">
        <v>8331918.080000001</v>
      </c>
      <c r="H31" s="41"/>
    </row>
    <row r="32" spans="2:8" ht="16.5" x14ac:dyDescent="0.3">
      <c r="B32" s="141" t="s">
        <v>766</v>
      </c>
      <c r="C32" s="134"/>
      <c r="D32" s="134"/>
      <c r="E32" s="134"/>
      <c r="F32" s="134"/>
      <c r="G32" s="134"/>
    </row>
    <row r="33" spans="2:8" ht="17.25" thickBot="1" x14ac:dyDescent="0.35">
      <c r="B33" s="136" t="s">
        <v>169</v>
      </c>
      <c r="C33" s="134">
        <v>7499063</v>
      </c>
      <c r="D33" s="134">
        <v>0</v>
      </c>
      <c r="E33" s="134">
        <v>0</v>
      </c>
      <c r="F33" s="134">
        <v>-6465825</v>
      </c>
      <c r="G33" s="134">
        <v>1033238</v>
      </c>
    </row>
    <row r="34" spans="2:8" ht="17.25" thickTop="1" x14ac:dyDescent="0.3">
      <c r="B34" s="136" t="s">
        <v>179</v>
      </c>
      <c r="C34" s="134">
        <v>5939018</v>
      </c>
      <c r="D34" s="134">
        <v>0</v>
      </c>
      <c r="E34" s="134">
        <v>0</v>
      </c>
      <c r="F34" s="134">
        <v>-5939018</v>
      </c>
      <c r="G34" s="134">
        <v>0</v>
      </c>
    </row>
    <row r="35" spans="2:8" ht="16.5" x14ac:dyDescent="0.3">
      <c r="B35" s="136" t="s">
        <v>184</v>
      </c>
      <c r="C35" s="134">
        <v>151460</v>
      </c>
      <c r="D35" s="134">
        <v>0</v>
      </c>
      <c r="E35" s="134">
        <v>0</v>
      </c>
      <c r="F35" s="134">
        <v>0</v>
      </c>
      <c r="G35" s="134">
        <v>151460</v>
      </c>
    </row>
    <row r="36" spans="2:8" ht="16.5" x14ac:dyDescent="0.3">
      <c r="B36" s="136" t="s">
        <v>189</v>
      </c>
      <c r="C36" s="134">
        <v>458236</v>
      </c>
      <c r="D36" s="134">
        <v>0</v>
      </c>
      <c r="E36" s="134">
        <v>-95847.049999999988</v>
      </c>
      <c r="F36" s="134">
        <v>0</v>
      </c>
      <c r="G36" s="134">
        <v>362388.95</v>
      </c>
    </row>
    <row r="37" spans="2:8" ht="17.25" thickBot="1" x14ac:dyDescent="0.35">
      <c r="B37" s="136" t="s">
        <v>194</v>
      </c>
      <c r="C37" s="134">
        <v>4529584</v>
      </c>
      <c r="D37" s="134">
        <v>0</v>
      </c>
      <c r="E37" s="134">
        <v>0</v>
      </c>
      <c r="F37" s="134">
        <v>-3667000</v>
      </c>
      <c r="G37" s="134">
        <v>862584</v>
      </c>
    </row>
    <row r="38" spans="2:8" ht="17.25" thickTop="1" x14ac:dyDescent="0.3">
      <c r="B38" s="136" t="s">
        <v>199</v>
      </c>
      <c r="C38" s="134">
        <v>644293</v>
      </c>
      <c r="D38" s="134">
        <v>0</v>
      </c>
      <c r="E38" s="134">
        <v>0</v>
      </c>
      <c r="F38" s="134">
        <v>-644293</v>
      </c>
      <c r="G38" s="134">
        <v>0</v>
      </c>
    </row>
    <row r="39" spans="2:8" ht="16.5" x14ac:dyDescent="0.3">
      <c r="B39" s="136" t="s">
        <v>219</v>
      </c>
      <c r="C39" s="134">
        <v>8444220</v>
      </c>
      <c r="D39" s="134">
        <v>0</v>
      </c>
      <c r="E39" s="134">
        <v>0</v>
      </c>
      <c r="F39" s="134">
        <v>0</v>
      </c>
      <c r="G39" s="134">
        <v>8444220</v>
      </c>
    </row>
    <row r="40" spans="2:8" ht="17.25" thickTop="1" x14ac:dyDescent="0.3">
      <c r="B40" s="136" t="s">
        <v>214</v>
      </c>
      <c r="C40" s="134">
        <v>25000000</v>
      </c>
      <c r="D40" s="134">
        <v>0</v>
      </c>
      <c r="E40" s="134">
        <v>0</v>
      </c>
      <c r="F40" s="134">
        <v>0</v>
      </c>
      <c r="G40" s="134">
        <v>25000000</v>
      </c>
    </row>
    <row r="41" spans="2:8" ht="17.25" thickBot="1" x14ac:dyDescent="0.35">
      <c r="B41" s="136" t="s">
        <v>209</v>
      </c>
      <c r="C41" s="134">
        <v>23318659</v>
      </c>
      <c r="D41" s="134">
        <v>0</v>
      </c>
      <c r="E41" s="134">
        <v>-9394361.5800000001</v>
      </c>
      <c r="F41" s="134">
        <v>-13924297.42</v>
      </c>
      <c r="G41" s="134">
        <v>0</v>
      </c>
    </row>
    <row r="42" spans="2:8" ht="17.25" thickTop="1" x14ac:dyDescent="0.3">
      <c r="B42" s="136" t="s">
        <v>224</v>
      </c>
      <c r="C42" s="134">
        <v>68820366</v>
      </c>
      <c r="D42" s="134">
        <v>0</v>
      </c>
      <c r="E42" s="134">
        <v>-23605072.5</v>
      </c>
      <c r="F42" s="134">
        <v>-45215293.5</v>
      </c>
      <c r="G42" s="134">
        <v>0</v>
      </c>
    </row>
    <row r="43" spans="2:8" ht="16.5" x14ac:dyDescent="0.3">
      <c r="B43" s="136" t="s">
        <v>229</v>
      </c>
      <c r="C43" s="134">
        <v>12000000</v>
      </c>
      <c r="D43" s="134">
        <v>0</v>
      </c>
      <c r="E43" s="134">
        <v>-11200000</v>
      </c>
      <c r="F43" s="134">
        <v>0</v>
      </c>
      <c r="G43" s="134">
        <v>800000</v>
      </c>
      <c r="H43" s="41"/>
    </row>
    <row r="44" spans="2:8" ht="16.5" x14ac:dyDescent="0.3">
      <c r="B44" s="136" t="s">
        <v>363</v>
      </c>
      <c r="C44" s="134">
        <v>1500000</v>
      </c>
      <c r="D44" s="134">
        <v>-428212</v>
      </c>
      <c r="E44" s="134">
        <v>0</v>
      </c>
      <c r="F44" s="134">
        <v>-1071788</v>
      </c>
      <c r="G44" s="134">
        <v>0</v>
      </c>
    </row>
    <row r="45" spans="2:8" ht="17.25" thickTop="1" x14ac:dyDescent="0.3">
      <c r="B45" s="136" t="s">
        <v>234</v>
      </c>
      <c r="C45" s="134">
        <v>1505613</v>
      </c>
      <c r="D45" s="134">
        <v>-308901</v>
      </c>
      <c r="E45" s="134">
        <v>0</v>
      </c>
      <c r="F45" s="134">
        <v>-1024072</v>
      </c>
      <c r="G45" s="134">
        <v>172640</v>
      </c>
    </row>
    <row r="46" spans="2:8" ht="16.5" x14ac:dyDescent="0.3">
      <c r="B46" s="136" t="s">
        <v>244</v>
      </c>
      <c r="C46" s="134">
        <v>979620</v>
      </c>
      <c r="D46" s="134">
        <v>-500000</v>
      </c>
      <c r="E46" s="134">
        <v>0</v>
      </c>
      <c r="F46" s="134">
        <v>-38400</v>
      </c>
      <c r="G46" s="134">
        <v>441220</v>
      </c>
    </row>
    <row r="47" spans="2:8" ht="17.25" thickBot="1" x14ac:dyDescent="0.35">
      <c r="B47" s="136" t="s">
        <v>788</v>
      </c>
      <c r="C47" s="134">
        <v>105449</v>
      </c>
      <c r="D47" s="134">
        <v>0</v>
      </c>
      <c r="E47" s="134">
        <v>0</v>
      </c>
      <c r="F47" s="134">
        <v>0</v>
      </c>
      <c r="G47" s="134">
        <v>105449</v>
      </c>
    </row>
    <row r="48" spans="2:8" ht="17.25" thickTop="1" x14ac:dyDescent="0.3">
      <c r="B48" s="136" t="s">
        <v>254</v>
      </c>
      <c r="C48" s="134">
        <v>100000</v>
      </c>
      <c r="D48" s="134">
        <v>0</v>
      </c>
      <c r="E48" s="134">
        <v>0</v>
      </c>
      <c r="F48" s="134">
        <v>0</v>
      </c>
      <c r="G48" s="134">
        <v>100000</v>
      </c>
    </row>
    <row r="49" spans="2:12" ht="16.5" x14ac:dyDescent="0.3">
      <c r="B49" s="136" t="s">
        <v>259</v>
      </c>
      <c r="C49" s="134">
        <v>547665</v>
      </c>
      <c r="D49" s="134">
        <v>0</v>
      </c>
      <c r="E49" s="134">
        <v>-2974.65</v>
      </c>
      <c r="F49" s="134">
        <v>-470316</v>
      </c>
      <c r="G49" s="134">
        <v>74374.349999999977</v>
      </c>
      <c r="L49" s="121">
        <v>2401200</v>
      </c>
    </row>
    <row r="50" spans="2:12" ht="16.5" x14ac:dyDescent="0.3">
      <c r="B50" s="136" t="s">
        <v>264</v>
      </c>
      <c r="C50" s="134">
        <v>1721300</v>
      </c>
      <c r="D50" s="134">
        <v>0</v>
      </c>
      <c r="E50" s="134">
        <v>-261343.76</v>
      </c>
      <c r="F50" s="134">
        <v>0</v>
      </c>
      <c r="G50" s="134">
        <v>1459956.24</v>
      </c>
      <c r="I50" s="118" t="s">
        <v>424</v>
      </c>
      <c r="J50" s="119">
        <v>-6025770.7636850812</v>
      </c>
      <c r="K50" s="120">
        <f t="shared" ref="K50:K52" si="0">SUM(J50)/SUM($J$50:$J$52)</f>
        <v>0.31966928877012046</v>
      </c>
      <c r="L50" s="26">
        <f>K50*$L$49</f>
        <v>767589.89619481331</v>
      </c>
    </row>
    <row r="51" spans="2:12" ht="16.5" x14ac:dyDescent="0.3">
      <c r="B51" s="136" t="s">
        <v>368</v>
      </c>
      <c r="C51" s="134">
        <v>10000</v>
      </c>
      <c r="D51" s="134">
        <v>2478</v>
      </c>
      <c r="E51" s="134">
        <v>0</v>
      </c>
      <c r="F51" s="134">
        <v>-10000</v>
      </c>
      <c r="G51" s="134">
        <v>2478</v>
      </c>
      <c r="I51" s="118" t="s">
        <v>318</v>
      </c>
      <c r="J51" s="119">
        <v>-4580463.6959707029</v>
      </c>
      <c r="K51" s="120">
        <f t="shared" si="0"/>
        <v>0.24299523319948779</v>
      </c>
      <c r="L51" s="26">
        <f t="shared" ref="L51:L52" si="1">K51*$L$49</f>
        <v>583480.15395861014</v>
      </c>
    </row>
    <row r="52" spans="2:12" ht="17.25" thickBot="1" x14ac:dyDescent="0.35">
      <c r="B52" s="136" t="s">
        <v>269</v>
      </c>
      <c r="C52" s="134">
        <v>11619874</v>
      </c>
      <c r="D52" s="134">
        <v>2362100</v>
      </c>
      <c r="E52" s="134">
        <v>-2149695.85</v>
      </c>
      <c r="F52" s="134">
        <v>-11832278.149999999</v>
      </c>
      <c r="G52" s="134">
        <v>0</v>
      </c>
      <c r="I52" s="118" t="s">
        <v>317</v>
      </c>
      <c r="J52" s="119">
        <v>-8243780.15034422</v>
      </c>
      <c r="K52" s="120">
        <f t="shared" si="0"/>
        <v>0.43733547803039174</v>
      </c>
      <c r="L52" s="26">
        <f t="shared" si="1"/>
        <v>1050129.9498465767</v>
      </c>
    </row>
    <row r="53" spans="2:12" ht="17.25" thickTop="1" x14ac:dyDescent="0.3">
      <c r="B53" s="136" t="s">
        <v>274</v>
      </c>
      <c r="C53" s="134">
        <v>48000</v>
      </c>
      <c r="D53" s="134">
        <v>0</v>
      </c>
      <c r="E53" s="134">
        <v>0</v>
      </c>
      <c r="F53" s="134">
        <v>-48000</v>
      </c>
      <c r="G53" s="134">
        <v>0</v>
      </c>
    </row>
    <row r="54" spans="2:12" ht="16.5" x14ac:dyDescent="0.3">
      <c r="B54" s="136" t="s">
        <v>279</v>
      </c>
      <c r="C54" s="134">
        <v>5885189</v>
      </c>
      <c r="D54" s="134">
        <v>0</v>
      </c>
      <c r="E54" s="134">
        <v>-240473.85999999975</v>
      </c>
      <c r="F54" s="134">
        <v>-5644715.1400000006</v>
      </c>
      <c r="G54" s="134">
        <v>0</v>
      </c>
    </row>
    <row r="55" spans="2:12" ht="17.25" thickBot="1" x14ac:dyDescent="0.35">
      <c r="B55" s="136" t="s">
        <v>284</v>
      </c>
      <c r="C55" s="134">
        <v>831496</v>
      </c>
      <c r="D55" s="134">
        <v>0</v>
      </c>
      <c r="E55" s="134">
        <v>-45410</v>
      </c>
      <c r="F55" s="134">
        <v>-721086</v>
      </c>
      <c r="G55" s="134">
        <v>65000</v>
      </c>
    </row>
    <row r="56" spans="2:12" ht="17.25" thickTop="1" x14ac:dyDescent="0.3">
      <c r="B56" s="142" t="s">
        <v>789</v>
      </c>
      <c r="C56" s="125">
        <v>181659105</v>
      </c>
      <c r="D56" s="125">
        <v>1127465</v>
      </c>
      <c r="E56" s="125">
        <v>-46995179.25</v>
      </c>
      <c r="F56" s="125">
        <v>-96716382.209999993</v>
      </c>
      <c r="G56" s="125">
        <v>39075008.540000007</v>
      </c>
    </row>
    <row r="57" spans="2:12" ht="16.5" x14ac:dyDescent="0.3">
      <c r="B57" s="141" t="s">
        <v>767</v>
      </c>
      <c r="C57" s="134"/>
      <c r="D57" s="134"/>
      <c r="E57" s="134"/>
      <c r="F57" s="134"/>
      <c r="G57" s="134"/>
    </row>
    <row r="58" spans="2:12" ht="16.5" x14ac:dyDescent="0.3">
      <c r="B58" s="136" t="s">
        <v>295</v>
      </c>
      <c r="C58" s="134">
        <v>300000</v>
      </c>
      <c r="D58" s="134">
        <v>0</v>
      </c>
      <c r="E58" s="134">
        <v>0</v>
      </c>
      <c r="F58" s="134">
        <v>-300000</v>
      </c>
      <c r="G58" s="134">
        <v>0</v>
      </c>
    </row>
    <row r="59" spans="2:12" ht="17.25" thickBot="1" x14ac:dyDescent="0.35">
      <c r="B59" s="136" t="s">
        <v>300</v>
      </c>
      <c r="C59" s="134">
        <v>1096998</v>
      </c>
      <c r="D59" s="134">
        <v>0</v>
      </c>
      <c r="E59" s="134">
        <v>0</v>
      </c>
      <c r="F59" s="134">
        <v>-1096998</v>
      </c>
      <c r="G59" s="134">
        <v>0</v>
      </c>
    </row>
    <row r="60" spans="2:12" ht="17.25" thickBot="1" x14ac:dyDescent="0.35">
      <c r="B60" s="136" t="s">
        <v>310</v>
      </c>
      <c r="C60" s="134">
        <v>1500000</v>
      </c>
      <c r="D60" s="134">
        <v>0</v>
      </c>
      <c r="E60" s="134">
        <v>0</v>
      </c>
      <c r="F60" s="134">
        <v>-1500000</v>
      </c>
      <c r="G60" s="134">
        <v>0</v>
      </c>
    </row>
    <row r="61" spans="2:12" ht="17.25" thickTop="1" x14ac:dyDescent="0.3">
      <c r="B61" s="136" t="s">
        <v>338</v>
      </c>
      <c r="C61" s="134">
        <v>800000</v>
      </c>
      <c r="D61" s="134">
        <v>937113</v>
      </c>
      <c r="E61" s="134">
        <v>0</v>
      </c>
      <c r="F61" s="134">
        <v>-1737113</v>
      </c>
      <c r="G61" s="134">
        <v>0</v>
      </c>
    </row>
    <row r="62" spans="2:12" ht="16.5" x14ac:dyDescent="0.3">
      <c r="B62" s="136" t="s">
        <v>315</v>
      </c>
      <c r="C62" s="134">
        <v>14776048</v>
      </c>
      <c r="D62" s="134">
        <v>0</v>
      </c>
      <c r="E62" s="134">
        <v>-18850014.610000003</v>
      </c>
      <c r="F62" s="134">
        <v>0</v>
      </c>
      <c r="G62" s="134">
        <v>-4073966.6100000031</v>
      </c>
    </row>
    <row r="63" spans="2:12" ht="16.5" x14ac:dyDescent="0.3">
      <c r="B63" s="136" t="s">
        <v>718</v>
      </c>
      <c r="C63" s="134">
        <v>0</v>
      </c>
      <c r="D63" s="134">
        <v>300000</v>
      </c>
      <c r="E63" s="134">
        <v>0</v>
      </c>
      <c r="F63" s="134">
        <v>-300000</v>
      </c>
      <c r="G63" s="134">
        <v>0</v>
      </c>
      <c r="J63" s="20" t="s">
        <v>565</v>
      </c>
    </row>
    <row r="64" spans="2:12" ht="16.5" x14ac:dyDescent="0.3">
      <c r="B64" s="136" t="s">
        <v>320</v>
      </c>
      <c r="C64" s="134">
        <v>3394616</v>
      </c>
      <c r="D64" s="134">
        <v>0</v>
      </c>
      <c r="E64" s="134">
        <v>0</v>
      </c>
      <c r="F64" s="134">
        <v>-3364616</v>
      </c>
      <c r="G64" s="134">
        <v>30000</v>
      </c>
      <c r="J64" s="42">
        <v>9045</v>
      </c>
      <c r="K64" s="26">
        <f>J64*9</f>
        <v>81405</v>
      </c>
      <c r="L64" s="26">
        <f>K64*3</f>
        <v>244215</v>
      </c>
    </row>
    <row r="65" spans="2:10" ht="17.25" thickBot="1" x14ac:dyDescent="0.35">
      <c r="B65" s="136" t="s">
        <v>325</v>
      </c>
      <c r="C65" s="134">
        <v>510047</v>
      </c>
      <c r="D65" s="134">
        <v>0</v>
      </c>
      <c r="E65" s="134">
        <v>0</v>
      </c>
      <c r="F65" s="134">
        <v>-510047</v>
      </c>
      <c r="G65" s="134">
        <v>0</v>
      </c>
      <c r="J65" s="42">
        <v>30</v>
      </c>
    </row>
    <row r="66" spans="2:10" ht="17.25" thickTop="1" x14ac:dyDescent="0.3">
      <c r="B66" s="142" t="s">
        <v>785</v>
      </c>
      <c r="C66" s="125">
        <v>22377709</v>
      </c>
      <c r="D66" s="125">
        <v>1237113</v>
      </c>
      <c r="E66" s="125">
        <v>-18850014.610000003</v>
      </c>
      <c r="F66" s="125">
        <v>-8808774</v>
      </c>
      <c r="G66" s="125">
        <v>-4043966.6100000031</v>
      </c>
      <c r="H66" s="41"/>
      <c r="J66" s="43">
        <f>J64*J65</f>
        <v>271350</v>
      </c>
    </row>
    <row r="67" spans="2:10" ht="16.5" x14ac:dyDescent="0.3">
      <c r="B67" s="141" t="s">
        <v>768</v>
      </c>
      <c r="C67" s="117">
        <v>1800</v>
      </c>
      <c r="D67" s="117">
        <v>0</v>
      </c>
      <c r="E67" s="117">
        <v>0</v>
      </c>
      <c r="F67" s="117">
        <v>0</v>
      </c>
      <c r="G67" s="117">
        <v>1800</v>
      </c>
    </row>
    <row r="68" spans="2:10" ht="18.75" thickBot="1" x14ac:dyDescent="0.3">
      <c r="B68" s="137" t="s">
        <v>562</v>
      </c>
      <c r="C68" s="138">
        <v>509943885</v>
      </c>
      <c r="D68" s="138">
        <v>1364815</v>
      </c>
      <c r="E68" s="138">
        <v>-157396424.94</v>
      </c>
      <c r="F68" s="138">
        <v>-110442937.20999999</v>
      </c>
      <c r="G68" s="138">
        <v>243469337.84999996</v>
      </c>
    </row>
    <row r="69" spans="2:10" ht="15.75" thickTop="1" x14ac:dyDescent="0.25">
      <c r="B69"/>
      <c r="C69"/>
      <c r="D69"/>
      <c r="E69"/>
      <c r="F69"/>
      <c r="G69"/>
      <c r="H69" s="41"/>
    </row>
    <row r="70" spans="2:10" x14ac:dyDescent="0.25">
      <c r="B70"/>
      <c r="C70"/>
      <c r="D70"/>
      <c r="E70"/>
      <c r="F70"/>
      <c r="G70"/>
    </row>
    <row r="71" spans="2:10" x14ac:dyDescent="0.25">
      <c r="B71"/>
      <c r="C71"/>
      <c r="D71"/>
      <c r="E71"/>
      <c r="F71"/>
      <c r="G71"/>
    </row>
    <row r="72" spans="2:10" ht="15.75" thickBot="1" x14ac:dyDescent="0.3">
      <c r="B72"/>
      <c r="C72"/>
      <c r="D72"/>
      <c r="E72"/>
      <c r="F72"/>
      <c r="G72"/>
    </row>
    <row r="73" spans="2:10" ht="15.75" thickTop="1"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CATALOGO y LISTAS</vt:lpstr>
      <vt:lpstr>BUSCADOR</vt:lpstr>
      <vt:lpstr>BASE DE DATOS</vt:lpstr>
      <vt:lpstr>PAGADO</vt:lpstr>
      <vt:lpstr>ANALISIS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2024-06-11T16:37:40Z</dcterms:modified>
  <cp:category/>
  <cp:contentStatus/>
</cp:coreProperties>
</file>