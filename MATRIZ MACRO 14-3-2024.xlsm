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tables/table10.xml" ContentType="application/vnd.openxmlformats-officedocument.spreadsheetml.tab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339DD5F6-70FB-4B79-A1FF-0378A97A8A91}" xr6:coauthVersionLast="47" xr6:coauthVersionMax="47" xr10:uidLastSave="{00000000-0000-0000-0000-000000000000}"/>
  <bookViews>
    <workbookView xWindow="5115" yWindow="2925" windowWidth="15375" windowHeight="7875" firstSheet="3" activeTab="5" xr2:uid="{2FB2480B-EF2B-43D5-879D-FA457C0551FB}"/>
  </bookViews>
  <sheets>
    <sheet name="CATALOGO y LISTAS" sheetId="1" state="hidden" r:id="rId1"/>
    <sheet name="BUSCADOR" sheetId="6" state="hidden" r:id="rId2"/>
    <sheet name="Cedula para utiles." sheetId="8" state="hidden" r:id="rId3"/>
    <sheet name="ANALISIS" sheetId="4" r:id="rId4"/>
    <sheet name="PAGADO" sheetId="5" r:id="rId5"/>
    <sheet name="Hoja1" sheetId="10" r:id="rId6"/>
    <sheet name="BASE DE DATOS" sheetId="2" r:id="rId7"/>
    <sheet name="REPORTE" sheetId="3" r:id="rId8"/>
    <sheet name="Posibles para tintas" sheetId="9" r:id="rId9"/>
    <sheet name="compromisos" sheetId="7" state="hidden" r:id="rId10"/>
  </sheets>
  <definedNames>
    <definedName name="_xlnm.Print_Area" localSheetId="4">PAGADO!$B$2:$E$36</definedName>
  </definedNames>
  <calcPr calcId="191028"/>
  <pivotCaches>
    <pivotCache cacheId="0"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0" i="3" l="1"/>
  <c r="K15" i="3"/>
  <c r="J12" i="3"/>
  <c r="O250" i="2"/>
  <c r="O176" i="2"/>
  <c r="O230" i="2"/>
  <c r="O231" i="2"/>
  <c r="O203" i="2"/>
  <c r="O202" i="2"/>
  <c r="O281" i="2"/>
  <c r="P281" i="2" s="1"/>
  <c r="P284" i="2"/>
  <c r="P283" i="2"/>
  <c r="D284" i="2"/>
  <c r="E284" i="2"/>
  <c r="D283" i="2"/>
  <c r="E283" i="2"/>
  <c r="AK8" i="4"/>
  <c r="AK7" i="4"/>
  <c r="AK9" i="4"/>
  <c r="AK6" i="4"/>
  <c r="T202" i="2"/>
  <c r="T236" i="2"/>
  <c r="O232"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J49" i="3"/>
  <c r="K49" i="3" s="1"/>
  <c r="J50" i="3"/>
  <c r="K50" i="3" s="1"/>
  <c r="J51" i="3"/>
  <c r="K51" i="3" s="1"/>
  <c r="A139" i="2"/>
  <c r="D139" i="2"/>
  <c r="E139" i="2"/>
  <c r="P139" i="2"/>
  <c r="A140" i="2"/>
  <c r="D140" i="2"/>
  <c r="E140" i="2"/>
  <c r="P140" i="2"/>
  <c r="A141" i="2"/>
  <c r="D141" i="2"/>
  <c r="E141" i="2"/>
  <c r="P141" i="2"/>
  <c r="A142" i="2"/>
  <c r="D142" i="2"/>
  <c r="E142" i="2"/>
  <c r="P142" i="2"/>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I65"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H7" i="3"/>
  <c r="H6" i="3"/>
  <c r="H5" i="3"/>
  <c r="H4" i="3"/>
  <c r="J63" i="3"/>
  <c r="K63"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I4" i="3"/>
  <c r="I6" i="3"/>
  <c r="I5" i="3"/>
  <c r="I7" i="3"/>
  <c r="M7" i="4"/>
  <c r="K8" i="4"/>
  <c r="K7" i="4"/>
  <c r="C7" i="4"/>
  <c r="E7" i="4" s="1"/>
  <c r="C8" i="4"/>
  <c r="E8" i="4" s="1"/>
  <c r="N6" i="4"/>
  <c r="N9" i="4" s="1"/>
  <c r="L6" i="4"/>
  <c r="K6" i="4"/>
  <c r="C9" i="4"/>
  <c r="E9" i="4" s="1"/>
  <c r="M6" i="4"/>
  <c r="C6" i="4"/>
  <c r="E6" i="4" s="1"/>
  <c r="F6" i="4" l="1"/>
  <c r="F9" i="4"/>
  <c r="F8" i="4"/>
  <c r="F7" i="4"/>
  <c r="J7" i="3"/>
  <c r="K7" i="3" s="1"/>
  <c r="J4" i="3"/>
  <c r="K4" i="3" s="1"/>
  <c r="J6" i="3"/>
  <c r="K6" i="3" s="1"/>
  <c r="J5" i="3"/>
  <c r="K5"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<sst xmlns="http://schemas.openxmlformats.org/spreadsheetml/2006/main" count="2443" uniqueCount="989">
  <si>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</si>
  <si>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</si>
  <si>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</si>
  <si>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</si>
  <si>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</si>
  <si>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</si>
  <si>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</si>
  <si>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</si>
  <si>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</si>
  <si>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</si>
  <si>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</si>
  <si>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</si>
  <si>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</si>
  <si>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</si>
  <si>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</si>
  <si>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</si>
  <si>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</si>
  <si>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</si>
  <si>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</si>
  <si>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</si>
  <si>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</si>
  <si>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</si>
  <si>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</si>
  <si>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</si>
  <si>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</si>
  <si>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</si>
  <si>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</si>
  <si>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</si>
  <si>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</si>
  <si>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</si>
  <si>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</si>
  <si>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</si>
  <si>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</si>
  <si>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</si>
  <si>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</si>
  <si>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</si>
  <si>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</si>
  <si>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</si>
  <si>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</si>
  <si>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</si>
  <si>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</si>
  <si>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</si>
  <si>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</si>
  <si>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</si>
  <si>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</si>
  <si>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</si>
  <si>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</si>
  <si>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</si>
  <si>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</si>
  <si>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</si>
  <si>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</si>
  <si>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</si>
  <si>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</si>
  <si>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</si>
  <si>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</si>
  <si>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</si>
  <si>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</si>
  <si>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</si>
  <si>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</si>
  <si>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</si>
  <si>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</si>
  <si>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</si>
  <si>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</si>
  <si>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</si>
  <si>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</si>
  <si>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</si>
  <si>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</si>
  <si>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</si>
  <si>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</si>
  <si>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</si>
  <si>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</si>
  <si>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</si>
  <si>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</si>
  <si>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</si>
  <si>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</si>
  <si>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</si>
  <si>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</si>
  <si>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</si>
  <si>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</si>
  <si>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</si>
  <si>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</si>
  <si>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</si>
  <si>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</si>
  <si>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</si>
  <si>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</si>
  <si>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</si>
  <si>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</si>
  <si>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</si>
  <si>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</si>
  <si>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</si>
  <si>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</si>
  <si>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</si>
  <si>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</si>
  <si>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</si>
  <si>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</si>
  <si>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</si>
  <si>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</si>
  <si>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</si>
  <si>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</si>
  <si>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</si>
  <si>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</si>
  <si>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</si>
  <si>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</si>
  <si>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</si>
  <si>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</si>
  <si>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</si>
  <si>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</si>
  <si>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</si>
  <si>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</si>
  <si>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</si>
  <si>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</si>
  <si>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</si>
  <si>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</si>
  <si>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</si>
  <si>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</si>
  <si>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</si>
  <si>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</si>
  <si>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</si>
  <si>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</si>
  <si>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</si>
  <si>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</si>
  <si>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</si>
  <si>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</si>
  <si>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</si>
  <si>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</si>
  <si>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</si>
  <si>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</si>
  <si>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</si>
  <si>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</si>
  <si>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</si>
  <si>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</si>
  <si>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</si>
  <si>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</si>
  <si>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</si>
  <si>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</si>
  <si>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</si>
  <si>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</si>
  <si>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</si>
  <si>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</si>
  <si>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</si>
  <si>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</si>
  <si>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</si>
  <si>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</si>
  <si>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</si>
  <si>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</si>
  <si>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</si>
  <si>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</si>
  <si>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</si>
  <si>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</si>
  <si>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</si>
  <si>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</si>
  <si>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</si>
  <si>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</si>
  <si>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</si>
  <si>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</si>
  <si>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</si>
  <si>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</si>
  <si>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</si>
  <si>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</si>
  <si>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</si>
  <si>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</si>
  <si>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</si>
  <si>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</si>
  <si>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</si>
  <si>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</si>
  <si>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</si>
  <si>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</si>
  <si>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</si>
  <si>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</si>
  <si>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</si>
  <si>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</si>
  <si>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</si>
  <si>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</si>
  <si>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</si>
  <si>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</si>
  <si>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</si>
  <si>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</si>
  <si>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</si>
  <si>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</si>
  <si>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</si>
  <si>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</si>
  <si>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</si>
  <si>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</si>
  <si>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</si>
  <si>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</si>
  <si>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</si>
  <si>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</si>
  <si>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</si>
  <si>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</si>
  <si>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</si>
  <si>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</si>
  <si>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</si>
  <si>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</si>
  <si>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</si>
  <si>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</si>
  <si>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</si>
  <si>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</si>
  <si>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</si>
  <si>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</si>
  <si>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</si>
  <si>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</si>
  <si>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</si>
  <si>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</si>
  <si>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</si>
  <si>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</si>
  <si>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</si>
  <si>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</si>
  <si>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</si>
  <si>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</si>
  <si>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</si>
  <si>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</si>
  <si>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</si>
  <si>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</si>
  <si>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</si>
  <si>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</si>
  <si>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</si>
  <si>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</si>
  <si>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</si>
  <si>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</si>
  <si>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</si>
  <si>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</si>
  <si>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</si>
  <si>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</si>
  <si>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</si>
  <si>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</si>
  <si>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</si>
  <si>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</si>
  <si>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</si>
  <si>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</si>
  <si>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</si>
  <si>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</si>
  <si>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</si>
  <si>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</si>
  <si>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</si>
  <si>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</si>
  <si>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</si>
  <si>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</si>
  <si>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</si>
  <si>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</si>
  <si>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</si>
  <si>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</si>
  <si>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</si>
  <si>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</si>
  <si>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</si>
  <si>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</si>
  <si>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</si>
  <si>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</si>
  <si>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</si>
  <si>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</si>
  <si>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</si>
  <si>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</si>
  <si>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</si>
  <si>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</si>
  <si>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</si>
  <si>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</si>
  <si>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</si>
  <si>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</si>
  <si>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</si>
  <si>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</si>
  <si>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</si>
  <si>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</si>
  <si>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</si>
  <si>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</si>
  <si>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</si>
  <si>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</si>
  <si>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</si>
  <si>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</si>
  <si>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</si>
  <si>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</si>
  <si>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</si>
  <si>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</si>
  <si>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</si>
  <si>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</si>
  <si>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</si>
  <si>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</si>
  <si>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</si>
  <si>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</si>
  <si>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</si>
  <si>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</si>
  <si>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</si>
  <si>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</si>
  <si>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</si>
  <si>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</si>
  <si>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</si>
  <si>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</si>
  <si>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</si>
  <si>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</si>
  <si>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</si>
  <si>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</si>
  <si>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</si>
  <si>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</si>
  <si>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</si>
  <si>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</si>
  <si>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</si>
  <si>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</si>
  <si>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</si>
  <si>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</si>
  <si>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</si>
  <si>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</si>
  <si>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</si>
  <si>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</si>
  <si>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</si>
  <si>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</si>
  <si>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</si>
  <si>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</si>
  <si>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</si>
  <si>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</si>
  <si>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</si>
  <si>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</si>
  <si>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</si>
  <si>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</si>
  <si>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</si>
  <si>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</si>
  <si>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</si>
  <si>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</si>
  <si>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</si>
  <si>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</si>
  <si>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</si>
  <si>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</si>
  <si>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</si>
  <si>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</si>
  <si>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</si>
  <si>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</si>
  <si>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</si>
  <si>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</si>
  <si>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</si>
  <si>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</si>
  <si>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</si>
  <si>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</si>
  <si>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</si>
  <si>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</si>
  <si>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</si>
  <si>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</si>
  <si>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</si>
  <si>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</si>
  <si>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</si>
  <si>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</si>
  <si>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</si>
  <si>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</si>
  <si>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</si>
  <si>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</si>
  <si>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</si>
  <si>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</si>
  <si>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</si>
  <si>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</si>
  <si>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</si>
  <si>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</si>
  <si>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</si>
  <si>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</si>
  <si>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</si>
  <si>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</si>
  <si>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</si>
  <si>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</si>
  <si>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</si>
  <si>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</si>
  <si>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</si>
  <si>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</si>
  <si>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</si>
  <si>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</si>
  <si>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</si>
  <si>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</si>
  <si>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</si>
  <si>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</si>
  <si>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</si>
  <si>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</si>
  <si>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</si>
  <si>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</si>
  <si>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</si>
  <si>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</si>
  <si>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</si>
  <si>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</si>
  <si>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</si>
  <si>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</si>
  <si>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</si>
  <si>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</si>
  <si>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</si>
  <si>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</si>
  <si>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</si>
  <si>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</si>
  <si>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</si>
  <si>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</si>
  <si>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</si>
  <si>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</si>
  <si>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</si>
  <si>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</si>
  <si>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</si>
  <si>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</si>
  <si>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</si>
  <si>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</si>
  <si>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</si>
  <si>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</si>
  <si>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</si>
  <si>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</si>
  <si>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</si>
  <si>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</si>
  <si>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</si>
  <si>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</si>
  <si>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</si>
  <si>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</si>
  <si>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</si>
  <si>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</si>
  <si>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</si>
  <si>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</si>
  <si>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</si>
  <si>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</si>
  <si>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</si>
  <si>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</si>
  <si>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</si>
  <si>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</si>
  <si>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</si>
  <si>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</si>
  <si>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</si>
  <si>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</si>
  <si>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</si>
  <si>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</si>
  <si>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</si>
  <si>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</si>
  <si>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</si>
  <si>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</si>
  <si>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</si>
  <si>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</si>
  <si>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</si>
  <si>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</si>
  <si>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</si>
  <si>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</si>
  <si>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</si>
  <si>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</si>
  <si>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</si>
  <si>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</si>
  <si>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</si>
  <si>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</si>
  <si>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</si>
  <si>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</si>
  <si>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</si>
  <si>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</si>
  <si>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</si>
  <si>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</si>
  <si>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</si>
  <si>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</si>
  <si>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</si>
  <si>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</si>
  <si>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</si>
  <si>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</si>
  <si>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</si>
  <si>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</si>
  <si>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</si>
  <si>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</si>
  <si>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</si>
  <si>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</si>
  <si>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</si>
  <si>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</si>
  <si>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</si>
  <si>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</si>
  <si>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</si>
  <si>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</si>
  <si>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</si>
  <si>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</si>
  <si>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</si>
  <si>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</si>
  <si>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</si>
  <si>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</si>
  <si>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</si>
  <si>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</si>
  <si>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</si>
  <si>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</si>
  <si>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</si>
  <si>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</si>
  <si>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</si>
  <si>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</si>
  <si>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</si>
  <si>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</si>
  <si>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</si>
  <si>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</si>
  <si>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</si>
  <si>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</si>
  <si>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</si>
  <si>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</si>
  <si>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</si>
  <si>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</si>
  <si>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</si>
  <si>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</si>
  <si>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</si>
  <si>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</si>
  <si>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</si>
  <si>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</si>
  <si>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</si>
  <si>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</si>
  <si>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</si>
  <si>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</si>
  <si>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</si>
  <si>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</si>
  <si>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</si>
  <si>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</si>
  <si>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</si>
  <si>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</si>
  <si>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</si>
  <si>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</si>
  <si>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</si>
  <si>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</si>
  <si>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</si>
  <si>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</si>
  <si>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</si>
  <si>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</si>
  <si>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</si>
  <si>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</si>
  <si>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</si>
  <si>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</si>
  <si>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</si>
  <si>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</si>
  <si>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</si>
  <si>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</si>
  <si>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</si>
  <si>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</si>
  <si>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</si>
  <si>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</si>
  <si>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</si>
  <si>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</si>
  <si>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</si>
  <si>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</si>
  <si>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</si>
  <si>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</si>
  <si>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</si>
  <si>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</si>
  <si>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</si>
  <si>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</si>
  <si>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</si>
  <si>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</si>
  <si>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</si>
  <si>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</si>
  <si>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</si>
  <si>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</si>
  <si>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</si>
  <si>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</si>
  <si>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</si>
  <si>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</si>
  <si>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</si>
  <si>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</si>
  <si>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</si>
  <si>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</si>
  <si>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</si>
  <si>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</si>
  <si>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</si>
  <si>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</si>
  <si>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</si>
  <si>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</si>
  <si>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</si>
  <si>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</si>
  <si>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</si>
  <si>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</si>
  <si>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</si>
  <si>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</si>
  <si>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</si>
  <si>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</si>
  <si>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</si>
  <si>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</si>
  <si>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</si>
  <si>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</si>
  <si>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</si>
  <si>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</si>
  <si>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</si>
  <si>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</si>
  <si>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</si>
  <si>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</si>
  <si>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</si>
  <si>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</si>
  <si>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</si>
  <si>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</si>
  <si>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</si>
  <si>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</si>
  <si>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</si>
  <si>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</si>
  <si>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</si>
  <si>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</si>
  <si>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</si>
  <si>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</si>
  <si>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</si>
  <si>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</si>
  <si>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</si>
  <si>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</si>
  <si>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</si>
  <si>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</si>
  <si>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</si>
  <si>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</si>
  <si>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</si>
  <si>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</si>
  <si>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</si>
  <si>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</si>
  <si>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</si>
  <si>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</si>
  <si>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</si>
  <si>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</si>
  <si>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</si>
  <si>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</si>
  <si>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</si>
  <si>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</si>
  <si>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</si>
  <si>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</si>
  <si>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</si>
  <si>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</si>
  <si>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</si>
  <si>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</si>
  <si>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</si>
  <si>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</si>
  <si>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</si>
  <si>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</si>
  <si>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</si>
  <si>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</si>
  <si>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</si>
  <si>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</si>
  <si>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</si>
  <si>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</si>
  <si>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</si>
  <si>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</si>
  <si>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</si>
  <si>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</si>
  <si>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</si>
  <si>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</si>
  <si>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</si>
  <si>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</si>
  <si>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</si>
  <si>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</si>
  <si>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</si>
  <si>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</si>
  <si>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</si>
  <si>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</si>
  <si>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</si>
  <si>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</si>
  <si>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</si>
  <si>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</si>
  <si>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</si>
  <si>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</si>
  <si>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</si>
  <si>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</si>
  <si>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</si>
  <si>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</si>
  <si>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</si>
  <si>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</si>
  <si>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</si>
  <si>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</si>
  <si>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</si>
  <si>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</si>
  <si>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</si>
  <si>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</si>
  <si>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</si>
  <si>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</si>
  <si>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</si>
  <si>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</si>
  <si>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</si>
  <si>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</si>
  <si>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</si>
  <si>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</si>
  <si>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</si>
  <si>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</si>
  <si>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</si>
  <si>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</si>
  <si>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</si>
  <si>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</si>
  <si>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</si>
  <si>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</si>
  <si>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</si>
  <si>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</si>
  <si>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</si>
  <si>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</si>
  <si>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</si>
  <si>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</si>
  <si>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</si>
  <si>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</si>
  <si>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</si>
  <si>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</si>
  <si>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</si>
  <si>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</si>
  <si>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</si>
  <si>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</si>
  <si>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</si>
  <si>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</si>
  <si>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</si>
  <si>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</si>
  <si>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</si>
  <si>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</si>
  <si>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</si>
  <si>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</si>
  <si>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</si>
  <si>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</si>
  <si>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</si>
  <si>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</si>
  <si>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</si>
  <si>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</si>
  <si>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</si>
  <si>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</si>
  <si>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</si>
  <si>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</si>
  <si>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</si>
  <si>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</si>
  <si>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</si>
  <si>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</si>
  <si>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</si>
  <si>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</si>
  <si>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</si>
  <si>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</si>
  <si>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</si>
  <si>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</si>
  <si>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</si>
  <si>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</si>
  <si>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</si>
  <si>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</si>
  <si>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</si>
  <si>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</si>
  <si>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</si>
  <si>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</si>
  <si>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</si>
  <si>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</si>
  <si>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</si>
  <si>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</si>
  <si>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</si>
  <si>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</si>
  <si>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</si>
  <si>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</si>
  <si>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</si>
  <si>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</si>
  <si>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</si>
  <si>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</si>
  <si>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</si>
  <si>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</si>
  <si>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</si>
  <si>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</si>
  <si>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</si>
  <si>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</si>
  <si>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</si>
  <si>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</si>
  <si>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</si>
  <si>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</si>
  <si>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</si>
  <si>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</si>
  <si>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</si>
  <si>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</si>
  <si>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</si>
  <si>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</si>
  <si>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</si>
  <si>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</si>
  <si>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</si>
  <si>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</si>
  <si>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</si>
  <si>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</si>
  <si>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</si>
  <si>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</si>
  <si>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</si>
  <si>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</si>
  <si>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</si>
  <si>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</si>
  <si>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</si>
  <si>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</si>
  <si>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</si>
  <si>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</si>
  <si>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</si>
  <si>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</si>
  <si>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</si>
  <si>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</si>
  <si>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</si>
  <si>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</si>
  <si>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</si>
  <si>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</si>
  <si>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</si>
  <si>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</si>
  <si>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</si>
  <si>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</si>
  <si>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</si>
  <si>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</si>
  <si>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</si>
  <si>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</si>
  <si>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</si>
  <si>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</si>
  <si>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</si>
  <si>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</si>
  <si>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</si>
  <si>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</si>
  <si>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</si>
  <si>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</si>
  <si>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</si>
  <si>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</si>
  <si>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</si>
  <si>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</si>
  <si>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</si>
  <si>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</si>
  <si>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</si>
  <si>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</si>
  <si>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</si>
  <si>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</si>
  <si>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</si>
  <si>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</si>
  <si>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</si>
  <si>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</si>
  <si>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</si>
  <si>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</si>
  <si>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</si>
  <si>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</si>
  <si>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</si>
  <si>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</si>
  <si>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</si>
  <si>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</si>
  <si>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</si>
  <si>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</si>
  <si>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</si>
  <si>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</si>
  <si>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</si>
  <si>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</si>
  <si>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</si>
  <si>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</si>
  <si>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</si>
  <si>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</si>
  <si>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</si>
  <si>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</si>
  <si>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</si>
  <si>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</si>
  <si>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</si>
  <si>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</si>
  <si>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</si>
  <si>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</si>
  <si>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</si>
  <si>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</si>
  <si>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</si>
  <si>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</si>
  <si>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</si>
  <si>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</si>
  <si>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</si>
  <si>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</si>
  <si>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</si>
  <si>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</si>
  <si>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</si>
  <si>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</si>
  <si>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</si>
  <si>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</si>
  <si>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</si>
  <si>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</si>
  <si>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</si>
  <si>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</si>
  <si>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</si>
  <si>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</si>
  <si>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</si>
  <si>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</si>
  <si>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</si>
  <si>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</si>
  <si>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</si>
  <si>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</si>
  <si>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</si>
  <si>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</si>
  <si>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</si>
  <si>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</si>
  <si>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</si>
  <si>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</si>
  <si>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</si>
  <si>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</si>
  <si>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</si>
  <si>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</si>
  <si>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</si>
  <si>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</si>
  <si>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</si>
  <si>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</si>
  <si>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</si>
  <si>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</si>
  <si>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</si>
  <si>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</si>
  <si>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</si>
  <si>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</si>
  <si>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</si>
  <si>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</si>
  <si>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</si>
  <si>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</si>
  <si>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</si>
  <si>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</si>
  <si>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</si>
  <si>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</si>
  <si>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</si>
  <si>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</si>
  <si>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</si>
  <si>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</si>
  <si>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</si>
  <si>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</si>
  <si>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</si>
  <si>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</si>
  <si>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</si>
  <si>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</si>
  <si>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</si>
  <si>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</si>
  <si>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</si>
  <si>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</si>
  <si>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</si>
  <si>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</si>
  <si>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</si>
  <si>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</si>
  <si>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</si>
  <si>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</si>
  <si>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</si>
  <si>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</si>
  <si>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</si>
  <si>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</si>
  <si>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</si>
  <si>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</si>
  <si>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</si>
  <si>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</si>
  <si>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</si>
  <si>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</si>
  <si>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</si>
  <si>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</si>
  <si>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</si>
  <si>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</si>
  <si>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</si>
  <si>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</si>
  <si>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</si>
  <si>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</si>
  <si>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</si>
  <si>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</si>
  <si>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</si>
  <si>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</si>
  <si>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</si>
  <si>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</si>
  <si>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</si>
  <si>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</si>
  <si>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</si>
  <si>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</si>
  <si>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Laptop avanzada para la coordinación nacional de subvenciones</t>
  </si>
  <si>
    <t>Of. 83-2024-ULMI</t>
  </si>
  <si>
    <t>Of. 74-2024-ULMI</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</si>
  <si>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</si>
  <si>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</si>
  <si>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</si>
  <si>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</si>
  <si>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</si>
  <si>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</si>
  <si>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</si>
  <si>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</si>
  <si>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</si>
  <si>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</si>
  <si>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</si>
  <si>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</si>
  <si>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</si>
  <si>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</si>
  <si>
    <t>Solicitud de la coordinación con apoyo de malaria</t>
  </si>
  <si>
    <t>SESAL-CE-GC-0069-2024</t>
  </si>
  <si>
    <t>SESAL-CM-GC-0108-2024</t>
  </si>
  <si>
    <t>Proceso aprobado</t>
  </si>
  <si>
    <t> SESAL-CM-GC-0175-2024</t>
  </si>
  <si>
    <t>Rastrear</t>
  </si>
  <si>
    <t>Orden de Compra
No.60-1-53-2681-2024
No.60-1-53-2697-2024</t>
  </si>
  <si>
    <t>Orden de Compra
No.60-1-53-2629-2024 
 No.60-1-53-2631-2024</t>
  </si>
  <si>
    <t>Orden de Compra
No.60-1-53-2629-2024
No.60-1-53-2631-2024 (+ L 15,482.50 para completar la compra de computadora para la coordinación + 42,859.10 para completar computadora de VIH)</t>
  </si>
  <si>
    <t>Ordenes de compra
No. 60-1-53-2669-2024
No. 60-1-53-2661-2024
No. 60-1-53-2647-2024
No. 60-1-53-2651-2024
No. 60-1-53-2648-2024</t>
  </si>
  <si>
    <t>Orden de Compra
No. 60-1-53-2709-2024
No. 60-1-53-2705-2024
No. 60-1-53-2708-2024</t>
  </si>
  <si>
    <r>
      <t>Ordenes de compra
No. 60-1-53-2614-2024</t>
    </r>
    <r>
      <rPr>
        <sz val="11"/>
        <rFont val="Calibri"/>
        <family val="2"/>
        <scheme val="minor"/>
      </rPr>
      <t xml:space="preserve">
No. 60-1-53-2634-2024
No. 60-1-53-2633-2024
</t>
    </r>
    <r>
      <rPr>
        <sz val="11"/>
        <color theme="1"/>
        <rFont val="Calibri"/>
        <family val="2"/>
        <scheme val="minor"/>
      </rPr>
      <t>No. 60-1-53-2632-2024</t>
    </r>
  </si>
  <si>
    <t>Orden de compra
No. 60-1-53-2670-2024
No. 60-1-53-2655-2024
No. 60-1-53-2656-2024
No. 60-1-53-2657-2024</t>
  </si>
  <si>
    <t xml:space="preserve">Orden de Compra
N° 60-1-53-2693-2024 </t>
  </si>
  <si>
    <t>Según orden de compra
No. 60-1-53-2686-2024</t>
  </si>
  <si>
    <t>Orden de Compra
No.60-1-53-2595-2024
No.60-1-53-2596-2024
No.60-1-53-2594-2024</t>
  </si>
  <si>
    <t>Según orden de compra
No. 60-1-53-2686-2024
No.60-1-53-2587-2024
No.60-1-53-2742-2024</t>
  </si>
  <si>
    <t>33100 Productos De Papel Y Carton</t>
  </si>
  <si>
    <t>Catalogo Electrónico</t>
  </si>
  <si>
    <t>Compra de medicamentos para TB atraves de OPS por L 59,742.57 y la diferencia destinado para comprar medicamentos de malaria</t>
  </si>
  <si>
    <t>Orden de Compra
No.60-1-53-2631-2024</t>
  </si>
  <si>
    <t>Orden de Compra
No. 60-1-53-2746 -2024
No. 60-1-53-2727-2024
No. 60-1-53-2747-2024
No. 60-1-53-2730 -2024
No. 60-1-53-2728-2024</t>
  </si>
  <si>
    <t>Orden de Compra
No. 60-1-53-2579 -2024
No. 60-1-53-2605 -2024
No. 60-1-53-2578 -2024
No. 60-1-53-2577 -2024</t>
  </si>
  <si>
    <t>SESAL-CM-GC-0039-2024</t>
  </si>
  <si>
    <t>Orden de Compra
No. 60-1-53-2796-2024</t>
  </si>
  <si>
    <t>Orden de Compra
No. 60-1-53-2795-2024
No.	60-1-53-2796-2024</t>
  </si>
  <si>
    <t>Orden de Compra
No. 60-1-53-2795-2024
No. 60-1-53-2796-2024
No.	60-1-53-2796-2024</t>
  </si>
  <si>
    <t>Orden de Compra
No. 60-1-53-2795-2024
No. 60-1-53-2796-2024
No. 60-1-53-2794-2024</t>
  </si>
  <si>
    <t>SESAL-CE-GC-0023-2024</t>
  </si>
  <si>
    <t>Se hizo enmienda mediante Oficio No. 281-CNS-SSRISS-2024 y Oficio No. 270-ETNEM-SS-2024.
Ordenes de compra:
No. 60-1-53-2787-2024	
No. 60-1-53-2786-2024}
No. 60-1-53-2785-2024
No. 60-1-53-2784-2024
No. 60-1-53-2783-2024
No. 60-1-53-2782-2024</t>
  </si>
  <si>
    <t>Solo se deja el presupuesto pendiente en una de las solicitudes de malaria para no duplicar saldos.Se hizo enmienda mediante Oficio No. 281-CNS-SSRISS-2024 y Oficio No. 270-ETNEM-SS-2024.
Ordenes de compra:
No. 60-1-53-2787-2024	
No. 60-1-53-2786-2024}
No. 60-1-53-2785-2024
No. 60-1-53-2784-2024
No. 60-1-53-2783-2024
No. 60-1-53-2782-2024</t>
  </si>
  <si>
    <t>Orden de Compra No.	60-1-53-2701-2024</t>
  </si>
  <si>
    <t>(10 CAJA)JERINGA ESTÉRIL, DESCARTABLE DE 5 ML CON AGUJA 21G X 1.5" CON BLOQUEO LUER, PRESENTACIÓN DE CAJA DE 100 UNUDADES</t>
  </si>
  <si>
    <t>SESAL-CM-GC-0196-2024</t>
  </si>
  <si>
    <t>SESAL-CM-GC-0182-2024</t>
  </si>
  <si>
    <t>SESAL-CM-GC-0184-2024</t>
  </si>
  <si>
    <t>SESAL-CM-GC-0010-2024</t>
  </si>
  <si>
    <t>SESAL-CM-GC-0017-2024</t>
  </si>
  <si>
    <t>SESAL-CM-GC-0052-2024
SESAL-CM-GC-0056-2024</t>
  </si>
  <si>
    <t>SESAL-CM-GC-0051-2024</t>
  </si>
  <si>
    <t>SESAL-CM-GC-0219-2024</t>
  </si>
  <si>
    <t>Servicios de transporte se sigue evaluando la posibilidad por partre de TB</t>
  </si>
  <si>
    <t>15 mil metros necesidad de papel toalla</t>
  </si>
  <si>
    <t>Mantenimiento de edificio</t>
  </si>
  <si>
    <t>Aceites</t>
  </si>
  <si>
    <t>Viaticos</t>
  </si>
  <si>
    <t>Productos de papel y cartón</t>
  </si>
  <si>
    <t>Llantas y camaras de aire</t>
  </si>
  <si>
    <t>Equipo de computo</t>
  </si>
  <si>
    <t>Material de defensa</t>
  </si>
  <si>
    <t>mantenimiento de equipo de computo</t>
  </si>
  <si>
    <t>Materiales electricos</t>
  </si>
  <si>
    <t>Utiles de eneseñanza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</si>
</sst>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6"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amily val="2"/>
    </font>
    <font>
      <b/>
      <u/>
      <sz val="11"/>
      <color theme="1"/>
      <name val="Arial Narrow"/>
      <family val="2"/>
    </font>
    <font>
      <sz val="8"/>
      <color rgb="FF2F2F2F"/>
      <name val="Verdana"/>
      <family val="2"/>
    </font>
    <font>
      <b/>
      <sz val="11"/>
      <color theme="1"/>
      <name val="Arial Narrow"/>
    </font>
    <font>
      <sz val="12"/>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s>
  <fills count="13">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8" tint="0.79998168889431442"/>
        <bgColor theme="8" tint="0.79998168889431442"/>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
      <left/>
      <right/>
      <top style="thin">
        <color theme="8" tint="0.79998168889431442"/>
      </top>
      <bottom style="thin">
        <color theme="8"/>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70">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44" fontId="10" fillId="4" borderId="22" xfId="0" applyNumberFormat="1" applyFont="1" applyFill="1" applyBorder="1"/>
    <xf numFmtId="0" fontId="16" fillId="3" borderId="3" xfId="0" applyFont="1" applyFill="1" applyBorder="1"/>
    <xf numFmtId="0" fontId="17" fillId="3" borderId="4" xfId="0" applyFont="1" applyFill="1" applyBorder="1" applyAlignment="1">
      <alignment horizontal="center"/>
    </xf>
    <xf numFmtId="44" fontId="17"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16"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16" fillId="6" borderId="1" xfId="2" applyFont="1" applyFill="1" applyBorder="1" applyAlignment="1">
      <alignment horizontal="center"/>
    </xf>
    <xf numFmtId="43" fontId="4" fillId="6" borderId="1" xfId="0" applyNumberFormat="1" applyFont="1" applyFill="1" applyBorder="1"/>
    <xf numFmtId="2" fontId="0" fillId="0" borderId="0" xfId="1" applyNumberFormat="1" applyFont="1"/>
    <xf numFmtId="44" fontId="10" fillId="0" borderId="0" xfId="0" applyNumberFormat="1" applyFont="1"/>
    <xf numFmtId="0" fontId="18" fillId="0" borderId="0" xfId="0" applyFont="1"/>
    <xf numFmtId="0" fontId="11" fillId="0" borderId="0" xfId="0" applyFont="1"/>
    <xf numFmtId="0" fontId="11" fillId="0" borderId="0" xfId="0" pivotButton="1" applyFont="1"/>
    <xf numFmtId="0" fontId="11" fillId="0" borderId="0" xfId="0" pivotButton="1" applyFont="1" applyAlignment="1">
      <alignment horizontal="center"/>
    </xf>
    <xf numFmtId="0" fontId="11" fillId="0" borderId="0" xfId="0" applyFont="1" applyAlignment="1">
      <alignment horizontal="center"/>
    </xf>
    <xf numFmtId="0" fontId="11" fillId="0" borderId="0" xfId="0" applyFont="1" applyAlignment="1">
      <alignment horizontal="left"/>
    </xf>
    <xf numFmtId="44" fontId="11" fillId="0" borderId="0" xfId="0" applyNumberFormat="1" applyFont="1"/>
    <xf numFmtId="0" fontId="19" fillId="0" borderId="0" xfId="0" applyFont="1" applyAlignment="1">
      <alignment horizontal="left" indent="1"/>
    </xf>
    <xf numFmtId="0" fontId="20" fillId="0" borderId="0" xfId="0" applyFont="1" applyAlignment="1">
      <alignment horizontal="centerContinuous"/>
    </xf>
    <xf numFmtId="0" fontId="11" fillId="0" borderId="0" xfId="0" applyFont="1" applyAlignment="1">
      <alignment horizontal="left" indent="1"/>
    </xf>
    <xf numFmtId="0" fontId="21" fillId="5" borderId="0" xfId="0" applyFont="1" applyFill="1" applyAlignment="1">
      <alignment horizontal="center" vertical="center"/>
    </xf>
    <xf numFmtId="44" fontId="21" fillId="5" borderId="0" xfId="0" applyNumberFormat="1" applyFont="1" applyFill="1"/>
    <xf numFmtId="44" fontId="22" fillId="10" borderId="0" xfId="0" applyNumberFormat="1" applyFont="1" applyFill="1" applyAlignment="1">
      <alignment horizontal="center" vertical="center"/>
    </xf>
    <xf numFmtId="0" fontId="23" fillId="10" borderId="11" xfId="0" applyFont="1" applyFill="1" applyBorder="1"/>
    <xf numFmtId="0" fontId="25" fillId="0" borderId="0" xfId="0" applyFont="1" applyAlignment="1">
      <alignment horizontal="left"/>
    </xf>
    <xf numFmtId="0" fontId="24" fillId="4" borderId="22" xfId="0" applyFont="1" applyFill="1" applyBorder="1" applyAlignment="1">
      <alignment horizontal="left"/>
    </xf>
    <xf numFmtId="44" fontId="11" fillId="12" borderId="23" xfId="0" applyNumberFormat="1" applyFont="1" applyFill="1" applyBorder="1"/>
  </cellXfs>
  <cellStyles count="4">
    <cellStyle name="Millares" xfId="3" builtinId="3"/>
    <cellStyle name="Moneda" xfId="1" builtinId="4"/>
    <cellStyle name="Normal" xfId="0" builtinId="0"/>
    <cellStyle name="Porcentaje" xfId="2" builtinId="5"/>
  </cellStyles>
  <dxfs count="369">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8"/>
    </tableStyle>
  </tableStyles>
  <colors>
    <mruColors>
      <color rgb="FFFF0000"/>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19108235.789793156</c:v>
                </c:pt>
                <c:pt idx="3">
                  <c:v>72850756.683604702</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27528365.245835107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64934617.560742304</c:v>
                </c:pt>
                <c:pt idx="1">
                  <c:v>21799435.800738264</c:v>
                </c:pt>
                <c:pt idx="2">
                  <c:v>20681429.001124132</c:v>
                </c:pt>
                <c:pt idx="3">
                  <c:v>118972511.63639529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19108235.789793156</c:v>
                </c:pt>
                <c:pt idx="3">
                  <c:v>72850756.683604702</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ANALISIS!$AB$5:$AE$5</c:f>
              <c:strCache>
                <c:ptCount val="4"/>
                <c:pt idx="0">
                  <c:v>SSRISS</c:v>
                </c:pt>
                <c:pt idx="1">
                  <c:v>VIH</c:v>
                </c:pt>
                <c:pt idx="2">
                  <c:v>MALARIA</c:v>
                </c:pt>
                <c:pt idx="3">
                  <c:v>TB</c:v>
                </c:pt>
              </c:strCache>
            </c:strRef>
          </c:cat>
          <c:val>
            <c:numRef>
              <c:f>ANALISIS!$AB$6:$AE$6</c:f>
              <c:numCache>
                <c:formatCode>_("L"* #,##0.00_);_("L"* \(#,##0.00\);_("L"* "-"??_);_(@_)</c:formatCode>
                <c:ptCount val="4"/>
                <c:pt idx="0">
                  <c:v>196205688.31999999</c:v>
                </c:pt>
                <c:pt idx="1">
                  <c:v>44094786.310000002</c:v>
                </c:pt>
                <c:pt idx="2">
                  <c:v>31918921.57</c:v>
                </c:pt>
                <c:pt idx="3">
                  <c:v>25699434.800000001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ANALISIS!$AB$5:$AE$5</c:f>
              <c:strCache>
                <c:ptCount val="4"/>
                <c:pt idx="0">
                  <c:v>SSRISS</c:v>
                </c:pt>
                <c:pt idx="1">
                  <c:v>VIH</c:v>
                </c:pt>
                <c:pt idx="2">
                  <c:v>MALARIA</c:v>
                </c:pt>
                <c:pt idx="3">
                  <c:v>TB</c:v>
                </c:pt>
              </c:strCache>
            </c:strRef>
          </c:cat>
          <c:val>
            <c:numRef>
              <c:f>ANALISIS!$AB$7:$AE$7</c:f>
              <c:numCache>
                <c:formatCode>_("L"* #,##0.00_);_("L"* \(#,##0.00\);_("L"* "-"??_);_(@_)</c:formatCode>
                <c:ptCount val="4"/>
                <c:pt idx="0">
                  <c:v>1398254</c:v>
                </c:pt>
                <c:pt idx="1">
                  <c:v>6826958</c:v>
                </c:pt>
                <c:pt idx="2">
                  <c:v>2707845</c:v>
                </c:pt>
                <c:pt idx="3">
                  <c:v>3643620</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ANALISIS!$AB$5:$AE$5</c:f>
              <c:strCache>
                <c:ptCount val="4"/>
                <c:pt idx="0">
                  <c:v>SSRISS</c:v>
                </c:pt>
                <c:pt idx="1">
                  <c:v>VIH</c:v>
                </c:pt>
                <c:pt idx="2">
                  <c:v>MALARIA</c:v>
                </c:pt>
                <c:pt idx="3">
                  <c:v>TB</c:v>
                </c:pt>
              </c:strCache>
            </c:strRef>
          </c:cat>
          <c:val>
            <c:numRef>
              <c:f>ANALISIS!$AB$8:$AE$8</c:f>
              <c:numCache>
                <c:formatCode>_("L"* #,##0.00_);_("L"* \(#,##0.00\);_("L"* "-"??_);_(@_)</c:formatCode>
                <c:ptCount val="4"/>
                <c:pt idx="0">
                  <c:v>732763</c:v>
                </c:pt>
                <c:pt idx="1">
                  <c:v>122167014.61422576</c:v>
                </c:pt>
                <c:pt idx="2">
                  <c:v>41715642.974858418</c:v>
                </c:pt>
                <c:pt idx="3">
                  <c:v>19408262.410915814</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ANALISIS!$AB$9:$AE$9</c:f>
              <c:numCache>
                <c:formatCode>_("L"* #,##0.00_);_("L"* \(#,##0.00\);_("L"* "-"??_);_(@_)</c:formatCode>
                <c:ptCount val="4"/>
                <c:pt idx="0">
                  <c:v>30000</c:v>
                </c:pt>
                <c:pt idx="1">
                  <c:v>11253572</c:v>
                </c:pt>
                <c:pt idx="2">
                  <c:v>7725203</c:v>
                </c:pt>
                <c:pt idx="3">
                  <c:v>4606047</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ANALISIS!$AB$10:$AE$10</c:f>
              <c:numCache>
                <c:formatCode>_("L"* #,##0.00_);_("L"* \(#,##0.00\);_("L"* "-"??_);_(@_)</c:formatCode>
                <c:ptCount val="4"/>
                <c:pt idx="0">
                  <c:v>1800</c:v>
                </c:pt>
                <c:pt idx="1">
                  <c:v>0</c:v>
                </c:pt>
                <c:pt idx="2">
                  <c:v>0</c:v>
                </c:pt>
                <c:pt idx="3">
                  <c:v>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3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8.629996527779"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longText="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s v="SESAL-CM-GC-0039-2024"/>
    <m/>
    <n v="97745.126666666663"/>
  </r>
  <r>
    <n v="172"/>
    <m/>
    <x v="126"/>
    <n v="26"/>
    <x v="54"/>
    <m/>
    <s v="Pago de desaduanaje"/>
    <m/>
    <m/>
    <m/>
    <m/>
    <m/>
    <m/>
    <m/>
    <n v="97745.126666666663"/>
    <n v="-97745.126666666663"/>
    <x v="1"/>
    <s v="SESAL-CM-GC-0039-2024"/>
    <m/>
    <n v="97745.126666666663"/>
  </r>
  <r>
    <n v="173"/>
    <m/>
    <x v="127"/>
    <n v="26"/>
    <x v="54"/>
    <m/>
    <s v="Pago de desaduanaje"/>
    <m/>
    <m/>
    <m/>
    <m/>
    <m/>
    <m/>
    <m/>
    <n v="97745.126666666663"/>
    <n v="-97745.126666666663"/>
    <x v="1"/>
    <s v="SESAL-CM-GC-0039-2024"/>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o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ogo Electrónico"/>
    <x v="118"/>
    <n v="59"/>
    <x v="51"/>
    <s v="Lcda. Graciela"/>
    <s v="Computadoras de escritorio, computadora portatil, impresora"/>
    <s v="Of. 097-DGRP-2024"/>
    <d v="2024-01-29T00:00:00"/>
    <s v="Of. 060-CNS-SSRISS-2024"/>
    <d v="2024-02-23T00:00:00"/>
    <m/>
    <m/>
    <m/>
    <n v="2512300.9"/>
    <n v="-2512300.9"/>
    <x v="1"/>
    <m/>
    <s v="Orden de Compra_x000a_No.60-1-53-2629-2024_x000a_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s v="SESAL-CM-GC-0196-2024"/>
    <s v="Solo se deja el presupuesto pendiente en una de las solicitudes de malaria para no duplicar saldos. Oficio 2380-2024-GA ( Aires acondicionados) 2381-2024-GA (Fotocopiadora) 2382-2024-GA (Aspiradora ventiladores trituradora, encuadernadora)"/>
    <m/>
  </r>
  <r>
    <n v="24"/>
    <s v="Catalogo Electrónico"/>
    <x v="119"/>
    <n v="59"/>
    <x v="51"/>
    <s v="Lcda. Graciela"/>
    <s v="Computadora Escritorrio, Computadora portatil, impresora multifuncional, mochila para laptops, protector para datashow"/>
    <s v="Of. 040-ETNEM-SS-2024"/>
    <d v="2024-02-05T00:00:00"/>
    <m/>
    <m/>
    <m/>
    <m/>
    <m/>
    <n v="393985"/>
    <n v="-393985"/>
    <x v="4"/>
    <m/>
    <m/>
    <m/>
  </r>
  <r>
    <n v="25"/>
    <s v="Catalogo Electrónico"/>
    <x v="105"/>
    <n v="52"/>
    <x v="45"/>
    <s v="Lcda. Graciela"/>
    <s v="USB, Disco duro externo, CD, Mouse Inalambrico, Mouse Alambrico, Teclado alambrico, adaptador macho USB para HDMI, Tintas, lector de CD"/>
    <s v="Of. 038-ETNEM-SS-2024"/>
    <d v="2024-02-05T00:00:00"/>
    <s v="Of.059-CNS-SSRISS-2024"/>
    <d v="2024-02-23T00:00:00"/>
    <m/>
    <m/>
    <m/>
    <n v="55116"/>
    <n v="-55116"/>
    <x v="1"/>
    <s v="SESAL-CE-GC-0023-2024"/>
    <s v="Orden de Compra_x000a_No. 60-1-53-2579 -2024_x000a_No. 60-1-53-2605 -2024_x000a_No. 60-1-53-2578 -2024_x000a_No. 60-1-53-2577 -2024"/>
    <n v="22942.5"/>
  </r>
  <r>
    <n v="26"/>
    <s v="Catalo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s v="Ordenes de compra_x000a_No. 60-1-53-2614-2024_x000a_No. 60-1-53-2634-2024_x000a_No. 60-1-53-2633-2024_x000a_No. 60-1-53-2632-2024"/>
    <n v="20267.559999999998"/>
  </r>
  <r>
    <n v="27"/>
    <s v="Catalogo Electrónico"/>
    <x v="62"/>
    <n v="33"/>
    <x v="26"/>
    <s v="Lic. Nimrod"/>
    <s v="Papel Bond Tamaño oficio, carta, Folder carta, Folder Oficio."/>
    <s v="Of. 042-ETNEM-SS-2024"/>
    <d v="2024-02-05T00:00:00"/>
    <s v="Of.056-CNS-SSRISS-2024"/>
    <d v="2024-02-23T00:00:00"/>
    <m/>
    <m/>
    <m/>
    <n v="10810.92"/>
    <n v="-10810.92"/>
    <x v="1"/>
    <m/>
    <s v="Orden de Compra_x000a_No.60-1-53-2595-2024_x000a_No.60-1-53-2596-2024_x000a_No.60-1-53-2594-2024"/>
    <n v="10810.92"/>
  </r>
  <r>
    <n v="28"/>
    <s v="Catalo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s v="SESAL-CM-GC-0010-2024"/>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ogo Electrónico"/>
    <x v="119"/>
    <n v="59"/>
    <x v="51"/>
    <s v="Lcda. Graciela"/>
    <s v="Computadora Escritorrio, Computadora portatil, impresora multifuncional (flujo continuo)"/>
    <s v="Of. 040-ETNEM-SS-2024"/>
    <d v="2024-02-05T00:00:00"/>
    <s v="Of. 060-CNS-SSRISS-2024"/>
    <d v="2024-02-23T00:00:00"/>
    <m/>
    <m/>
    <m/>
    <n v="393985"/>
    <n v="-393985"/>
    <x v="1"/>
    <m/>
    <s v="Orden de Compra_x000a_No.60-1-53-2629-2024 _x000a_ No.60-1-53-2631-2024"/>
    <m/>
  </r>
  <r>
    <n v="32"/>
    <s v="Catalo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SESAL-CM-GC-0017-2024"/>
    <m/>
    <n v="118910"/>
  </r>
  <r>
    <n v="36"/>
    <s v="Catalogo Electrónico"/>
    <x v="120"/>
    <n v="59"/>
    <x v="51"/>
    <s v="Lcda. Graciela"/>
    <s v="computadora de escritorio, computadora portatil, impresora multifuncional (flujo continuo)"/>
    <s v="Of. 311-DGRP-2024"/>
    <d v="2024-02-27T00:00:00"/>
    <s v="Of. 090-CNS-SSRISS-2024"/>
    <d v="2024-03-05T00:00:00"/>
    <m/>
    <m/>
    <m/>
    <n v="282353.11"/>
    <n v="-282353.11"/>
    <x v="1"/>
    <m/>
    <s v="Orden de Compra_x000a_No.60-1-53-2681-2024_x000a_No.60-1-53-2697-2024"/>
    <m/>
  </r>
  <r>
    <n v="37"/>
    <s v="Catalo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s v="SESAL-CM-GC-0184-2024"/>
    <s v="Solo se deja el presupuesto pendiente en una de las solicitudes de malaria para no duplicar saldos"/>
    <m/>
  </r>
  <r>
    <n v="43"/>
    <s v="Catalo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s v="Se hizo enmienda mediante Oficio No. 281-CNS-SSRISS-2024 y Oficio No. 270-ETNEM-SS-2024._x000a_Ordenes de compra:_x000a_No. 60-1-53-2787-2024_x0009__x000a_No. 60-1-53-2786-2024}_x000a_No. 60-1-53-2785-2024_x000a_No. 60-1-53-2784-2024_x000a_No. 60-1-53-2783-2024_x000a_No. 60-1-53-2782-2024"/>
    <m/>
  </r>
  <r>
    <n v="44"/>
    <s v="Catalo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Se hizo enmienda mediante Oficio No. 281-CNS-SSRISS-2024 y Oficio No. 270-ETNEM-SS-2024._x000a_Ordenes de compra:_x000a_No. 60-1-53-2787-2024_x0009__x000a_No. 60-1-53-2786-2024}_x000a_No. 60-1-53-2785-2024_x000a_No. 60-1-53-2784-2024_x000a_No. 60-1-53-2783-2024_x000a_No. 60-1-53-2782-2024"/>
    <m/>
  </r>
  <r>
    <n v="45"/>
    <s v="Catalogo Electrónico"/>
    <x v="93"/>
    <n v="48"/>
    <x v="40"/>
    <s v="Lic. Nimrod"/>
    <s v="Opalina Lineal Blanco, Acetatos para laminar"/>
    <s v="Of. 107-ETNEM-SS-2024"/>
    <d v="2024-03-04T00:00:00"/>
    <m/>
    <m/>
    <m/>
    <m/>
    <m/>
    <n v="691300"/>
    <n v="-691300"/>
    <x v="4"/>
    <m/>
    <s v="regresarlos por incorrección de clasificación"/>
    <m/>
  </r>
  <r>
    <n v="46"/>
    <s v="Catalo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s v="SESAL-CM-GC-0051-2024"/>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ogo Electrónico"/>
    <x v="122"/>
    <n v="60"/>
    <x v="52"/>
    <s v="Lcda. Graciela"/>
    <s v="Licencias para OfficeMicrosoft 365, Antivirus"/>
    <s v="Of. 096-ETNEM-2024"/>
    <d v="2024-03-14T00:00:00"/>
    <s v="Of. 123-CNS-SSRISS-2024"/>
    <d v="2024-03-19T00:00:00"/>
    <m/>
    <m/>
    <m/>
    <n v="0"/>
    <n v="0"/>
    <x v="6"/>
    <m/>
    <s v="se envio adhesión para adquirir licrncias microsoft"/>
    <m/>
  </r>
  <r>
    <n v="53"/>
    <s v="Catalogo Electrónico"/>
    <x v="61"/>
    <n v="33"/>
    <x v="26"/>
    <s v="Lic. Josias"/>
    <s v="Folder manila, Post-it 3M, Leitz, Cuaderno Unico, Papel, Sobres Manila, Papel Bond"/>
    <s v="Of. 365-DGRP-2024"/>
    <d v="2024-03-06T00:00:00"/>
    <s v="Of.115-CNS-SSRISS-2024"/>
    <d v="2024-03-18T00:00:00"/>
    <m/>
    <m/>
    <m/>
    <n v="58750.555999999997"/>
    <n v="-58750.555999999997"/>
    <x v="1"/>
    <m/>
    <s v="Según orden de compra_x000a_No. 60-1-53-2686-2024_x000a_No.60-1-53-2587-2024_x000a_No.60-1-53-2742-2024"/>
    <n v="24319.624999999996"/>
  </r>
  <r>
    <n v="54"/>
    <s v="Catalogo Electrónico"/>
    <x v="60"/>
    <n v="33"/>
    <x v="26"/>
    <s v="Lic. Josias"/>
    <s v="papel y carton varios para la cooordinación"/>
    <m/>
    <m/>
    <s v="Of.115-CNS-SSRISS-2024"/>
    <d v="2024-03-18T00:00:00"/>
    <m/>
    <m/>
    <m/>
    <n v="53229.704999999994"/>
    <n v="-53229.704999999994"/>
    <x v="1"/>
    <m/>
    <s v="Según orden de compra_x000a_No. 60-1-53-2686-2024"/>
    <n v="29441.724999999999"/>
  </r>
  <r>
    <n v="55"/>
    <s v="Catalogo Electrónico"/>
    <x v="91"/>
    <n v="48"/>
    <x v="40"/>
    <s v="Lic. Nimrod"/>
    <s v="utiles varios de oficina para la cooordinación"/>
    <m/>
    <m/>
    <s v="Of.117-CNS-SSRISS-2024"/>
    <d v="2024-03-18T00:00:00"/>
    <m/>
    <m/>
    <m/>
    <n v="3759.73"/>
    <n v="-3759.73"/>
    <x v="1"/>
    <m/>
    <s v="Orden de compra_x000a_No. 60-1-53-2670-2024_x000a_No. 60-1-53-2655-2024_x000a_No. 60-1-53-2656-2024_x000a_No. 60-1-53-2657-2024"/>
    <n v="3759.73"/>
  </r>
  <r>
    <n v="56"/>
    <s v="Catalo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s v="SESAL-CM-GC-0052-2024_x000a_SESAL-CM-GC-0056-2024"/>
    <m/>
    <m/>
  </r>
  <r>
    <n v="58"/>
    <s v="Compra Menor"/>
    <x v="47"/>
    <n v="25"/>
    <x v="20"/>
    <s v="Lic. Josias"/>
    <m/>
    <m/>
    <m/>
    <m/>
    <m/>
    <m/>
    <m/>
    <m/>
    <n v="688200"/>
    <n v="-688200"/>
    <x v="4"/>
    <m/>
    <s v="Se devolvio por que habia muchas cosas por corregir"/>
    <m/>
  </r>
  <r>
    <n v="59"/>
    <s v="Catalogo Electrónico"/>
    <x v="92"/>
    <n v="48"/>
    <x v="40"/>
    <s v="Lic. Nimrod"/>
    <s v="Lapices, marcadores, grapas, perforadoras, engrapadoras"/>
    <s v="Of. 564-DGRP-2024"/>
    <d v="2024-04-03T00:00:00"/>
    <s v="Of.141-CNS-SSRISS-2024"/>
    <d v="2024-04-04T00:00:00"/>
    <m/>
    <m/>
    <m/>
    <n v="227654.87"/>
    <n v="-227654.87"/>
    <x v="1"/>
    <m/>
    <s v="Ordenes de compra_x000a_No. 60-1-53-2669-2024_x000a_No. 60-1-53-2661-2024_x000a_No. 60-1-53-2647-2024_x000a_No. 60-1-53-2651-2024_x000a_No. 60-1-53-2648-2024"/>
    <n v="225683.8"/>
  </r>
  <r>
    <n v="60"/>
    <s v="Catalogo Electrónico"/>
    <x v="63"/>
    <n v="33"/>
    <x v="26"/>
    <s v="Lic. Nimrod"/>
    <s v="Folders, cartoncillo, cartulina, papel bond, leitz"/>
    <s v="Of. 434-DGRP-2024"/>
    <d v="2024-04-03T00:00:00"/>
    <s v="Of.142-CNS-SSRISS-2024"/>
    <d v="2024-04-04T00:00:00"/>
    <m/>
    <m/>
    <m/>
    <n v="31274.78"/>
    <n v="-31274.78"/>
    <x v="1"/>
    <m/>
    <s v="Orden de Compra_x000a_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o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s v="SESAL-CE-GC-0069-2024"/>
    <s v="Orden de Compra_x000a_No. 60-1-53-2746 -2024_x000a_No. 60-1-53-2727-2024_x000a_No. 60-1-53-2747-2024_x000a_No. 60-1-53-2730 -2024_x000a_No. 60-1-53-2728-2024"/>
    <m/>
  </r>
  <r>
    <n v="64"/>
    <s v="Catalogo Electrónico"/>
    <x v="106"/>
    <n v="52"/>
    <x v="45"/>
    <s v="Lcda. Graciela"/>
    <s v="tintas"/>
    <s v="Of. 436-DGRP-2024"/>
    <d v="2024-04-09T00:00:00"/>
    <s v="Of.151-CNS-SSRISS-2024"/>
    <d v="2024-04-12T00:00:00"/>
    <m/>
    <m/>
    <m/>
    <n v="0"/>
    <n v="0"/>
    <x v="5"/>
    <s v="SESAL-CE-GC-0069-2024"/>
    <s v="Orden de Compra_x000a_No. 60-1-53-2746 -2024_x000a_No. 60-1-53-2727-2024_x000a_No. 60-1-53-2747-2024_x000a_No. 60-1-53-2730 -2024_x000a_No. 60-1-53-2728-2024"/>
    <m/>
  </r>
  <r>
    <n v="65"/>
    <s v="Catalogo Electrónico"/>
    <x v="94"/>
    <n v="48"/>
    <x v="40"/>
    <s v="Lic. Nimrod"/>
    <s v="utiles varios de oficina"/>
    <s v="Of. 435-DGRP-2024"/>
    <d v="2024-04-09T00:00:00"/>
    <s v="Of.155-CNS-SSRISS-2024"/>
    <d v="2024-04-12T00:00:00"/>
    <m/>
    <m/>
    <m/>
    <n v="9661.6"/>
    <n v="-9661.6"/>
    <x v="1"/>
    <m/>
    <s v="Orden de Compra_x000a_No. 60-1-53-2709-2024_x000a_No. 60-1-53-2705-2024_x000a_No. 60-1-53-2708-2024"/>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s v=" SESAL-CM-GC-0175-2024"/>
    <s v="Se deja un solo valor por que ya hay una solicitud de compra de tintas "/>
    <m/>
  </r>
  <r>
    <n v="68"/>
    <s v="Catalogo Electrónico"/>
    <x v="90"/>
    <n v="47"/>
    <x v="39"/>
    <s v="Lcda. Graciela"/>
    <s v="Cloro, detergente, cepillo, detergente liquido neutro PH7"/>
    <s v="Of. 628-DGRP-2024"/>
    <d v="2024-04-11T00:00:00"/>
    <s v="Of. 166-CNS-SSRISS-2024"/>
    <d v="2024-04-15T00:00:00"/>
    <m/>
    <m/>
    <m/>
    <n v="1950"/>
    <n v="-1950"/>
    <x v="1"/>
    <m/>
    <s v="Orden de Compra No._x0009_60-1-53-2701-2024"/>
    <n v="1950"/>
  </r>
  <r>
    <n v="69"/>
    <s v="Compra Directa"/>
    <x v="99"/>
    <n v="50"/>
    <x v="43"/>
    <s v="Dra. Jessy"/>
    <s v="Jeringas"/>
    <s v="Of. 213-JLNV-2024"/>
    <d v="2024-04-11T00:00:00"/>
    <m/>
    <m/>
    <m/>
    <m/>
    <m/>
    <n v="48000"/>
    <n v="-48000"/>
    <x v="4"/>
    <m/>
    <s v="quedo sin valor y efecto"/>
    <m/>
  </r>
  <r>
    <n v="70"/>
    <s v="Catalo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s v="SESAL-CM-GC-0196-2024"/>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s v="SESAL-CM-GC-0184-2024"/>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10 CAJA)JERINGA ESTÉRIL, DESCARTABLE DE 5 ML CON AGUJA 21G X 1.5&quot; CON BLOQUEO LUER, PRESENTACIÓN DE CAJA DE 100 UNUDADES"/>
    <s v="Of. 213-JLNV-2024"/>
    <d v="2024-04-24T00:00:00"/>
    <s v="Of. 185-CNS-SSRISS-2024"/>
    <d v="2024-04-24T00:00:00"/>
    <m/>
    <m/>
    <m/>
    <n v="48000"/>
    <n v="-48000"/>
    <x v="5"/>
    <s v="SESAL-CM-GC-0108-2024"/>
    <s v="Proceso aprobado"/>
    <m/>
  </r>
  <r>
    <n v="77"/>
    <s v="Catalogo Electrónico"/>
    <x v="88"/>
    <n v="47"/>
    <x v="39"/>
    <s v="Dra. Lucy"/>
    <s v="Detergente, paños para limpieza, papel toalla Interfoliada (KLEENEX), papel toalla"/>
    <s v="Of. 245-JLNV-2024"/>
    <d v="2024-04-24T00:00:00"/>
    <s v="Of. 186-CNS-SSRISS-2024"/>
    <d v="2024-04-29T00:00:00"/>
    <m/>
    <m/>
    <m/>
    <n v="1024.6500000000001"/>
    <n v="-1024.6500000000001"/>
    <x v="1"/>
    <m/>
    <m/>
    <n v="1024.6500000000001"/>
  </r>
  <r>
    <n v="78"/>
    <s v="Catalogo Electrónico"/>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ogo Electrónico"/>
    <x v="68"/>
    <n v="35"/>
    <x v="28"/>
    <s v="Lic. Josias"/>
    <s v="15 llantas para 3 Vehiculos"/>
    <s v="Of. 809-DGRP-2024"/>
    <d v="2024-05-09T00:00:00"/>
    <s v="Of. 235-CNS-SSRISS-2024"/>
    <d v="2024-05-29T00:00:00"/>
    <m/>
    <m/>
    <m/>
    <n v="100000"/>
    <n v="-100000"/>
    <x v="5"/>
    <m/>
    <s v="Orden de Compra_x000a_No. 60-1-53-2795-2024_x000a_No._x0009_60-1-53-2796-2024"/>
    <m/>
  </r>
  <r>
    <n v="98"/>
    <s v="Catalogo Electrónico"/>
    <x v="70"/>
    <n v="35"/>
    <x v="28"/>
    <s v="Lic. Josias"/>
    <s v="14 llantas para 3 Vehiculos"/>
    <s v="Of. 804-DGRP-2024"/>
    <d v="2024-05-09T00:00:00"/>
    <s v="Of. 235-CNS-SSRISS-2024"/>
    <d v="2024-05-29T00:00:00"/>
    <m/>
    <m/>
    <m/>
    <n v="80000"/>
    <n v="-80000"/>
    <x v="5"/>
    <m/>
    <s v="Orden de Compra_x000a_No. 60-1-53-2795-2024_x000a_No. 60-1-53-2796-2024_x000a_No._x0009_60-1-53-2796-2024"/>
    <m/>
  </r>
  <r>
    <n v="99"/>
    <s v="Catalogo Electrónico"/>
    <x v="69"/>
    <n v="35"/>
    <x v="28"/>
    <s v="Lic. Josias"/>
    <s v="Llantas para malaria"/>
    <s v="Of. 244-ETNEM-SS-2024"/>
    <d v="2024-05-29T00:00:00"/>
    <s v="Of. 235-CNS-SSRISS-2024"/>
    <d v="2024-05-29T00:00:00"/>
    <m/>
    <m/>
    <m/>
    <n v="209293"/>
    <n v="-209293"/>
    <x v="5"/>
    <m/>
    <s v="Orden de Compra_x000a_No. 60-1-53-2795-2024_x000a_No. 60-1-53-2796-2024_x000a_No. 60-1-53-2794-2024"/>
    <m/>
  </r>
  <r>
    <n v="100"/>
    <s v="Catalogo Electrónico"/>
    <x v="67"/>
    <n v="35"/>
    <x v="28"/>
    <s v="Lic. Josias"/>
    <s v="Llantas para vehiculo de la coodinación"/>
    <m/>
    <m/>
    <s v="Of. 235-CNS-SSRISS-2024"/>
    <d v="2024-05-29T00:00:00"/>
    <m/>
    <m/>
    <m/>
    <n v="255000"/>
    <n v="-255000"/>
    <x v="5"/>
    <m/>
    <s v="Orden de Compra_x000a_No. 60-1-53-2796-2024"/>
    <m/>
  </r>
  <r>
    <n v="101"/>
    <s v="Compra Menor"/>
    <x v="30"/>
    <n v="15"/>
    <x v="13"/>
    <s v="Lic. Josias"/>
    <s v="Mantenimiento"/>
    <s v="Of. 210-ETNEM-SS-2024"/>
    <d v="2024-05-03T00:00:00"/>
    <s v="Of. 236-CNS-SSRISS-2024"/>
    <d v="2024-05-23T00:00:00"/>
    <m/>
    <m/>
    <m/>
    <n v="49780"/>
    <n v="-49780"/>
    <x v="5"/>
    <s v="SESAL-CM-GC-0203-2024"/>
    <m/>
    <m/>
  </r>
  <r>
    <n v="102"/>
    <s v="Catalogo Electrónico"/>
    <x v="105"/>
    <n v="52"/>
    <x v="45"/>
    <s v="Lic. Josias"/>
    <s v="Tintas, mouse y USB"/>
    <m/>
    <m/>
    <s v="Of. 257-CNS-SSRISS-2024"/>
    <d v="2024-06-03T00:00:00"/>
    <m/>
    <m/>
    <m/>
    <n v="264480"/>
    <n v="-264480"/>
    <x v="5"/>
    <s v="Rastrear"/>
    <s v="Solicitud de la coordinación con apoyo de malaria"/>
    <m/>
  </r>
  <r>
    <n v="103"/>
    <s v="Compra Menor"/>
    <x v="84"/>
    <n v="44"/>
    <x v="36"/>
    <s v="Lic. Josias"/>
    <s v="Aceite para motor 15W30 8 Galones"/>
    <s v="Of. 803-DGRP-2024"/>
    <d v="2024-05-09T00:00:00"/>
    <s v="Of. 233-CNS-SSRISS-2024"/>
    <d v="2024-05-21T00:00:00"/>
    <m/>
    <m/>
    <m/>
    <n v="38400"/>
    <n v="-38400"/>
    <x v="5"/>
    <s v="SESAL-CM-GC-0182-2024"/>
    <m/>
    <m/>
  </r>
  <r>
    <n v="104"/>
    <s v="Catalogo Electrónico"/>
    <x v="93"/>
    <n v="48"/>
    <x v="40"/>
    <s v="Lic. Nimrod"/>
    <s v="Compra de utiles para ETNEM y la coordinación nacional de subvenciones"/>
    <m/>
    <m/>
    <s v="Of. 282-CNS-SSRISS-2024"/>
    <d v="2024-06-14T00:00:00"/>
    <m/>
    <m/>
    <m/>
    <n v="671032.43999999994"/>
    <n v="-671032.43999999994"/>
    <x v="5"/>
    <m/>
    <m/>
    <m/>
  </r>
  <r>
    <n v="105"/>
    <s v="Catalogo Electrónico"/>
    <x v="117"/>
    <n v="59"/>
    <x v="51"/>
    <s v="Lcda. Graciela"/>
    <s v="Laptop avanzada para la coordinación nacional de subvenciones"/>
    <m/>
    <m/>
    <s v="Of. 060-CNS-SSRISS-2024"/>
    <d v="2024-02-23T00:00:00"/>
    <m/>
    <m/>
    <m/>
    <n v="30000"/>
    <n v="-30000"/>
    <x v="1"/>
    <m/>
    <s v="Orden de Compra_x000a_No.60-1-53-2631-2024"/>
    <m/>
  </r>
  <r>
    <n v="106"/>
    <s v="Compra Menor"/>
    <x v="104"/>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0"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293">
      <pivotArea outline="0" collapsedLevelsAreSubtotals="1" fieldPosition="0"/>
    </format>
    <format dxfId="292">
      <pivotArea dataOnly="0" labelOnly="1" fieldPosition="0">
        <references count="1">
          <reference field="4" count="0"/>
        </references>
      </pivotArea>
    </format>
    <format dxfId="291">
      <pivotArea dataOnly="0" labelOnly="1" outline="0" fieldPosition="0">
        <references count="2">
          <reference field="4294967294" count="3">
            <x v="0"/>
            <x v="1"/>
            <x v="2"/>
          </reference>
          <reference field="16" count="0" selected="0"/>
        </references>
      </pivotArea>
    </format>
    <format dxfId="290">
      <pivotArea field="4" type="button" dataOnly="0" labelOnly="1" outline="0" axis="axisRow" fieldPosition="1"/>
    </format>
    <format dxfId="289">
      <pivotArea type="all" dataOnly="0" outline="0" fieldPosition="0"/>
    </format>
    <format dxfId="288">
      <pivotArea dataOnly="0" labelOnly="1" fieldPosition="0">
        <references count="1">
          <reference field="16" count="0"/>
        </references>
      </pivotArea>
    </format>
    <format dxfId="287">
      <pivotArea dataOnly="0" labelOnly="1" fieldPosition="0">
        <references count="1">
          <reference field="16" count="0"/>
        </references>
      </pivotArea>
    </format>
    <format dxfId="286">
      <pivotArea collapsedLevelsAreSubtotals="1" fieldPosition="0">
        <references count="2">
          <reference field="4" count="1">
            <x v="0"/>
          </reference>
          <reference field="22" count="1" selected="0">
            <x v="1"/>
          </reference>
        </references>
      </pivotArea>
    </format>
    <format dxfId="285">
      <pivotArea collapsedLevelsAreSubtotals="1" fieldPosition="0">
        <references count="2">
          <reference field="4" count="1">
            <x v="1"/>
          </reference>
          <reference field="22" count="1" selected="0">
            <x v="1"/>
          </reference>
        </references>
      </pivotArea>
    </format>
    <format dxfId="284">
      <pivotArea collapsedLevelsAreSubtotals="1" fieldPosition="0">
        <references count="2">
          <reference field="4" count="1">
            <x v="4"/>
          </reference>
          <reference field="22" count="1" selected="0">
            <x v="1"/>
          </reference>
        </references>
      </pivotArea>
    </format>
    <format dxfId="283">
      <pivotArea collapsedLevelsAreSubtotals="1" fieldPosition="0">
        <references count="2">
          <reference field="4" count="1">
            <x v="5"/>
          </reference>
          <reference field="22" count="1" selected="0">
            <x v="1"/>
          </reference>
        </references>
      </pivotArea>
    </format>
    <format dxfId="282">
      <pivotArea collapsedLevelsAreSubtotals="1" fieldPosition="0">
        <references count="2">
          <reference field="4" count="1">
            <x v="6"/>
          </reference>
          <reference field="22" count="1" selected="0">
            <x v="1"/>
          </reference>
        </references>
      </pivotArea>
    </format>
    <format dxfId="281">
      <pivotArea collapsedLevelsAreSubtotals="1" fieldPosition="0">
        <references count="2">
          <reference field="4" count="1">
            <x v="7"/>
          </reference>
          <reference field="22" count="1" selected="0">
            <x v="1"/>
          </reference>
        </references>
      </pivotArea>
    </format>
    <format dxfId="280">
      <pivotArea collapsedLevelsAreSubtotals="1" fieldPosition="0">
        <references count="2">
          <reference field="4" count="1">
            <x v="10"/>
          </reference>
          <reference field="22" count="1" selected="0">
            <x v="1"/>
          </reference>
        </references>
      </pivotArea>
    </format>
    <format dxfId="279">
      <pivotArea collapsedLevelsAreSubtotals="1" fieldPosition="0">
        <references count="2">
          <reference field="4" count="1">
            <x v="11"/>
          </reference>
          <reference field="22" count="1" selected="0">
            <x v="1"/>
          </reference>
        </references>
      </pivotArea>
    </format>
    <format dxfId="278">
      <pivotArea collapsedLevelsAreSubtotals="1" fieldPosition="0">
        <references count="2">
          <reference field="4" count="1">
            <x v="27"/>
          </reference>
          <reference field="22" count="1" selected="0">
            <x v="3"/>
          </reference>
        </references>
      </pivotArea>
    </format>
    <format dxfId="277">
      <pivotArea collapsedLevelsAreSubtotals="1" fieldPosition="0">
        <references count="2">
          <reference field="4" count="1">
            <x v="32"/>
          </reference>
          <reference field="22" count="1" selected="0">
            <x v="3"/>
          </reference>
        </references>
      </pivotArea>
    </format>
    <format dxfId="276">
      <pivotArea collapsedLevelsAreSubtotals="1" fieldPosition="0">
        <references count="2">
          <reference field="4" count="1">
            <x v="33"/>
          </reference>
          <reference field="22" count="1" selected="0">
            <x v="3"/>
          </reference>
        </references>
      </pivotArea>
    </format>
    <format dxfId="275">
      <pivotArea collapsedLevelsAreSubtotals="1" fieldPosition="0">
        <references count="2">
          <reference field="4" count="1">
            <x v="34"/>
          </reference>
          <reference field="22" count="1" selected="0">
            <x v="3"/>
          </reference>
        </references>
      </pivotArea>
    </format>
    <format dxfId="274">
      <pivotArea collapsedLevelsAreSubtotals="1" fieldPosition="0">
        <references count="2">
          <reference field="4" count="1">
            <x v="40"/>
          </reference>
          <reference field="22" count="1" selected="0">
            <x v="3"/>
          </reference>
        </references>
      </pivotArea>
    </format>
    <format dxfId="273">
      <pivotArea collapsedLevelsAreSubtotals="1" fieldPosition="0">
        <references count="2">
          <reference field="4" count="1">
            <x v="41"/>
          </reference>
          <reference field="22" count="1" selected="0">
            <x v="3"/>
          </reference>
        </references>
      </pivotArea>
    </format>
    <format dxfId="272">
      <pivotArea collapsedLevelsAreSubtotals="1" fieldPosition="0">
        <references count="2">
          <reference field="4" count="1">
            <x v="43"/>
          </reference>
          <reference field="22" count="1" selected="0">
            <x v="3"/>
          </reference>
        </references>
      </pivotArea>
    </format>
    <format dxfId="271">
      <pivotArea collapsedLevelsAreSubtotals="1" fieldPosition="0">
        <references count="2">
          <reference field="4" count="1">
            <x v="45"/>
          </reference>
          <reference field="22" count="1" selected="0">
            <x v="3"/>
          </reference>
        </references>
      </pivotArea>
    </format>
    <format dxfId="270">
      <pivotArea collapsedLevelsAreSubtotals="1" fieldPosition="0">
        <references count="2">
          <reference field="4" count="1">
            <x v="46"/>
          </reference>
          <reference field="22" count="1" selected="0">
            <x v="3"/>
          </reference>
        </references>
      </pivotArea>
    </format>
    <format dxfId="269">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0"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A1:F32" firstHeaderRow="1" firstDataRow="2" firstDataCol="1"/>
  <pivotFields count="23">
    <pivotField subtotalTop="0" showAll="0"/>
    <pivotField subtotalTop="0" showAll="0"/>
    <pivotField axis="axisRow" subtotalTop="0" showAll="0">
      <items count="134">
        <item h="1" x="130"/>
        <item h="1" x="0"/>
        <item x="3"/>
        <item h="1" x="1"/>
        <item h="1" x="2"/>
        <item h="1" x="4"/>
        <item h="1" x="5"/>
        <item h="1" x="6"/>
        <item h="1" x="7"/>
        <item h="1" x="8"/>
        <item x="11"/>
        <item h="1" x="9"/>
        <item h="1" x="12"/>
        <item h="1" x="10"/>
        <item x="15"/>
        <item h="1" x="13"/>
        <item h="1" x="16"/>
        <item h="1" x="14"/>
        <item x="19"/>
        <item h="1" x="17"/>
        <item h="1" x="20"/>
        <item h="1" x="18"/>
        <item x="23"/>
        <item h="1" x="21"/>
        <item h="1" x="22"/>
        <item h="1" x="24"/>
        <item x="26"/>
        <item h="1" x="27"/>
        <item h="1" x="25"/>
        <item x="30"/>
        <item h="1" x="28"/>
        <item h="1" x="31"/>
        <item h="1" x="29"/>
        <item h="1" x="33"/>
        <item h="1" x="32"/>
        <item x="35"/>
        <item h="1" x="34"/>
        <item x="37"/>
        <item h="1" x="38"/>
        <item h="1" x="36"/>
        <item h="1" x="39"/>
        <item x="42"/>
        <item h="1" x="40"/>
        <item h="1" x="43"/>
        <item h="1" x="41"/>
        <item h="1" x="44"/>
        <item x="47"/>
        <item h="1" x="45"/>
        <item h="1" x="48"/>
        <item h="1" x="46"/>
        <item h="1" x="49"/>
        <item h="1" x="51"/>
        <item h="1" x="50"/>
        <item x="54"/>
        <item h="1" x="52"/>
        <item h="1" x="55"/>
        <item h="1" x="53"/>
        <item x="57"/>
        <item h="1" x="58"/>
        <item h="1" x="56"/>
        <item x="59"/>
        <item x="62"/>
        <item h="1" x="60"/>
        <item h="1" x="63"/>
        <item h="1" x="61"/>
        <item x="65"/>
        <item h="1" x="66"/>
        <item h="1" x="64"/>
        <item x="69"/>
        <item h="1" x="67"/>
        <item h="1" x="70"/>
        <item h="1" x="68"/>
        <item x="72"/>
        <item h="1" x="71"/>
        <item h="1" x="73"/>
        <item x="74"/>
        <item h="1" x="75"/>
        <item h="1" x="76"/>
        <item x="77"/>
        <item x="78"/>
        <item x="80"/>
        <item h="1" x="81"/>
        <item h="1" x="79"/>
        <item x="83"/>
        <item h="1" x="82"/>
        <item h="1" x="84"/>
        <item h="1" x="86"/>
        <item h="1" x="85"/>
        <item x="87"/>
        <item x="89"/>
        <item h="1" x="90"/>
        <item h="1" x="88"/>
        <item x="93"/>
        <item h="1" x="91"/>
        <item h="1" x="94"/>
        <item h="1" x="92"/>
        <item h="1" x="95"/>
        <item x="97"/>
        <item h="1" x="98"/>
        <item h="1" x="96"/>
        <item h="1" x="99"/>
        <item x="101"/>
        <item h="1" x="102"/>
        <item h="1" x="100"/>
        <item x="105"/>
        <item h="1" x="103"/>
        <item h="1" x="106"/>
        <item h="1" x="104"/>
        <item x="107"/>
        <item h="1" x="108"/>
        <item x="110"/>
        <item h="1" x="111"/>
        <item h="1" x="109"/>
        <item x="112"/>
        <item x="113"/>
        <item x="115"/>
        <item h="1" x="116"/>
        <item h="1" x="114"/>
        <item x="119"/>
        <item h="1" x="117"/>
        <item h="1" x="120"/>
        <item h="1" x="118"/>
        <item x="122"/>
        <item h="1" x="123"/>
        <item h="1" x="121"/>
        <item h="1" x="124"/>
        <item h="1" x="129"/>
        <item h="1" m="1" x="131"/>
        <item x="128"/>
        <item h="1" m="1" x="132"/>
        <item h="1" x="125"/>
        <item x="126"/>
        <item h="1"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n="33100 Productos De Papel Y Carton"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sd="0" x="3"/>
        <item n="Grupo 30000 Materiales y Suministros" x="4"/>
        <item n="Grupo 40000 Bienes Capitalizables" sd="0" x="5"/>
        <item n="Grupo 50000 Transferencias y Donaciones" sd="0" x="0"/>
        <item x="1"/>
        <item t="default"/>
      </items>
    </pivotField>
  </pivotFields>
  <rowFields count="3">
    <field x="22"/>
    <field x="4"/>
    <field x="2"/>
  </rowFields>
  <rowItems count="30">
    <i>
      <x/>
    </i>
    <i r="1">
      <x v="1"/>
    </i>
    <i r="1">
      <x v="7"/>
    </i>
    <i r="1">
      <x v="8"/>
    </i>
    <i r="1">
      <x v="9"/>
    </i>
    <i r="1">
      <x v="10"/>
    </i>
    <i t="default">
      <x/>
    </i>
    <i>
      <x v="1"/>
    </i>
    <i>
      <x v="2"/>
    </i>
    <i r="1">
      <x v="24"/>
    </i>
    <i r="1">
      <x v="25"/>
    </i>
    <i r="1">
      <x v="26"/>
    </i>
    <i r="1">
      <x v="27"/>
    </i>
    <i r="1">
      <x v="28"/>
    </i>
    <i r="1">
      <x v="29"/>
    </i>
    <i r="1">
      <x v="30"/>
    </i>
    <i r="1">
      <x v="32"/>
    </i>
    <i r="1">
      <x v="34"/>
    </i>
    <i r="1">
      <x v="35"/>
    </i>
    <i r="1">
      <x v="36"/>
    </i>
    <i r="1">
      <x v="37"/>
    </i>
    <i r="1">
      <x v="39"/>
    </i>
    <i r="1">
      <x v="40"/>
    </i>
    <i r="1">
      <x v="41"/>
    </i>
    <i r="1">
      <x v="43"/>
    </i>
    <i r="1">
      <x v="45"/>
    </i>
    <i r="1">
      <x v="46"/>
    </i>
    <i t="default">
      <x v="2"/>
    </i>
    <i>
      <x v="3"/>
    </i>
    <i t="grand">
      <x/>
    </i>
  </rowItems>
  <colFields count="1">
    <field x="16"/>
  </colFields>
  <colItems count="5">
    <i>
      <x/>
    </i>
    <i>
      <x v="1"/>
    </i>
    <i>
      <x v="2"/>
    </i>
    <i>
      <x v="3"/>
    </i>
    <i t="grand">
      <x/>
    </i>
  </colItems>
  <dataFields count="1">
    <dataField name="Suma de Saldo" fld="15" baseField="0" baseItem="0"/>
  </dataFields>
  <formats count="221">
    <format dxfId="235">
      <pivotArea field="4" grandCol="1" collapsedLevelsAreSubtotals="1" axis="axisRow" fieldPosition="1">
        <references count="1">
          <reference field="4" count="1">
            <x v="0"/>
          </reference>
        </references>
      </pivotArea>
    </format>
    <format dxfId="234">
      <pivotArea field="4" grandCol="1" collapsedLevelsAreSubtotals="1" axis="axisRow" fieldPosition="1">
        <references count="1">
          <reference field="4" count="1">
            <x v="1"/>
          </reference>
        </references>
      </pivotArea>
    </format>
    <format dxfId="233">
      <pivotArea field="4" grandCol="1" collapsedLevelsAreSubtotals="1" axis="axisRow" fieldPosition="1">
        <references count="1">
          <reference field="4" count="1">
            <x v="2"/>
          </reference>
        </references>
      </pivotArea>
    </format>
    <format dxfId="232">
      <pivotArea field="4" grandCol="1" collapsedLevelsAreSubtotals="1" axis="axisRow" fieldPosition="1">
        <references count="1">
          <reference field="4" count="1">
            <x v="3"/>
          </reference>
        </references>
      </pivotArea>
    </format>
    <format dxfId="231">
      <pivotArea field="4" grandCol="1" collapsedLevelsAreSubtotals="1" axis="axisRow" fieldPosition="1">
        <references count="1">
          <reference field="4" count="1">
            <x v="4"/>
          </reference>
        </references>
      </pivotArea>
    </format>
    <format dxfId="230">
      <pivotArea field="4" grandCol="1" collapsedLevelsAreSubtotals="1" axis="axisRow" fieldPosition="1">
        <references count="1">
          <reference field="4" count="1">
            <x v="5"/>
          </reference>
        </references>
      </pivotArea>
    </format>
    <format dxfId="229">
      <pivotArea field="4" grandCol="1" collapsedLevelsAreSubtotals="1" axis="axisRow" fieldPosition="1">
        <references count="1">
          <reference field="4" count="1">
            <x v="6"/>
          </reference>
        </references>
      </pivotArea>
    </format>
    <format dxfId="228">
      <pivotArea field="4" grandCol="1" collapsedLevelsAreSubtotals="1" axis="axisRow" fieldPosition="1">
        <references count="1">
          <reference field="4" count="1">
            <x v="7"/>
          </reference>
        </references>
      </pivotArea>
    </format>
    <format dxfId="227">
      <pivotArea field="4" grandCol="1" collapsedLevelsAreSubtotals="1" axis="axisRow" fieldPosition="1">
        <references count="1">
          <reference field="4" count="1">
            <x v="8"/>
          </reference>
        </references>
      </pivotArea>
    </format>
    <format dxfId="226">
      <pivotArea field="4" grandCol="1" collapsedLevelsAreSubtotals="1" axis="axisRow" fieldPosition="1">
        <references count="1">
          <reference field="4" count="1">
            <x v="9"/>
          </reference>
        </references>
      </pivotArea>
    </format>
    <format dxfId="225">
      <pivotArea field="4" grandCol="1" collapsedLevelsAreSubtotals="1" axis="axisRow" fieldPosition="1">
        <references count="1">
          <reference field="4" count="1">
            <x v="10"/>
          </reference>
        </references>
      </pivotArea>
    </format>
    <format dxfId="224">
      <pivotArea field="4" grandCol="1" collapsedLevelsAreSubtotals="1" axis="axisRow" fieldPosition="1">
        <references count="1">
          <reference field="4" count="1">
            <x v="11"/>
          </reference>
        </references>
      </pivotArea>
    </format>
    <format dxfId="223">
      <pivotArea field="4" grandCol="1" collapsedLevelsAreSubtotals="1" axis="axisRow" fieldPosition="1">
        <references count="1">
          <reference field="4" count="1">
            <x v="12"/>
          </reference>
        </references>
      </pivotArea>
    </format>
    <format dxfId="222">
      <pivotArea field="4" grandCol="1" collapsedLevelsAreSubtotals="1" axis="axisRow" fieldPosition="1">
        <references count="1">
          <reference field="4" count="1">
            <x v="13"/>
          </reference>
        </references>
      </pivotArea>
    </format>
    <format dxfId="221">
      <pivotArea field="4" grandCol="1" collapsedLevelsAreSubtotals="1" axis="axisRow" fieldPosition="1">
        <references count="1">
          <reference field="4" count="1">
            <x v="14"/>
          </reference>
        </references>
      </pivotArea>
    </format>
    <format dxfId="220">
      <pivotArea field="4" grandCol="1" collapsedLevelsAreSubtotals="1" axis="axisRow" fieldPosition="1">
        <references count="1">
          <reference field="4" count="1">
            <x v="15"/>
          </reference>
        </references>
      </pivotArea>
    </format>
    <format dxfId="219">
      <pivotArea field="4" grandCol="1" collapsedLevelsAreSubtotals="1" axis="axisRow" fieldPosition="1">
        <references count="1">
          <reference field="4" count="1">
            <x v="16"/>
          </reference>
        </references>
      </pivotArea>
    </format>
    <format dxfId="218">
      <pivotArea field="4" grandCol="1" collapsedLevelsAreSubtotals="1" axis="axisRow" fieldPosition="1">
        <references count="1">
          <reference field="4" count="1">
            <x v="17"/>
          </reference>
        </references>
      </pivotArea>
    </format>
    <format dxfId="217">
      <pivotArea field="4" grandCol="1" collapsedLevelsAreSubtotals="1" axis="axisRow" fieldPosition="1">
        <references count="1">
          <reference field="4" count="1">
            <x v="18"/>
          </reference>
        </references>
      </pivotArea>
    </format>
    <format dxfId="216">
      <pivotArea field="4" grandCol="1" collapsedLevelsAreSubtotals="1" axis="axisRow" fieldPosition="1">
        <references count="1">
          <reference field="4" count="1">
            <x v="19"/>
          </reference>
        </references>
      </pivotArea>
    </format>
    <format dxfId="215">
      <pivotArea field="4" grandCol="1" collapsedLevelsAreSubtotals="1" axis="axisRow" fieldPosition="1">
        <references count="1">
          <reference field="4" count="1">
            <x v="20"/>
          </reference>
        </references>
      </pivotArea>
    </format>
    <format dxfId="214">
      <pivotArea field="4" grandCol="1" collapsedLevelsAreSubtotals="1" axis="axisRow" fieldPosition="1">
        <references count="1">
          <reference field="4" count="1">
            <x v="21"/>
          </reference>
        </references>
      </pivotArea>
    </format>
    <format dxfId="213">
      <pivotArea field="4" grandCol="1" collapsedLevelsAreSubtotals="1" axis="axisRow" fieldPosition="1">
        <references count="1">
          <reference field="4" count="1">
            <x v="23"/>
          </reference>
        </references>
      </pivotArea>
    </format>
    <format dxfId="212">
      <pivotArea field="4" grandCol="1" collapsedLevelsAreSubtotals="1" axis="axisRow" fieldPosition="1">
        <references count="1">
          <reference field="4" count="1">
            <x v="24"/>
          </reference>
        </references>
      </pivotArea>
    </format>
    <format dxfId="211">
      <pivotArea field="4" grandCol="1" collapsedLevelsAreSubtotals="1" axis="axisRow" fieldPosition="1">
        <references count="1">
          <reference field="4" count="1">
            <x v="25"/>
          </reference>
        </references>
      </pivotArea>
    </format>
    <format dxfId="210">
      <pivotArea field="4" grandCol="1" collapsedLevelsAreSubtotals="1" axis="axisRow" fieldPosition="1">
        <references count="1">
          <reference field="4" count="1">
            <x v="26"/>
          </reference>
        </references>
      </pivotArea>
    </format>
    <format dxfId="209">
      <pivotArea field="4" grandCol="1" collapsedLevelsAreSubtotals="1" axis="axisRow" fieldPosition="1">
        <references count="1">
          <reference field="4" count="1">
            <x v="27"/>
          </reference>
        </references>
      </pivotArea>
    </format>
    <format dxfId="208">
      <pivotArea field="4" grandCol="1" collapsedLevelsAreSubtotals="1" axis="axisRow" fieldPosition="1">
        <references count="1">
          <reference field="4" count="1">
            <x v="28"/>
          </reference>
        </references>
      </pivotArea>
    </format>
    <format dxfId="207">
      <pivotArea field="4" grandCol="1" collapsedLevelsAreSubtotals="1" axis="axisRow" fieldPosition="1">
        <references count="1">
          <reference field="4" count="1">
            <x v="29"/>
          </reference>
        </references>
      </pivotArea>
    </format>
    <format dxfId="206">
      <pivotArea field="4" grandCol="1" collapsedLevelsAreSubtotals="1" axis="axisRow" fieldPosition="1">
        <references count="1">
          <reference field="4" count="1">
            <x v="30"/>
          </reference>
        </references>
      </pivotArea>
    </format>
    <format dxfId="205">
      <pivotArea field="4" grandCol="1" collapsedLevelsAreSubtotals="1" axis="axisRow" fieldPosition="1">
        <references count="1">
          <reference field="4" count="1">
            <x v="31"/>
          </reference>
        </references>
      </pivotArea>
    </format>
    <format dxfId="204">
      <pivotArea field="4" grandCol="1" collapsedLevelsAreSubtotals="1" axis="axisRow" fieldPosition="1">
        <references count="1">
          <reference field="4" count="1">
            <x v="32"/>
          </reference>
        </references>
      </pivotArea>
    </format>
    <format dxfId="203">
      <pivotArea field="4" grandCol="1" collapsedLevelsAreSubtotals="1" axis="axisRow" fieldPosition="1">
        <references count="1">
          <reference field="4" count="1">
            <x v="33"/>
          </reference>
        </references>
      </pivotArea>
    </format>
    <format dxfId="202">
      <pivotArea collapsedLevelsAreSubtotals="1" fieldPosition="0">
        <references count="2">
          <reference field="4" count="1">
            <x v="34"/>
          </reference>
          <reference field="16" count="1" selected="0">
            <x v="0"/>
          </reference>
        </references>
      </pivotArea>
    </format>
    <format dxfId="201">
      <pivotArea field="4" grandCol="1" collapsedLevelsAreSubtotals="1" axis="axisRow" fieldPosition="1">
        <references count="1">
          <reference field="4" count="1">
            <x v="34"/>
          </reference>
        </references>
      </pivotArea>
    </format>
    <format dxfId="200">
      <pivotArea collapsedLevelsAreSubtotals="1" fieldPosition="0">
        <references count="2">
          <reference field="4" count="1">
            <x v="35"/>
          </reference>
          <reference field="16" count="1" selected="0">
            <x v="0"/>
          </reference>
        </references>
      </pivotArea>
    </format>
    <format dxfId="199">
      <pivotArea field="4" grandCol="1" collapsedLevelsAreSubtotals="1" axis="axisRow" fieldPosition="1">
        <references count="1">
          <reference field="4" count="1">
            <x v="35"/>
          </reference>
        </references>
      </pivotArea>
    </format>
    <format dxfId="198">
      <pivotArea collapsedLevelsAreSubtotals="1" fieldPosition="0">
        <references count="2">
          <reference field="4" count="1">
            <x v="36"/>
          </reference>
          <reference field="16" count="1" selected="0">
            <x v="0"/>
          </reference>
        </references>
      </pivotArea>
    </format>
    <format dxfId="197">
      <pivotArea field="4" grandCol="1" collapsedLevelsAreSubtotals="1" axis="axisRow" fieldPosition="1">
        <references count="1">
          <reference field="4" count="1">
            <x v="36"/>
          </reference>
        </references>
      </pivotArea>
    </format>
    <format dxfId="196">
      <pivotArea collapsedLevelsAreSubtotals="1" fieldPosition="0">
        <references count="2">
          <reference field="4" count="1">
            <x v="37"/>
          </reference>
          <reference field="16" count="1" selected="0">
            <x v="0"/>
          </reference>
        </references>
      </pivotArea>
    </format>
    <format dxfId="195">
      <pivotArea field="4" grandCol="1" collapsedLevelsAreSubtotals="1" axis="axisRow" fieldPosition="1">
        <references count="1">
          <reference field="4" count="1">
            <x v="37"/>
          </reference>
        </references>
      </pivotArea>
    </format>
    <format dxfId="194">
      <pivotArea collapsedLevelsAreSubtotals="1" fieldPosition="0">
        <references count="2">
          <reference field="4" count="1">
            <x v="38"/>
          </reference>
          <reference field="16" count="1" selected="0">
            <x v="0"/>
          </reference>
        </references>
      </pivotArea>
    </format>
    <format dxfId="193">
      <pivotArea field="4" grandCol="1" collapsedLevelsAreSubtotals="1" axis="axisRow" fieldPosition="1">
        <references count="1">
          <reference field="4" count="1">
            <x v="38"/>
          </reference>
        </references>
      </pivotArea>
    </format>
    <format dxfId="192">
      <pivotArea collapsedLevelsAreSubtotals="1" fieldPosition="0">
        <references count="2">
          <reference field="4" count="1">
            <x v="39"/>
          </reference>
          <reference field="16" count="1" selected="0">
            <x v="0"/>
          </reference>
        </references>
      </pivotArea>
    </format>
    <format dxfId="191">
      <pivotArea field="4" grandCol="1" collapsedLevelsAreSubtotals="1" axis="axisRow" fieldPosition="1">
        <references count="1">
          <reference field="4" count="1">
            <x v="39"/>
          </reference>
        </references>
      </pivotArea>
    </format>
    <format dxfId="190">
      <pivotArea collapsedLevelsAreSubtotals="1" fieldPosition="0">
        <references count="2">
          <reference field="4" count="1">
            <x v="40"/>
          </reference>
          <reference field="16" count="1" selected="0">
            <x v="0"/>
          </reference>
        </references>
      </pivotArea>
    </format>
    <format dxfId="189">
      <pivotArea field="4" grandCol="1" collapsedLevelsAreSubtotals="1" axis="axisRow" fieldPosition="1">
        <references count="1">
          <reference field="4" count="1">
            <x v="40"/>
          </reference>
        </references>
      </pivotArea>
    </format>
    <format dxfId="188">
      <pivotArea collapsedLevelsAreSubtotals="1" fieldPosition="0">
        <references count="2">
          <reference field="4" count="1">
            <x v="41"/>
          </reference>
          <reference field="16" count="1" selected="0">
            <x v="0"/>
          </reference>
        </references>
      </pivotArea>
    </format>
    <format dxfId="187">
      <pivotArea field="4" grandCol="1" collapsedLevelsAreSubtotals="1" axis="axisRow" fieldPosition="1">
        <references count="1">
          <reference field="4" count="1">
            <x v="41"/>
          </reference>
        </references>
      </pivotArea>
    </format>
    <format dxfId="186">
      <pivotArea collapsedLevelsAreSubtotals="1" fieldPosition="0">
        <references count="2">
          <reference field="4" count="1">
            <x v="42"/>
          </reference>
          <reference field="16" count="1" selected="0">
            <x v="0"/>
          </reference>
        </references>
      </pivotArea>
    </format>
    <format dxfId="185">
      <pivotArea field="4" grandCol="1" collapsedLevelsAreSubtotals="1" axis="axisRow" fieldPosition="1">
        <references count="1">
          <reference field="4" count="1">
            <x v="42"/>
          </reference>
        </references>
      </pivotArea>
    </format>
    <format dxfId="184">
      <pivotArea collapsedLevelsAreSubtotals="1" fieldPosition="0">
        <references count="2">
          <reference field="4" count="1">
            <x v="43"/>
          </reference>
          <reference field="16" count="1" selected="0">
            <x v="0"/>
          </reference>
        </references>
      </pivotArea>
    </format>
    <format dxfId="183">
      <pivotArea field="4" grandCol="1" collapsedLevelsAreSubtotals="1" axis="axisRow" fieldPosition="1">
        <references count="1">
          <reference field="4" count="1">
            <x v="43"/>
          </reference>
        </references>
      </pivotArea>
    </format>
    <format dxfId="182">
      <pivotArea collapsedLevelsAreSubtotals="1" fieldPosition="0">
        <references count="2">
          <reference field="4" count="1">
            <x v="44"/>
          </reference>
          <reference field="16" count="1" selected="0">
            <x v="0"/>
          </reference>
        </references>
      </pivotArea>
    </format>
    <format dxfId="181">
      <pivotArea field="4" grandCol="1" collapsedLevelsAreSubtotals="1" axis="axisRow" fieldPosition="1">
        <references count="1">
          <reference field="4" count="1">
            <x v="44"/>
          </reference>
        </references>
      </pivotArea>
    </format>
    <format dxfId="180">
      <pivotArea collapsedLevelsAreSubtotals="1" fieldPosition="0">
        <references count="2">
          <reference field="4" count="1">
            <x v="45"/>
          </reference>
          <reference field="16" count="1" selected="0">
            <x v="0"/>
          </reference>
        </references>
      </pivotArea>
    </format>
    <format dxfId="179">
      <pivotArea field="4" grandCol="1" collapsedLevelsAreSubtotals="1" axis="axisRow" fieldPosition="1">
        <references count="1">
          <reference field="4" count="1">
            <x v="45"/>
          </reference>
        </references>
      </pivotArea>
    </format>
    <format dxfId="178">
      <pivotArea collapsedLevelsAreSubtotals="1" fieldPosition="0">
        <references count="2">
          <reference field="4" count="1">
            <x v="46"/>
          </reference>
          <reference field="16" count="1" selected="0">
            <x v="0"/>
          </reference>
        </references>
      </pivotArea>
    </format>
    <format dxfId="177">
      <pivotArea field="4" grandCol="1" collapsedLevelsAreSubtotals="1" axis="axisRow" fieldPosition="1">
        <references count="1">
          <reference field="4" count="1">
            <x v="46"/>
          </reference>
        </references>
      </pivotArea>
    </format>
    <format dxfId="176">
      <pivotArea collapsedLevelsAreSubtotals="1" fieldPosition="0">
        <references count="2">
          <reference field="4" count="1">
            <x v="47"/>
          </reference>
          <reference field="16" count="1" selected="0">
            <x v="0"/>
          </reference>
        </references>
      </pivotArea>
    </format>
    <format dxfId="175">
      <pivotArea field="4" grandCol="1" collapsedLevelsAreSubtotals="1" axis="axisRow" fieldPosition="1">
        <references count="1">
          <reference field="4" count="1">
            <x v="47"/>
          </reference>
        </references>
      </pivotArea>
    </format>
    <format dxfId="174">
      <pivotArea collapsedLevelsAreSubtotals="1" fieldPosition="0">
        <references count="2">
          <reference field="4" count="1">
            <x v="48"/>
          </reference>
          <reference field="16" count="1" selected="0">
            <x v="0"/>
          </reference>
        </references>
      </pivotArea>
    </format>
    <format dxfId="173">
      <pivotArea field="4" grandCol="1" collapsedLevelsAreSubtotals="1" axis="axisRow" fieldPosition="1">
        <references count="1">
          <reference field="4" count="1">
            <x v="48"/>
          </reference>
        </references>
      </pivotArea>
    </format>
    <format dxfId="172">
      <pivotArea collapsedLevelsAreSubtotals="1" fieldPosition="0">
        <references count="2">
          <reference field="4" count="1">
            <x v="49"/>
          </reference>
          <reference field="16" count="1" selected="0">
            <x v="0"/>
          </reference>
        </references>
      </pivotArea>
    </format>
    <format dxfId="171">
      <pivotArea field="4" grandCol="1" collapsedLevelsAreSubtotals="1" axis="axisRow" fieldPosition="1">
        <references count="1">
          <reference field="4" count="1">
            <x v="49"/>
          </reference>
        </references>
      </pivotArea>
    </format>
    <format dxfId="170">
      <pivotArea collapsedLevelsAreSubtotals="1" fieldPosition="0">
        <references count="2">
          <reference field="4" count="1">
            <x v="50"/>
          </reference>
          <reference field="16" count="1" selected="0">
            <x v="0"/>
          </reference>
        </references>
      </pivotArea>
    </format>
    <format dxfId="169">
      <pivotArea field="4" grandCol="1" collapsedLevelsAreSubtotals="1" axis="axisRow" fieldPosition="1">
        <references count="1">
          <reference field="4" count="1">
            <x v="50"/>
          </reference>
        </references>
      </pivotArea>
    </format>
    <format dxfId="168">
      <pivotArea collapsedLevelsAreSubtotals="1" fieldPosition="0">
        <references count="2">
          <reference field="4" count="1">
            <x v="51"/>
          </reference>
          <reference field="16" count="1" selected="0">
            <x v="0"/>
          </reference>
        </references>
      </pivotArea>
    </format>
    <format dxfId="167">
      <pivotArea field="4" grandCol="1" collapsedLevelsAreSubtotals="1" axis="axisRow" fieldPosition="1">
        <references count="1">
          <reference field="4" count="1">
            <x v="51"/>
          </reference>
        </references>
      </pivotArea>
    </format>
    <format dxfId="166">
      <pivotArea collapsedLevelsAreSubtotals="1" fieldPosition="0">
        <references count="2">
          <reference field="4" count="1">
            <x v="53"/>
          </reference>
          <reference field="16" count="1" selected="0">
            <x v="0"/>
          </reference>
        </references>
      </pivotArea>
    </format>
    <format dxfId="165">
      <pivotArea field="4" grandCol="1" collapsedLevelsAreSubtotals="1" axis="axisRow" fieldPosition="1">
        <references count="1">
          <reference field="4" count="1">
            <x v="53"/>
          </reference>
        </references>
      </pivotArea>
    </format>
    <format dxfId="164">
      <pivotArea collapsedLevelsAreSubtotals="1" fieldPosition="0">
        <references count="2">
          <reference field="4" count="1">
            <x v="54"/>
          </reference>
          <reference field="16" count="1" selected="0">
            <x v="0"/>
          </reference>
        </references>
      </pivotArea>
    </format>
    <format dxfId="163">
      <pivotArea field="4" grandCol="1" collapsedLevelsAreSubtotals="1" axis="axisRow" fieldPosition="1">
        <references count="1">
          <reference field="4" count="1">
            <x v="54"/>
          </reference>
        </references>
      </pivotArea>
    </format>
    <format dxfId="162">
      <pivotArea collapsedLevelsAreSubtotals="1" fieldPosition="0">
        <references count="2">
          <reference field="4" count="1">
            <x v="55"/>
          </reference>
          <reference field="16" count="1" selected="0">
            <x v="0"/>
          </reference>
        </references>
      </pivotArea>
    </format>
    <format dxfId="161">
      <pivotArea field="4" grandCol="1" collapsedLevelsAreSubtotals="1" axis="axisRow" fieldPosition="1">
        <references count="1">
          <reference field="4" count="1">
            <x v="55"/>
          </reference>
        </references>
      </pivotArea>
    </format>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collapsedLevelsAreSubtotals="1" fieldPosition="0">
        <references count="1">
          <reference field="4" count="1">
            <x v="4"/>
          </reference>
        </references>
      </pivotArea>
    </format>
    <format dxfId="155">
      <pivotArea collapsedLevelsAreSubtotals="1" fieldPosition="0">
        <references count="1">
          <reference field="4" count="1">
            <x v="5"/>
          </reference>
        </references>
      </pivotArea>
    </format>
    <format dxfId="154">
      <pivotArea collapsedLevelsAreSubtotals="1" fieldPosition="0">
        <references count="1">
          <reference field="4" count="1">
            <x v="6"/>
          </reference>
        </references>
      </pivotArea>
    </format>
    <format dxfId="153">
      <pivotArea collapsedLevelsAreSubtotals="1" fieldPosition="0">
        <references count="1">
          <reference field="4" count="1">
            <x v="7"/>
          </reference>
        </references>
      </pivotArea>
    </format>
    <format dxfId="152">
      <pivotArea collapsedLevelsAreSubtotals="1" fieldPosition="0">
        <references count="1">
          <reference field="4" count="1">
            <x v="8"/>
          </reference>
        </references>
      </pivotArea>
    </format>
    <format dxfId="151">
      <pivotArea collapsedLevelsAreSubtotals="1" fieldPosition="0">
        <references count="1">
          <reference field="4" count="1">
            <x v="9"/>
          </reference>
        </references>
      </pivotArea>
    </format>
    <format dxfId="150">
      <pivotArea collapsedLevelsAreSubtotals="1" fieldPosition="0">
        <references count="1">
          <reference field="4" count="1">
            <x v="10"/>
          </reference>
        </references>
      </pivotArea>
    </format>
    <format dxfId="149">
      <pivotArea collapsedLevelsAreSubtotals="1" fieldPosition="0">
        <references count="1">
          <reference field="4" count="1">
            <x v="11"/>
          </reference>
        </references>
      </pivotArea>
    </format>
    <format dxfId="148">
      <pivotArea collapsedLevelsAreSubtotals="1" fieldPosition="0">
        <references count="1">
          <reference field="4" count="1">
            <x v="12"/>
          </reference>
        </references>
      </pivotArea>
    </format>
    <format dxfId="147">
      <pivotArea collapsedLevelsAreSubtotals="1" fieldPosition="0">
        <references count="1">
          <reference field="4" count="1">
            <x v="13"/>
          </reference>
        </references>
      </pivotArea>
    </format>
    <format dxfId="146">
      <pivotArea collapsedLevelsAreSubtotals="1" fieldPosition="0">
        <references count="1">
          <reference field="4" count="1">
            <x v="14"/>
          </reference>
        </references>
      </pivotArea>
    </format>
    <format dxfId="145">
      <pivotArea collapsedLevelsAreSubtotals="1" fieldPosition="0">
        <references count="1">
          <reference field="4" count="1">
            <x v="15"/>
          </reference>
        </references>
      </pivotArea>
    </format>
    <format dxfId="144">
      <pivotArea collapsedLevelsAreSubtotals="1" fieldPosition="0">
        <references count="1">
          <reference field="4" count="1">
            <x v="16"/>
          </reference>
        </references>
      </pivotArea>
    </format>
    <format dxfId="143">
      <pivotArea collapsedLevelsAreSubtotals="1" fieldPosition="0">
        <references count="1">
          <reference field="4" count="1">
            <x v="17"/>
          </reference>
        </references>
      </pivotArea>
    </format>
    <format dxfId="142">
      <pivotArea collapsedLevelsAreSubtotals="1" fieldPosition="0">
        <references count="1">
          <reference field="4" count="1">
            <x v="18"/>
          </reference>
        </references>
      </pivotArea>
    </format>
    <format dxfId="141">
      <pivotArea collapsedLevelsAreSubtotals="1" fieldPosition="0">
        <references count="1">
          <reference field="4" count="1">
            <x v="19"/>
          </reference>
        </references>
      </pivotArea>
    </format>
    <format dxfId="140">
      <pivotArea collapsedLevelsAreSubtotals="1" fieldPosition="0">
        <references count="1">
          <reference field="4" count="1">
            <x v="20"/>
          </reference>
        </references>
      </pivotArea>
    </format>
    <format dxfId="139">
      <pivotArea collapsedLevelsAreSubtotals="1" fieldPosition="0">
        <references count="1">
          <reference field="4" count="1">
            <x v="21"/>
          </reference>
        </references>
      </pivotArea>
    </format>
    <format dxfId="138">
      <pivotArea collapsedLevelsAreSubtotals="1" fieldPosition="0">
        <references count="1">
          <reference field="4" count="1">
            <x v="23"/>
          </reference>
        </references>
      </pivotArea>
    </format>
    <format dxfId="137">
      <pivotArea collapsedLevelsAreSubtotals="1" fieldPosition="0">
        <references count="1">
          <reference field="4" count="1">
            <x v="24"/>
          </reference>
        </references>
      </pivotArea>
    </format>
    <format dxfId="136">
      <pivotArea collapsedLevelsAreSubtotals="1" fieldPosition="0">
        <references count="1">
          <reference field="4" count="1">
            <x v="25"/>
          </reference>
        </references>
      </pivotArea>
    </format>
    <format dxfId="135">
      <pivotArea collapsedLevelsAreSubtotals="1" fieldPosition="0">
        <references count="1">
          <reference field="4" count="1">
            <x v="26"/>
          </reference>
        </references>
      </pivotArea>
    </format>
    <format dxfId="134">
      <pivotArea collapsedLevelsAreSubtotals="1" fieldPosition="0">
        <references count="1">
          <reference field="4" count="1">
            <x v="27"/>
          </reference>
        </references>
      </pivotArea>
    </format>
    <format dxfId="133">
      <pivotArea collapsedLevelsAreSubtotals="1" fieldPosition="0">
        <references count="1">
          <reference field="4" count="1">
            <x v="28"/>
          </reference>
        </references>
      </pivotArea>
    </format>
    <format dxfId="132">
      <pivotArea collapsedLevelsAreSubtotals="1" fieldPosition="0">
        <references count="1">
          <reference field="4" count="1">
            <x v="29"/>
          </reference>
        </references>
      </pivotArea>
    </format>
    <format dxfId="131">
      <pivotArea collapsedLevelsAreSubtotals="1" fieldPosition="0">
        <references count="1">
          <reference field="4" count="1">
            <x v="30"/>
          </reference>
        </references>
      </pivotArea>
    </format>
    <format dxfId="130">
      <pivotArea collapsedLevelsAreSubtotals="1" fieldPosition="0">
        <references count="1">
          <reference field="4" count="1">
            <x v="31"/>
          </reference>
        </references>
      </pivotArea>
    </format>
    <format dxfId="129">
      <pivotArea collapsedLevelsAreSubtotals="1" fieldPosition="0">
        <references count="1">
          <reference field="4" count="1">
            <x v="32"/>
          </reference>
        </references>
      </pivotArea>
    </format>
    <format dxfId="128">
      <pivotArea collapsedLevelsAreSubtotals="1" fieldPosition="0">
        <references count="1">
          <reference field="4" count="1">
            <x v="33"/>
          </reference>
        </references>
      </pivotArea>
    </format>
    <format dxfId="127">
      <pivotArea grandRow="1" outline="0" collapsedLevelsAreSubtotals="1" fieldPosition="0"/>
    </format>
    <format dxfId="126">
      <pivotArea collapsedLevelsAreSubtotals="1" fieldPosition="0">
        <references count="2">
          <reference field="4" count="1">
            <x v="0"/>
          </reference>
          <reference field="16" count="1" selected="0">
            <x v="3"/>
          </reference>
        </references>
      </pivotArea>
    </format>
    <format dxfId="125">
      <pivotArea collapsedLevelsAreSubtotals="1" fieldPosition="0">
        <references count="2">
          <reference field="4" count="1">
            <x v="1"/>
          </reference>
          <reference field="16" count="1" selected="0">
            <x v="3"/>
          </reference>
        </references>
      </pivotArea>
    </format>
    <format dxfId="124">
      <pivotArea collapsedLevelsAreSubtotals="1" fieldPosition="0">
        <references count="2">
          <reference field="4" count="1">
            <x v="2"/>
          </reference>
          <reference field="16" count="1" selected="0">
            <x v="3"/>
          </reference>
        </references>
      </pivotArea>
    </format>
    <format dxfId="123">
      <pivotArea collapsedLevelsAreSubtotals="1" fieldPosition="0">
        <references count="2">
          <reference field="4" count="1">
            <x v="3"/>
          </reference>
          <reference field="16" count="1" selected="0">
            <x v="3"/>
          </reference>
        </references>
      </pivotArea>
    </format>
    <format dxfId="122">
      <pivotArea collapsedLevelsAreSubtotals="1" fieldPosition="0">
        <references count="2">
          <reference field="4" count="1">
            <x v="4"/>
          </reference>
          <reference field="16" count="1" selected="0">
            <x v="3"/>
          </reference>
        </references>
      </pivotArea>
    </format>
    <format dxfId="121">
      <pivotArea collapsedLevelsAreSubtotals="1" fieldPosition="0">
        <references count="2">
          <reference field="4" count="1">
            <x v="5"/>
          </reference>
          <reference field="16" count="1" selected="0">
            <x v="3"/>
          </reference>
        </references>
      </pivotArea>
    </format>
    <format dxfId="120">
      <pivotArea collapsedLevelsAreSubtotals="1" fieldPosition="0">
        <references count="2">
          <reference field="4" count="1">
            <x v="6"/>
          </reference>
          <reference field="16" count="1" selected="0">
            <x v="3"/>
          </reference>
        </references>
      </pivotArea>
    </format>
    <format dxfId="119">
      <pivotArea collapsedLevelsAreSubtotals="1" fieldPosition="0">
        <references count="2">
          <reference field="4" count="1">
            <x v="7"/>
          </reference>
          <reference field="16" count="1" selected="0">
            <x v="3"/>
          </reference>
        </references>
      </pivotArea>
    </format>
    <format dxfId="118">
      <pivotArea collapsedLevelsAreSubtotals="1" fieldPosition="0">
        <references count="2">
          <reference field="4" count="1">
            <x v="8"/>
          </reference>
          <reference field="16" count="1" selected="0">
            <x v="3"/>
          </reference>
        </references>
      </pivotArea>
    </format>
    <format dxfId="117">
      <pivotArea collapsedLevelsAreSubtotals="1" fieldPosition="0">
        <references count="2">
          <reference field="4" count="1">
            <x v="9"/>
          </reference>
          <reference field="16" count="1" selected="0">
            <x v="3"/>
          </reference>
        </references>
      </pivotArea>
    </format>
    <format dxfId="116">
      <pivotArea collapsedLevelsAreSubtotals="1" fieldPosition="0">
        <references count="2">
          <reference field="4" count="1">
            <x v="10"/>
          </reference>
          <reference field="16" count="1" selected="0">
            <x v="3"/>
          </reference>
        </references>
      </pivotArea>
    </format>
    <format dxfId="115">
      <pivotArea collapsedLevelsAreSubtotals="1" fieldPosition="0">
        <references count="2">
          <reference field="4" count="1">
            <x v="11"/>
          </reference>
          <reference field="16" count="1" selected="0">
            <x v="3"/>
          </reference>
        </references>
      </pivotArea>
    </format>
    <format dxfId="114">
      <pivotArea collapsedLevelsAreSubtotals="1" fieldPosition="0">
        <references count="2">
          <reference field="4" count="1">
            <x v="12"/>
          </reference>
          <reference field="16" count="1" selected="0">
            <x v="3"/>
          </reference>
        </references>
      </pivotArea>
    </format>
    <format dxfId="113">
      <pivotArea collapsedLevelsAreSubtotals="1" fieldPosition="0">
        <references count="2">
          <reference field="4" count="1">
            <x v="13"/>
          </reference>
          <reference field="16" count="1" selected="0">
            <x v="3"/>
          </reference>
        </references>
      </pivotArea>
    </format>
    <format dxfId="112">
      <pivotArea collapsedLevelsAreSubtotals="1" fieldPosition="0">
        <references count="2">
          <reference field="4" count="1">
            <x v="14"/>
          </reference>
          <reference field="16" count="1" selected="0">
            <x v="3"/>
          </reference>
        </references>
      </pivotArea>
    </format>
    <format dxfId="111">
      <pivotArea collapsedLevelsAreSubtotals="1" fieldPosition="0">
        <references count="2">
          <reference field="4" count="1">
            <x v="15"/>
          </reference>
          <reference field="16" count="1" selected="0">
            <x v="3"/>
          </reference>
        </references>
      </pivotArea>
    </format>
    <format dxfId="110">
      <pivotArea collapsedLevelsAreSubtotals="1" fieldPosition="0">
        <references count="2">
          <reference field="4" count="1">
            <x v="16"/>
          </reference>
          <reference field="16" count="1" selected="0">
            <x v="3"/>
          </reference>
        </references>
      </pivotArea>
    </format>
    <format dxfId="109">
      <pivotArea collapsedLevelsAreSubtotals="1" fieldPosition="0">
        <references count="2">
          <reference field="4" count="1">
            <x v="17"/>
          </reference>
          <reference field="16" count="1" selected="0">
            <x v="3"/>
          </reference>
        </references>
      </pivotArea>
    </format>
    <format dxfId="108">
      <pivotArea collapsedLevelsAreSubtotals="1" fieldPosition="0">
        <references count="2">
          <reference field="4" count="1">
            <x v="18"/>
          </reference>
          <reference field="16" count="1" selected="0">
            <x v="3"/>
          </reference>
        </references>
      </pivotArea>
    </format>
    <format dxfId="107">
      <pivotArea collapsedLevelsAreSubtotals="1" fieldPosition="0">
        <references count="2">
          <reference field="4" count="1">
            <x v="19"/>
          </reference>
          <reference field="16" count="1" selected="0">
            <x v="3"/>
          </reference>
        </references>
      </pivotArea>
    </format>
    <format dxfId="106">
      <pivotArea collapsedLevelsAreSubtotals="1" fieldPosition="0">
        <references count="2">
          <reference field="4" count="1">
            <x v="20"/>
          </reference>
          <reference field="16" count="1" selected="0">
            <x v="3"/>
          </reference>
        </references>
      </pivotArea>
    </format>
    <format dxfId="105">
      <pivotArea collapsedLevelsAreSubtotals="1" fieldPosition="0">
        <references count="2">
          <reference field="4" count="1">
            <x v="21"/>
          </reference>
          <reference field="16" count="1" selected="0">
            <x v="3"/>
          </reference>
        </references>
      </pivotArea>
    </format>
    <format dxfId="104">
      <pivotArea collapsedLevelsAreSubtotals="1" fieldPosition="0">
        <references count="2">
          <reference field="4" count="1">
            <x v="23"/>
          </reference>
          <reference field="16" count="1" selected="0">
            <x v="3"/>
          </reference>
        </references>
      </pivotArea>
    </format>
    <format dxfId="103">
      <pivotArea collapsedLevelsAreSubtotals="1" fieldPosition="0">
        <references count="2">
          <reference field="4" count="1">
            <x v="24"/>
          </reference>
          <reference field="16" count="1" selected="0">
            <x v="3"/>
          </reference>
        </references>
      </pivotArea>
    </format>
    <format dxfId="102">
      <pivotArea collapsedLevelsAreSubtotals="1" fieldPosition="0">
        <references count="2">
          <reference field="4" count="1">
            <x v="25"/>
          </reference>
          <reference field="16" count="1" selected="0">
            <x v="3"/>
          </reference>
        </references>
      </pivotArea>
    </format>
    <format dxfId="101">
      <pivotArea collapsedLevelsAreSubtotals="1" fieldPosition="0">
        <references count="2">
          <reference field="4" count="1">
            <x v="26"/>
          </reference>
          <reference field="16" count="1" selected="0">
            <x v="3"/>
          </reference>
        </references>
      </pivotArea>
    </format>
    <format dxfId="100">
      <pivotArea collapsedLevelsAreSubtotals="1" fieldPosition="0">
        <references count="2">
          <reference field="4" count="1">
            <x v="27"/>
          </reference>
          <reference field="16" count="1" selected="0">
            <x v="3"/>
          </reference>
        </references>
      </pivotArea>
    </format>
    <format dxfId="99">
      <pivotArea collapsedLevelsAreSubtotals="1" fieldPosition="0">
        <references count="2">
          <reference field="4" count="1">
            <x v="28"/>
          </reference>
          <reference field="16" count="1" selected="0">
            <x v="3"/>
          </reference>
        </references>
      </pivotArea>
    </format>
    <format dxfId="98">
      <pivotArea collapsedLevelsAreSubtotals="1" fieldPosition="0">
        <references count="2">
          <reference field="4" count="1">
            <x v="29"/>
          </reference>
          <reference field="16" count="1" selected="0">
            <x v="3"/>
          </reference>
        </references>
      </pivotArea>
    </format>
    <format dxfId="97">
      <pivotArea collapsedLevelsAreSubtotals="1" fieldPosition="0">
        <references count="2">
          <reference field="4" count="1">
            <x v="30"/>
          </reference>
          <reference field="16" count="1" selected="0">
            <x v="3"/>
          </reference>
        </references>
      </pivotArea>
    </format>
    <format dxfId="96">
      <pivotArea collapsedLevelsAreSubtotals="1" fieldPosition="0">
        <references count="2">
          <reference field="4" count="1">
            <x v="31"/>
          </reference>
          <reference field="16" count="1" selected="0">
            <x v="3"/>
          </reference>
        </references>
      </pivotArea>
    </format>
    <format dxfId="95">
      <pivotArea collapsedLevelsAreSubtotals="1" fieldPosition="0">
        <references count="2">
          <reference field="4" count="1">
            <x v="32"/>
          </reference>
          <reference field="16" count="1" selected="0">
            <x v="3"/>
          </reference>
        </references>
      </pivotArea>
    </format>
    <format dxfId="94">
      <pivotArea collapsedLevelsAreSubtotals="1" fieldPosition="0">
        <references count="2">
          <reference field="4" count="1">
            <x v="33"/>
          </reference>
          <reference field="16" count="1" selected="0">
            <x v="3"/>
          </reference>
        </references>
      </pivotArea>
    </format>
    <format dxfId="93">
      <pivotArea collapsedLevelsAreSubtotals="1" fieldPosition="0">
        <references count="2">
          <reference field="4" count="1">
            <x v="34"/>
          </reference>
          <reference field="16" count="1" selected="0">
            <x v="3"/>
          </reference>
        </references>
      </pivotArea>
    </format>
    <format dxfId="92">
      <pivotArea collapsedLevelsAreSubtotals="1" fieldPosition="0">
        <references count="2">
          <reference field="4" count="1">
            <x v="35"/>
          </reference>
          <reference field="16" count="1" selected="0">
            <x v="3"/>
          </reference>
        </references>
      </pivotArea>
    </format>
    <format dxfId="91">
      <pivotArea collapsedLevelsAreSubtotals="1" fieldPosition="0">
        <references count="2">
          <reference field="4" count="1">
            <x v="36"/>
          </reference>
          <reference field="16" count="1" selected="0">
            <x v="3"/>
          </reference>
        </references>
      </pivotArea>
    </format>
    <format dxfId="90">
      <pivotArea collapsedLevelsAreSubtotals="1" fieldPosition="0">
        <references count="2">
          <reference field="4" count="1">
            <x v="37"/>
          </reference>
          <reference field="16" count="1" selected="0">
            <x v="3"/>
          </reference>
        </references>
      </pivotArea>
    </format>
    <format dxfId="89">
      <pivotArea collapsedLevelsAreSubtotals="1" fieldPosition="0">
        <references count="2">
          <reference field="4" count="1">
            <x v="38"/>
          </reference>
          <reference field="16" count="1" selected="0">
            <x v="3"/>
          </reference>
        </references>
      </pivotArea>
    </format>
    <format dxfId="88">
      <pivotArea collapsedLevelsAreSubtotals="1" fieldPosition="0">
        <references count="2">
          <reference field="4" count="1">
            <x v="39"/>
          </reference>
          <reference field="16" count="1" selected="0">
            <x v="3"/>
          </reference>
        </references>
      </pivotArea>
    </format>
    <format dxfId="87">
      <pivotArea collapsedLevelsAreSubtotals="1" fieldPosition="0">
        <references count="2">
          <reference field="4" count="1">
            <x v="40"/>
          </reference>
          <reference field="16" count="1" selected="0">
            <x v="3"/>
          </reference>
        </references>
      </pivotArea>
    </format>
    <format dxfId="86">
      <pivotArea collapsedLevelsAreSubtotals="1" fieldPosition="0">
        <references count="2">
          <reference field="4" count="1">
            <x v="41"/>
          </reference>
          <reference field="16" count="1" selected="0">
            <x v="3"/>
          </reference>
        </references>
      </pivotArea>
    </format>
    <format dxfId="85">
      <pivotArea collapsedLevelsAreSubtotals="1" fieldPosition="0">
        <references count="2">
          <reference field="4" count="1">
            <x v="42"/>
          </reference>
          <reference field="16" count="1" selected="0">
            <x v="3"/>
          </reference>
        </references>
      </pivotArea>
    </format>
    <format dxfId="84">
      <pivotArea collapsedLevelsAreSubtotals="1" fieldPosition="0">
        <references count="2">
          <reference field="4" count="1">
            <x v="43"/>
          </reference>
          <reference field="16" count="1" selected="0">
            <x v="3"/>
          </reference>
        </references>
      </pivotArea>
    </format>
    <format dxfId="83">
      <pivotArea collapsedLevelsAreSubtotals="1" fieldPosition="0">
        <references count="2">
          <reference field="4" count="1">
            <x v="44"/>
          </reference>
          <reference field="16" count="1" selected="0">
            <x v="3"/>
          </reference>
        </references>
      </pivotArea>
    </format>
    <format dxfId="82">
      <pivotArea collapsedLevelsAreSubtotals="1" fieldPosition="0">
        <references count="2">
          <reference field="4" count="1">
            <x v="45"/>
          </reference>
          <reference field="16" count="1" selected="0">
            <x v="3"/>
          </reference>
        </references>
      </pivotArea>
    </format>
    <format dxfId="81">
      <pivotArea collapsedLevelsAreSubtotals="1" fieldPosition="0">
        <references count="2">
          <reference field="4" count="1">
            <x v="46"/>
          </reference>
          <reference field="16" count="1" selected="0">
            <x v="3"/>
          </reference>
        </references>
      </pivotArea>
    </format>
    <format dxfId="80">
      <pivotArea collapsedLevelsAreSubtotals="1" fieldPosition="0">
        <references count="2">
          <reference field="4" count="1">
            <x v="47"/>
          </reference>
          <reference field="16" count="1" selected="0">
            <x v="3"/>
          </reference>
        </references>
      </pivotArea>
    </format>
    <format dxfId="79">
      <pivotArea collapsedLevelsAreSubtotals="1" fieldPosition="0">
        <references count="2">
          <reference field="4" count="1">
            <x v="48"/>
          </reference>
          <reference field="16" count="1" selected="0">
            <x v="3"/>
          </reference>
        </references>
      </pivotArea>
    </format>
    <format dxfId="78">
      <pivotArea collapsedLevelsAreSubtotals="1" fieldPosition="0">
        <references count="2">
          <reference field="4" count="1">
            <x v="49"/>
          </reference>
          <reference field="16" count="1" selected="0">
            <x v="3"/>
          </reference>
        </references>
      </pivotArea>
    </format>
    <format dxfId="77">
      <pivotArea collapsedLevelsAreSubtotals="1" fieldPosition="0">
        <references count="2">
          <reference field="4" count="1">
            <x v="50"/>
          </reference>
          <reference field="16" count="1" selected="0">
            <x v="3"/>
          </reference>
        </references>
      </pivotArea>
    </format>
    <format dxfId="76">
      <pivotArea collapsedLevelsAreSubtotals="1" fieldPosition="0">
        <references count="2">
          <reference field="4" count="1">
            <x v="51"/>
          </reference>
          <reference field="16" count="1" selected="0">
            <x v="3"/>
          </reference>
        </references>
      </pivotArea>
    </format>
    <format dxfId="75">
      <pivotArea collapsedLevelsAreSubtotals="1" fieldPosition="0">
        <references count="2">
          <reference field="4" count="1">
            <x v="53"/>
          </reference>
          <reference field="16" count="1" selected="0">
            <x v="3"/>
          </reference>
        </references>
      </pivotArea>
    </format>
    <format dxfId="74">
      <pivotArea collapsedLevelsAreSubtotals="1" fieldPosition="0">
        <references count="2">
          <reference field="4" count="1">
            <x v="54"/>
          </reference>
          <reference field="16" count="1" selected="0">
            <x v="3"/>
          </reference>
        </references>
      </pivotArea>
    </format>
    <format dxfId="73">
      <pivotArea collapsedLevelsAreSubtotals="1" fieldPosition="0">
        <references count="2">
          <reference field="4" count="1">
            <x v="55"/>
          </reference>
          <reference field="16" count="1" selected="0">
            <x v="3"/>
          </reference>
        </references>
      </pivotArea>
    </format>
    <format dxfId="72">
      <pivotArea type="origin" dataOnly="0" labelOnly="1" outline="0" fieldPosition="0"/>
    </format>
    <format dxfId="71">
      <pivotArea field="16" type="button" dataOnly="0" labelOnly="1" outline="0" axis="axisCol" fieldPosition="0"/>
    </format>
    <format dxfId="70">
      <pivotArea type="topRight" dataOnly="0" labelOnly="1" outline="0" fieldPosition="0"/>
    </format>
    <format dxfId="69">
      <pivotArea dataOnly="0" labelOnly="1" fieldPosition="0">
        <references count="1">
          <reference field="16" count="0"/>
        </references>
      </pivotArea>
    </format>
    <format dxfId="68">
      <pivotArea dataOnly="0" labelOnly="1" grandCol="1" outline="0" fieldPosition="0"/>
    </format>
    <format dxfId="67">
      <pivotArea type="origin" dataOnly="0" labelOnly="1" outline="0" fieldPosition="0"/>
    </format>
    <format dxfId="66">
      <pivotArea field="16" type="button" dataOnly="0" labelOnly="1" outline="0" axis="axisCol" fieldPosition="0"/>
    </format>
    <format dxfId="65">
      <pivotArea type="origin" dataOnly="0" labelOnly="1" outline="0" fieldPosition="0"/>
    </format>
    <format dxfId="64">
      <pivotArea field="16" type="button" dataOnly="0" labelOnly="1" outline="0" axis="axisCol" fieldPosition="0"/>
    </format>
    <format dxfId="63">
      <pivotArea type="topRight" dataOnly="0" labelOnly="1" outline="0" fieldPosition="0"/>
    </format>
    <format dxfId="62">
      <pivotArea type="all" dataOnly="0" outline="0" fieldPosition="0"/>
    </format>
    <format dxfId="61">
      <pivotArea dataOnly="0" labelOnly="1" fieldPosition="0">
        <references count="1">
          <reference field="16" count="0"/>
        </references>
      </pivotArea>
    </format>
    <format dxfId="60">
      <pivotArea dataOnly="0" labelOnly="1" grandCol="1" outline="0" fieldPosition="0"/>
    </format>
    <format dxfId="59">
      <pivotArea dataOnly="0" labelOnly="1" fieldPosition="0">
        <references count="1">
          <reference field="16" count="0"/>
        </references>
      </pivotArea>
    </format>
    <format dxfId="58">
      <pivotArea dataOnly="0" labelOnly="1" grandCol="1" outline="0" fieldPosition="0"/>
    </format>
    <format dxfId="57">
      <pivotArea dataOnly="0" labelOnly="1" fieldPosition="0">
        <references count="1">
          <reference field="16" count="0"/>
        </references>
      </pivotArea>
    </format>
    <format dxfId="56">
      <pivotArea dataOnly="0" labelOnly="1" grandCol="1" outline="0" fieldPosition="0"/>
    </format>
    <format dxfId="55">
      <pivotArea dataOnly="0" labelOnly="1" fieldPosition="0">
        <references count="1">
          <reference field="16" count="0"/>
        </references>
      </pivotArea>
    </format>
    <format dxfId="54">
      <pivotArea dataOnly="0" labelOnly="1" grandCol="1" outline="0" fieldPosition="0"/>
    </format>
    <format dxfId="53">
      <pivotArea grandRow="1" outline="0" collapsedLevelsAreSubtotals="1" fieldPosition="0"/>
    </format>
    <format dxfId="52">
      <pivotArea dataOnly="0" labelOnly="1" grandRow="1" outline="0" fieldPosition="0"/>
    </format>
    <format dxfId="51">
      <pivotArea dataOnly="0" labelOnly="1" grandRow="1" outline="0" fieldPosition="0"/>
    </format>
    <format dxfId="50">
      <pivotArea dataOnly="0" labelOnly="1" grandRow="1" outline="0" fieldPosition="0"/>
    </format>
    <format dxfId="49">
      <pivotArea dataOnly="0" fieldPosition="0">
        <references count="1">
          <reference field="4" count="0" defaultSubtotal="1"/>
        </references>
      </pivotArea>
    </format>
    <format dxfId="48">
      <pivotArea dataOnly="0" grandRow="1" fieldPosition="0"/>
    </format>
    <format dxfId="47">
      <pivotArea dataOnly="0" outline="0" fieldPosition="0">
        <references count="1">
          <reference field="16" count="2">
            <x v="2"/>
            <x v="3"/>
          </reference>
        </references>
      </pivotArea>
    </format>
    <format dxfId="46">
      <pivotArea dataOnly="0" outline="0" fieldPosition="0">
        <references count="1">
          <reference field="16" count="1">
            <x v="0"/>
          </reference>
        </references>
      </pivotArea>
    </format>
    <format dxfId="45">
      <pivotArea dataOnly="0" grandCol="1" outline="0" fieldPosition="0"/>
    </format>
    <format dxfId="44">
      <pivotArea dataOnly="0" outline="0" fieldPosition="0">
        <references count="1">
          <reference field="16" count="1">
            <x v="1"/>
          </reference>
        </references>
      </pivotArea>
    </format>
    <format dxfId="43">
      <pivotArea dataOnly="0" labelOnly="1" fieldPosition="0">
        <references count="1">
          <reference field="16" count="0"/>
        </references>
      </pivotArea>
    </format>
    <format dxfId="42">
      <pivotArea dataOnly="0" labelOnly="1" grandCol="1" outline="0" fieldPosition="0"/>
    </format>
    <format dxfId="41">
      <pivotArea type="origin" dataOnly="0" labelOnly="1" outline="0" fieldPosition="0"/>
    </format>
    <format dxfId="40">
      <pivotArea field="16" type="button" dataOnly="0" labelOnly="1" outline="0" axis="axisCol" fieldPosition="0"/>
    </format>
    <format dxfId="39">
      <pivotArea type="topRight" dataOnly="0" labelOnly="1" outline="0" fieldPosition="0"/>
    </format>
    <format dxfId="38">
      <pivotArea dataOnly="0" labelOnly="1" fieldPosition="0">
        <references count="1">
          <reference field="16" count="0"/>
        </references>
      </pivotArea>
    </format>
    <format dxfId="37">
      <pivotArea dataOnly="0" labelOnly="1" grandCol="1" outline="0" fieldPosition="0"/>
    </format>
    <format dxfId="36">
      <pivotArea type="origin" dataOnly="0" labelOnly="1" outline="0" fieldPosition="0"/>
    </format>
    <format dxfId="35">
      <pivotArea field="16" type="button" dataOnly="0" labelOnly="1" outline="0" axis="axisCol" fieldPosition="0"/>
    </format>
    <format dxfId="34">
      <pivotArea type="topRight" dataOnly="0" labelOnly="1" outline="0" fieldPosition="0"/>
    </format>
    <format dxfId="33">
      <pivotArea type="origin" dataOnly="0" labelOnly="1" outline="0" fieldPosition="0"/>
    </format>
    <format dxfId="32">
      <pivotArea field="16" type="button" dataOnly="0" labelOnly="1" outline="0" axis="axisCol" fieldPosition="0"/>
    </format>
    <format dxfId="31">
      <pivotArea type="topRight" dataOnly="0" labelOnly="1" outline="0" fieldPosition="0"/>
    </format>
    <format dxfId="30">
      <pivotArea field="22" type="button" dataOnly="0" labelOnly="1" outline="0" axis="axisRow" fieldPosition="0"/>
    </format>
    <format dxfId="29">
      <pivotArea dataOnly="0" labelOnly="1" fieldPosition="0">
        <references count="1">
          <reference field="22" count="0"/>
        </references>
      </pivotArea>
    </format>
    <format dxfId="28">
      <pivotArea dataOnly="0" labelOnly="1" fieldPosition="0">
        <references count="1">
          <reference field="22" count="0"/>
        </references>
      </pivotArea>
    </format>
    <format dxfId="27">
      <pivotArea collapsedLevelsAreSubtotals="1" fieldPosition="0">
        <references count="1">
          <reference field="22" count="1">
            <x v="0"/>
          </reference>
        </references>
      </pivotArea>
    </format>
    <format dxfId="26">
      <pivotArea collapsedLevelsAreSubtotals="1" fieldPosition="0">
        <references count="1">
          <reference field="22" count="1">
            <x v="1"/>
          </reference>
        </references>
      </pivotArea>
    </format>
    <format dxfId="25">
      <pivotArea collapsedLevelsAreSubtotals="1" fieldPosition="0">
        <references count="1">
          <reference field="22" count="1">
            <x v="2"/>
          </reference>
        </references>
      </pivotArea>
    </format>
    <format dxfId="24">
      <pivotArea collapsedLevelsAreSubtotals="1" fieldPosition="0">
        <references count="1">
          <reference field="22" count="1">
            <x v="3"/>
          </reference>
        </references>
      </pivotArea>
    </format>
    <format dxfId="23">
      <pivotArea collapsedLevelsAreSubtotals="1" fieldPosition="0">
        <references count="1">
          <reference field="22" count="1">
            <x v="4"/>
          </reference>
        </references>
      </pivotArea>
    </format>
    <format dxfId="22">
      <pivotArea dataOnly="0" fieldPosition="0">
        <references count="1">
          <reference field="22" count="0" defaultSubtotal="1"/>
        </references>
      </pivotArea>
    </format>
    <format dxfId="21">
      <pivotArea dataOnly="0" fieldPosition="0">
        <references count="1">
          <reference field="22" count="0" defaultSubtotal="1"/>
        </references>
      </pivotArea>
    </format>
    <format dxfId="20">
      <pivotArea dataOnly="0" fieldPosition="0">
        <references count="1">
          <reference field="22" count="0" defaultSubtotal="1"/>
        </references>
      </pivotArea>
    </format>
    <format dxfId="19">
      <pivotArea collapsedLevelsAreSubtotals="1" fieldPosition="0">
        <references count="1">
          <reference field="22" count="1">
            <x v="0"/>
          </reference>
        </references>
      </pivotArea>
    </format>
    <format dxfId="18">
      <pivotArea collapsedLevelsAreSubtotals="1" fieldPosition="0">
        <references count="1">
          <reference field="22" count="1">
            <x v="1"/>
          </reference>
        </references>
      </pivotArea>
    </format>
    <format dxfId="17">
      <pivotArea collapsedLevelsAreSubtotals="1" fieldPosition="0">
        <references count="1">
          <reference field="22" count="1">
            <x v="2"/>
          </reference>
        </references>
      </pivotArea>
    </format>
    <format dxfId="16">
      <pivotArea collapsedLevelsAreSubtotals="1" fieldPosition="0">
        <references count="1">
          <reference field="22" count="1">
            <x v="3"/>
          </reference>
        </references>
      </pivotArea>
    </format>
    <format dxfId="15">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6" dataDxfId="365" totalsRowDxfId="364">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3" totalsRowDxfId="362">
      <calculatedColumnFormula>ROWS(Tabla8[[#This Row],[Producto]])</calculatedColumnFormula>
    </tableColumn>
    <tableColumn id="2" xr3:uid="{714FA576-BF90-4C29-9FF7-68E27A7F05BE}" name="Producto" dataDxfId="361" totalsRowDxfId="360"/>
    <tableColumn id="3" xr3:uid="{07E5176B-B931-4285-A79A-F932E2119926}" name="Descripción" dataDxfId="359" totalsRowDxfId="358"/>
    <tableColumn id="9" xr3:uid="{632F97E2-F4CC-42CA-91AF-85B477D3EF1F}" name="CNS" dataDxfId="357" totalsRowDxfId="356"/>
    <tableColumn id="8" xr3:uid="{FCED4C7F-E51A-4E84-895B-A2A0C1A5D370}" name="ETNEM" dataDxfId="355" totalsRowDxfId="354"/>
    <tableColumn id="4" xr3:uid="{06E16D30-0507-4A07-88BD-49F4B5F3B6F5}" name="Cantidad" dataDxfId="353" totalsRowDxfId="352"/>
    <tableColumn id="5" xr3:uid="{F6D473E5-86AC-4D66-9B66-F37F5C8AF7DA}" name="Precio" dataDxfId="351" totalsRowDxfId="350" dataCellStyle="Moneda"/>
    <tableColumn id="6" xr3:uid="{1C26BB37-09B3-415A-8251-244BA72843AB}" name="Precio con ISV" dataDxfId="349" totalsRowDxfId="348">
      <calculatedColumnFormula>Tabla8[[#This Row],[Precio]]*1.15</calculatedColumnFormula>
    </tableColumn>
    <tableColumn id="7" xr3:uid="{CDABFDEC-A8C3-499C-A046-7A4DCBA4BE5D}" name="Costo total" totalsRowFunction="sum" dataDxfId="347" totalsRowDxfId="346">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345" dataDxfId="344">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343" totalsRowDxfId="342"/>
    <tableColumn id="2" xr3:uid="{4944A3DA-BBEF-42FE-B9AF-317DCDFCB550}" name="APROBADO" totalsRowFunction="sum" dataDxfId="341" totalsRowDxfId="340" dataCellStyle="Moneda"/>
    <tableColumn id="3" xr3:uid="{8DD81181-703C-446E-AED7-EC959C5786E5}" name="MODIFICACIONES" totalsRowFunction="sum" dataDxfId="339" totalsRowDxfId="338" dataCellStyle="Moneda" totalsRowCellStyle="Moneda"/>
    <tableColumn id="4" xr3:uid="{7AC914FB-6AF6-47C9-911D-415D4F78F233}" name="DISPONIBLE" totalsRowFunction="sum" dataDxfId="337" totalsRowDxfId="336">
      <calculatedColumnFormula>Tabla5[[#This Row],[APROBADO]]+Tabla5[[#This Row],[MODIFICACIONES]]</calculatedColumnFormula>
    </tableColumn>
    <tableColumn id="5" xr3:uid="{E0541E5D-124E-47DE-AEF5-2BC2308987F4}" name="% Total" totalsRowFunction="custom" dataDxfId="335" totalsRowDxfId="334">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333" dataDxfId="332" totalsRowDxfId="331">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30" totalsRowDxfId="329"/>
    <tableColumn id="2" xr3:uid="{06A87F87-5B47-48FC-8548-2E642C3772D8}" name="VIH" totalsRowFunction="custom" dataDxfId="328" totalsRowDxfId="327"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326" totalsRowDxfId="325"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324" totalsRowDxfId="323"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322" totalsRowDxfId="321"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320" totalsRowDxfId="319"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318" dataDxfId="317" dataCellStyle="Moneda">
  <autoFilter ref="AA5:AF10" xr:uid="{BF0D6635-A8B9-46D0-81D2-656295F74490}">
    <filterColumn colId="0" hiddenButton="1"/>
    <filterColumn colId="1" hiddenButton="1"/>
    <filterColumn colId="2" hiddenButton="1"/>
    <filterColumn colId="3" hiddenButton="1"/>
    <filterColumn colId="4" hiddenButton="1"/>
    <filterColumn colId="5" hiddenButton="1"/>
  </autoFilter>
  <tableColumns count="6">
    <tableColumn id="1" xr3:uid="{82995C1E-0A44-4A6E-B4B1-8F0CF6962D8C}" name="Grupo" dataDxfId="316"/>
    <tableColumn id="2" xr3:uid="{0C82A2B4-9F3C-439D-AE1C-6E8E6D1A7690}" name="SSRISS" dataDxfId="315" dataCellStyle="Moneda"/>
    <tableColumn id="3" xr3:uid="{9729D6CC-9484-4809-B1EE-54821A52A277}" name="VIH" dataDxfId="314" dataCellStyle="Moneda"/>
    <tableColumn id="4" xr3:uid="{62D4FAB6-D263-4900-90C1-69E53DE411FF}" name="MALARIA" dataDxfId="313" dataCellStyle="Moneda"/>
    <tableColumn id="5" xr3:uid="{115023FD-6FB3-4CEA-A5FE-DB4520F8F237}" name="TB" dataDxfId="312" dataCellStyle="Moneda"/>
    <tableColumn id="6" xr3:uid="{2E8D4625-0FE7-4863-A8A1-BF1495D525FF}" name="Total" dataDxfId="311">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310" dataDxfId="309" totalsRowDxfId="308">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307" totalsRowDxfId="306"/>
    <tableColumn id="2" xr3:uid="{2D4BF7F4-479F-464B-BA16-1BF8D27BA6F5}" name="ADJUDICADO" totalsRowFunction="sum" dataDxfId="305" totalsRowDxfId="304"/>
    <tableColumn id="3" xr3:uid="{36270741-23D3-43A0-BD0C-1B1E065AE9EB}" name="PROCESO" totalsRowFunction="sum" dataDxfId="303" totalsRowDxfId="302"/>
    <tableColumn id="4" xr3:uid="{10338F9B-0303-4C25-A9F9-4A095CBCBBBC}" name="FRACASADO" totalsRowFunction="sum" dataDxfId="301" totalsRowDxfId="300"/>
    <tableColumn id="5" xr3:uid="{A6F7ED24-F1F4-4E4F-9AE6-A9F6BA37B5B6}" name="DESIERTO" totalsRowFunction="sum" dataDxfId="299" totalsRowDxfId="298"/>
    <tableColumn id="6" xr3:uid="{64D7750D-7751-49D0-B3D6-9DCA3A1E97FF}" name="OBSERVACIONES" totalsRowFunction="sum" dataDxfId="297" totalsRowDxfId="296"/>
    <tableColumn id="7" xr3:uid="{29A872E8-B158-4CC0-BDCA-E6B368B5868B}" name="SUMA" totalsRowFunction="sum" dataDxfId="295" totalsRowDxfId="294">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258" dataDxfId="257" dataCellStyle="Moneda">
  <autoFilter ref="A1:T284" xr:uid="{4938F6A6-4F63-4EEE-A72C-924D2B5F5D64}">
    <filterColumn colId="2">
      <filters>
        <filter val="23100-MALARIA"/>
        <filter val="23100-TB"/>
        <filter val="23100-VIH"/>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256">
      <calculatedColumnFormula>ROW(DIARIO[[#This Row],[Nombre de Cuenta]])-1</calculatedColumnFormula>
    </tableColumn>
    <tableColumn id="2" xr3:uid="{FC2729A6-8780-4E89-B983-343448558747}" name="Tipo de Compra" dataDxfId="255"/>
    <tableColumn id="3" xr3:uid="{F52E2A0D-14ED-49E6-929B-A7B45A573605}" name="Objeto de Gasto" dataDxfId="254"/>
    <tableColumn id="4" xr3:uid="{90BBECC0-2345-4772-9712-7CAB62D762DF}" name="Código de orden" dataDxfId="253">
      <calculatedColumnFormula>VLOOKUP(C2,CATALOGO[],2,FALSE)</calculatedColumnFormula>
    </tableColumn>
    <tableColumn id="5" xr3:uid="{CCB9CE21-D601-4181-8E09-808963A89EDC}" name="Nombre de Cuenta" dataDxfId="252">
      <calculatedColumnFormula>VLOOKUP(DIARIO[[#This Row],[Objeto de Gasto]],CATALOGO[],3,FALSE)</calculatedColumnFormula>
    </tableColumn>
    <tableColumn id="6" xr3:uid="{DB10CB65-E7F5-477B-9F1B-DAA4CCE25D23}" name="Responsable" dataDxfId="251"/>
    <tableColumn id="7" xr3:uid="{60557A1B-F36B-4144-B4EE-4319C4BDC087}" name="Especificaciones Técnicas" dataDxfId="250"/>
    <tableColumn id="8" xr3:uid="{B8F63D65-7E45-481A-B968-02577D1CC35A}" name="No. de Oficio de solicitud ETN" dataDxfId="249"/>
    <tableColumn id="9" xr3:uid="{9A89F2EF-2A75-47F5-AC69-65572195F40E}" name="Fecha de ingreso del Of. ETN a CNS" dataDxfId="248"/>
    <tableColumn id="10" xr3:uid="{E0D80095-861F-48AB-9701-043F0AFE9BD3}" name="Número de Of. De CNS a GA" dataDxfId="247"/>
    <tableColumn id="11" xr3:uid="{05234ABC-F53B-4942-A98E-D333775A01D3}" name="Fecha solicitud de SSRISS a GA2" dataDxfId="246"/>
    <tableColumn id="12" xr3:uid="{D73AD363-9EC6-489D-BC5B-12C748A5EB6F}" name="Numero de Of. de CNS a SSRISS" dataDxfId="245"/>
    <tableColumn id="13" xr3:uid="{AB0C3C9B-912C-4CE8-8D10-3C6D382FAC2D}" name="Fecha de Of. de SSRISS a DGN2" dataDxfId="244"/>
    <tableColumn id="14" xr3:uid="{35D94959-4188-4C5C-9AAA-2F81CC01AA17}" name="Entrada" dataDxfId="243" dataCellStyle="Moneda"/>
    <tableColumn id="15" xr3:uid="{68EBABEF-6409-4EF3-B510-FD808A1A0DE7}" name="Salida" dataDxfId="242" dataCellStyle="Moneda"/>
    <tableColumn id="16" xr3:uid="{08C0AF4D-6545-4548-AB14-AB0307FAB982}" name="Saldo" dataDxfId="241" dataCellStyle="Moneda">
      <calculatedColumnFormula>N2-O2</calculatedColumnFormula>
    </tableColumn>
    <tableColumn id="17" xr3:uid="{14091832-84B7-4A1A-9EFA-2DA5CD0298D0}" name="Estatus" dataDxfId="240"/>
    <tableColumn id="22" xr3:uid="{3B23ECAC-6B6A-46CE-A7DD-D2A6B1668819}" name="# de Proceso" dataDxfId="239"/>
    <tableColumn id="18" xr3:uid="{55E3DCA5-2FC4-45DA-95CB-1321E1F6AB60}" name="Comentarios Finales" dataDxfId="238"/>
    <tableColumn id="19" xr3:uid="{758086F1-4761-47DF-90AD-AB9494CD3928}" name="Pagado" dataDxfId="237"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workbookViewId="0">
      <selection activeCell="C21" sqref="C21"/>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954</v>
      </c>
      <c r="H7" t="s">
        <v>30</v>
      </c>
      <c r="J7" t="s">
        <v>690</v>
      </c>
    </row>
    <row r="8" spans="1:10" x14ac:dyDescent="0.25">
      <c r="A8" s="1" t="s">
        <v>31</v>
      </c>
      <c r="B8">
        <v>2</v>
      </c>
      <c r="C8" t="s">
        <v>29</v>
      </c>
      <c r="D8">
        <v>5</v>
      </c>
      <c r="H8" t="s">
        <v>32</v>
      </c>
    </row>
    <row r="9" spans="1:10" x14ac:dyDescent="0.25">
      <c r="A9" s="1" t="s">
        <v>33</v>
      </c>
      <c r="B9">
        <v>2</v>
      </c>
      <c r="C9" t="s">
        <v>29</v>
      </c>
      <c r="D9">
        <v>5</v>
      </c>
    </row>
    <row r="10" spans="1:10" x14ac:dyDescent="0.25">
      <c r="A10" s="1" t="s">
        <v>34</v>
      </c>
      <c r="B10">
        <v>2</v>
      </c>
      <c r="C10" t="s">
        <v>29</v>
      </c>
      <c r="D10">
        <v>5</v>
      </c>
    </row>
    <row r="11" spans="1:10" x14ac:dyDescent="0.25">
      <c r="A11" s="1">
        <v>11100</v>
      </c>
      <c r="B11">
        <v>2</v>
      </c>
      <c r="C11" t="s">
        <v>29</v>
      </c>
      <c r="D11">
        <v>5</v>
      </c>
    </row>
    <row r="12" spans="1:10" x14ac:dyDescent="0.25">
      <c r="A12" s="1" t="s">
        <v>35</v>
      </c>
      <c r="B12">
        <v>3</v>
      </c>
      <c r="C12" t="s">
        <v>36</v>
      </c>
      <c r="D12">
        <v>5</v>
      </c>
    </row>
    <row r="13" spans="1:10" x14ac:dyDescent="0.25">
      <c r="A13" s="1" t="s">
        <v>37</v>
      </c>
      <c r="B13">
        <v>3</v>
      </c>
      <c r="C13" t="s">
        <v>36</v>
      </c>
      <c r="D13">
        <v>5</v>
      </c>
    </row>
    <row r="14" spans="1:10" x14ac:dyDescent="0.25">
      <c r="A14" s="1" t="s">
        <v>38</v>
      </c>
      <c r="B14">
        <v>3</v>
      </c>
      <c r="C14" t="s">
        <v>36</v>
      </c>
      <c r="D14">
        <v>5</v>
      </c>
    </row>
    <row r="15" spans="1:10" x14ac:dyDescent="0.25">
      <c r="A15" s="1" t="s">
        <v>39</v>
      </c>
      <c r="B15">
        <v>3</v>
      </c>
      <c r="C15" t="s">
        <v>36</v>
      </c>
      <c r="D15">
        <v>5</v>
      </c>
    </row>
    <row r="16" spans="1:10" x14ac:dyDescent="0.25">
      <c r="A16" s="1">
        <v>11400</v>
      </c>
      <c r="B16">
        <v>3</v>
      </c>
      <c r="C16" t="s">
        <v>36</v>
      </c>
      <c r="D16">
        <v>5</v>
      </c>
    </row>
    <row r="17" spans="1:4" x14ac:dyDescent="0.25">
      <c r="A17" s="1" t="s">
        <v>40</v>
      </c>
      <c r="B17">
        <v>4</v>
      </c>
      <c r="C17" t="s">
        <v>41</v>
      </c>
      <c r="D17">
        <v>5</v>
      </c>
    </row>
    <row r="18" spans="1:4" x14ac:dyDescent="0.25">
      <c r="A18" s="1" t="s">
        <v>42</v>
      </c>
      <c r="B18">
        <v>4</v>
      </c>
      <c r="C18" t="s">
        <v>41</v>
      </c>
      <c r="D18">
        <v>5</v>
      </c>
    </row>
    <row r="19" spans="1:4" x14ac:dyDescent="0.25">
      <c r="A19" s="1" t="s">
        <v>43</v>
      </c>
      <c r="B19">
        <v>4</v>
      </c>
      <c r="C19" t="s">
        <v>41</v>
      </c>
      <c r="D19">
        <v>5</v>
      </c>
    </row>
    <row r="20" spans="1:4" x14ac:dyDescent="0.25">
      <c r="A20" s="1" t="s">
        <v>44</v>
      </c>
      <c r="B20">
        <v>4</v>
      </c>
      <c r="C20" t="s">
        <v>41</v>
      </c>
      <c r="D20">
        <v>5</v>
      </c>
    </row>
    <row r="21" spans="1:4" x14ac:dyDescent="0.25">
      <c r="A21" s="1">
        <v>11510</v>
      </c>
      <c r="B21">
        <v>4</v>
      </c>
      <c r="C21" t="s">
        <v>41</v>
      </c>
      <c r="D21">
        <v>5</v>
      </c>
    </row>
    <row r="22" spans="1:4" x14ac:dyDescent="0.25">
      <c r="A22" s="1" t="s">
        <v>45</v>
      </c>
      <c r="B22">
        <v>5</v>
      </c>
      <c r="C22" t="s">
        <v>46</v>
      </c>
      <c r="D22">
        <v>5</v>
      </c>
    </row>
    <row r="23" spans="1:4" x14ac:dyDescent="0.25">
      <c r="A23" s="1" t="s">
        <v>47</v>
      </c>
      <c r="B23">
        <v>5</v>
      </c>
      <c r="C23" t="s">
        <v>46</v>
      </c>
      <c r="D23">
        <v>5</v>
      </c>
    </row>
    <row r="24" spans="1:4" x14ac:dyDescent="0.25">
      <c r="A24" s="1" t="s">
        <v>48</v>
      </c>
      <c r="B24">
        <v>5</v>
      </c>
      <c r="C24" t="s">
        <v>46</v>
      </c>
      <c r="D24">
        <v>5</v>
      </c>
    </row>
    <row r="25" spans="1:4" x14ac:dyDescent="0.25">
      <c r="A25" s="1" t="s">
        <v>49</v>
      </c>
      <c r="B25">
        <v>5</v>
      </c>
      <c r="C25" t="s">
        <v>46</v>
      </c>
      <c r="D25">
        <v>5</v>
      </c>
    </row>
    <row r="26" spans="1:4" x14ac:dyDescent="0.25">
      <c r="A26" s="1">
        <v>11520</v>
      </c>
      <c r="B26">
        <v>5</v>
      </c>
      <c r="C26" t="s">
        <v>46</v>
      </c>
      <c r="D26">
        <v>5</v>
      </c>
    </row>
    <row r="27" spans="1:4" x14ac:dyDescent="0.25">
      <c r="A27" s="1" t="s">
        <v>50</v>
      </c>
      <c r="B27">
        <v>6</v>
      </c>
      <c r="C27" t="s">
        <v>51</v>
      </c>
      <c r="D27">
        <v>5</v>
      </c>
    </row>
    <row r="28" spans="1:4" x14ac:dyDescent="0.25">
      <c r="A28" s="1" t="s">
        <v>52</v>
      </c>
      <c r="B28">
        <v>6</v>
      </c>
      <c r="C28" t="s">
        <v>51</v>
      </c>
      <c r="D28">
        <v>5</v>
      </c>
    </row>
    <row r="29" spans="1:4" x14ac:dyDescent="0.25">
      <c r="A29" s="1" t="s">
        <v>53</v>
      </c>
      <c r="B29">
        <v>6</v>
      </c>
      <c r="C29" t="s">
        <v>51</v>
      </c>
      <c r="D29">
        <v>5</v>
      </c>
    </row>
    <row r="30" spans="1:4" x14ac:dyDescent="0.25">
      <c r="A30" s="1" t="s">
        <v>54</v>
      </c>
      <c r="B30">
        <v>6</v>
      </c>
      <c r="C30" t="s">
        <v>51</v>
      </c>
      <c r="D30">
        <v>5</v>
      </c>
    </row>
    <row r="31" spans="1:4" x14ac:dyDescent="0.25">
      <c r="A31" s="1">
        <v>11600</v>
      </c>
      <c r="B31">
        <v>6</v>
      </c>
      <c r="C31" t="s">
        <v>51</v>
      </c>
      <c r="D31">
        <v>5</v>
      </c>
    </row>
    <row r="32" spans="1:4" x14ac:dyDescent="0.25">
      <c r="A32" s="1" t="s">
        <v>55</v>
      </c>
      <c r="B32">
        <v>7</v>
      </c>
      <c r="C32" t="s">
        <v>56</v>
      </c>
      <c r="D32">
        <v>5</v>
      </c>
    </row>
    <row r="33" spans="1:4" x14ac:dyDescent="0.25">
      <c r="A33" s="1" t="s">
        <v>57</v>
      </c>
      <c r="B33">
        <v>7</v>
      </c>
      <c r="C33" t="s">
        <v>56</v>
      </c>
      <c r="D33">
        <v>5</v>
      </c>
    </row>
    <row r="34" spans="1:4" x14ac:dyDescent="0.25">
      <c r="A34" s="1" t="s">
        <v>58</v>
      </c>
      <c r="B34">
        <v>7</v>
      </c>
      <c r="C34" t="s">
        <v>56</v>
      </c>
      <c r="D34">
        <v>5</v>
      </c>
    </row>
    <row r="35" spans="1:4" x14ac:dyDescent="0.25">
      <c r="A35" s="1" t="s">
        <v>59</v>
      </c>
      <c r="B35">
        <v>7</v>
      </c>
      <c r="C35" t="s">
        <v>56</v>
      </c>
      <c r="D35">
        <v>5</v>
      </c>
    </row>
    <row r="36" spans="1:4" x14ac:dyDescent="0.25">
      <c r="A36" s="1">
        <v>11710</v>
      </c>
      <c r="B36">
        <v>7</v>
      </c>
      <c r="C36" t="s">
        <v>56</v>
      </c>
      <c r="D36">
        <v>5</v>
      </c>
    </row>
    <row r="37" spans="1:4" x14ac:dyDescent="0.25">
      <c r="A37" s="1" t="s">
        <v>60</v>
      </c>
      <c r="B37">
        <v>8</v>
      </c>
      <c r="C37" t="s">
        <v>61</v>
      </c>
      <c r="D37">
        <v>5</v>
      </c>
    </row>
    <row r="38" spans="1:4" x14ac:dyDescent="0.25">
      <c r="A38" s="1" t="s">
        <v>62</v>
      </c>
      <c r="B38">
        <v>8</v>
      </c>
      <c r="C38" t="s">
        <v>61</v>
      </c>
      <c r="D38">
        <v>5</v>
      </c>
    </row>
    <row r="39" spans="1:4" x14ac:dyDescent="0.25">
      <c r="A39" s="1" t="s">
        <v>63</v>
      </c>
      <c r="B39">
        <v>8</v>
      </c>
      <c r="C39" t="s">
        <v>61</v>
      </c>
      <c r="D39">
        <v>5</v>
      </c>
    </row>
    <row r="40" spans="1:4" x14ac:dyDescent="0.25">
      <c r="A40" s="1" t="s">
        <v>64</v>
      </c>
      <c r="B40">
        <v>8</v>
      </c>
      <c r="C40" t="s">
        <v>61</v>
      </c>
      <c r="D40">
        <v>5</v>
      </c>
    </row>
    <row r="41" spans="1:4" x14ac:dyDescent="0.25">
      <c r="A41" s="1">
        <v>11750</v>
      </c>
      <c r="B41">
        <v>8</v>
      </c>
      <c r="C41" t="s">
        <v>61</v>
      </c>
      <c r="D41">
        <v>5</v>
      </c>
    </row>
    <row r="42" spans="1:4" x14ac:dyDescent="0.25">
      <c r="A42" s="1" t="s">
        <v>65</v>
      </c>
      <c r="B42">
        <v>9</v>
      </c>
      <c r="C42" t="s">
        <v>66</v>
      </c>
      <c r="D42">
        <v>5</v>
      </c>
    </row>
    <row r="43" spans="1:4" x14ac:dyDescent="0.25">
      <c r="A43" s="1" t="s">
        <v>67</v>
      </c>
      <c r="B43">
        <v>9</v>
      </c>
      <c r="C43" t="s">
        <v>66</v>
      </c>
      <c r="D43">
        <v>5</v>
      </c>
    </row>
    <row r="44" spans="1:4" x14ac:dyDescent="0.25">
      <c r="A44" s="1" t="s">
        <v>68</v>
      </c>
      <c r="B44">
        <v>9</v>
      </c>
      <c r="C44" t="s">
        <v>66</v>
      </c>
      <c r="D44">
        <v>5</v>
      </c>
    </row>
    <row r="45" spans="1:4" x14ac:dyDescent="0.25">
      <c r="A45" s="1" t="s">
        <v>69</v>
      </c>
      <c r="B45">
        <v>9</v>
      </c>
      <c r="C45" t="s">
        <v>66</v>
      </c>
      <c r="D45">
        <v>5</v>
      </c>
    </row>
    <row r="46" spans="1:4" x14ac:dyDescent="0.25">
      <c r="A46" s="1">
        <v>12100</v>
      </c>
      <c r="B46">
        <v>9</v>
      </c>
      <c r="C46" t="s">
        <v>66</v>
      </c>
      <c r="D46">
        <v>5</v>
      </c>
    </row>
    <row r="47" spans="1:4" x14ac:dyDescent="0.25">
      <c r="A47" s="1" t="s">
        <v>70</v>
      </c>
      <c r="B47">
        <v>10</v>
      </c>
      <c r="C47" t="s">
        <v>71</v>
      </c>
      <c r="D47">
        <v>5</v>
      </c>
    </row>
    <row r="48" spans="1:4" x14ac:dyDescent="0.25">
      <c r="A48" s="1" t="s">
        <v>72</v>
      </c>
      <c r="B48">
        <v>10</v>
      </c>
      <c r="C48" t="s">
        <v>71</v>
      </c>
      <c r="D48">
        <v>5</v>
      </c>
    </row>
    <row r="49" spans="1:4" x14ac:dyDescent="0.25">
      <c r="A49" s="1" t="s">
        <v>73</v>
      </c>
      <c r="B49">
        <v>10</v>
      </c>
      <c r="C49" t="s">
        <v>71</v>
      </c>
      <c r="D49">
        <v>5</v>
      </c>
    </row>
    <row r="50" spans="1:4" x14ac:dyDescent="0.25">
      <c r="A50" s="1" t="s">
        <v>74</v>
      </c>
      <c r="B50">
        <v>10</v>
      </c>
      <c r="C50" t="s">
        <v>71</v>
      </c>
      <c r="D50">
        <v>5</v>
      </c>
    </row>
    <row r="51" spans="1:4" x14ac:dyDescent="0.25">
      <c r="A51" s="1">
        <v>12410</v>
      </c>
      <c r="B51">
        <v>10</v>
      </c>
      <c r="C51" t="s">
        <v>71</v>
      </c>
      <c r="D51">
        <v>5</v>
      </c>
    </row>
    <row r="52" spans="1:4" x14ac:dyDescent="0.25">
      <c r="A52" s="1" t="s">
        <v>75</v>
      </c>
      <c r="B52">
        <v>11</v>
      </c>
      <c r="C52" t="s">
        <v>76</v>
      </c>
      <c r="D52">
        <v>5</v>
      </c>
    </row>
    <row r="53" spans="1:4" x14ac:dyDescent="0.25">
      <c r="A53" s="1" t="s">
        <v>77</v>
      </c>
      <c r="B53">
        <v>11</v>
      </c>
      <c r="C53" t="s">
        <v>76</v>
      </c>
      <c r="D53">
        <v>5</v>
      </c>
    </row>
    <row r="54" spans="1:4" x14ac:dyDescent="0.25">
      <c r="A54" s="1" t="s">
        <v>78</v>
      </c>
      <c r="B54">
        <v>11</v>
      </c>
      <c r="C54" t="s">
        <v>76</v>
      </c>
      <c r="D54">
        <v>5</v>
      </c>
    </row>
    <row r="55" spans="1:4" x14ac:dyDescent="0.25">
      <c r="A55" s="1" t="s">
        <v>79</v>
      </c>
      <c r="B55">
        <v>11</v>
      </c>
      <c r="C55" t="s">
        <v>76</v>
      </c>
      <c r="D55">
        <v>5</v>
      </c>
    </row>
    <row r="56" spans="1:4" x14ac:dyDescent="0.25">
      <c r="A56" s="1">
        <v>12420</v>
      </c>
      <c r="B56">
        <v>11</v>
      </c>
      <c r="C56" t="s">
        <v>76</v>
      </c>
      <c r="D56">
        <v>5</v>
      </c>
    </row>
    <row r="57" spans="1:4" x14ac:dyDescent="0.25">
      <c r="A57" s="1" t="s">
        <v>80</v>
      </c>
      <c r="B57">
        <v>12</v>
      </c>
      <c r="C57" t="s">
        <v>81</v>
      </c>
      <c r="D57">
        <v>5</v>
      </c>
    </row>
    <row r="58" spans="1:4" x14ac:dyDescent="0.25">
      <c r="A58" s="1" t="s">
        <v>82</v>
      </c>
      <c r="B58">
        <v>12</v>
      </c>
      <c r="C58" t="s">
        <v>81</v>
      </c>
      <c r="D58">
        <v>5</v>
      </c>
    </row>
    <row r="59" spans="1:4" x14ac:dyDescent="0.25">
      <c r="A59" s="1" t="s">
        <v>83</v>
      </c>
      <c r="B59">
        <v>12</v>
      </c>
      <c r="C59" t="s">
        <v>81</v>
      </c>
      <c r="D59">
        <v>5</v>
      </c>
    </row>
    <row r="60" spans="1:4" x14ac:dyDescent="0.25">
      <c r="A60" s="1" t="s">
        <v>84</v>
      </c>
      <c r="B60">
        <v>12</v>
      </c>
      <c r="C60" t="s">
        <v>81</v>
      </c>
      <c r="D60">
        <v>5</v>
      </c>
    </row>
    <row r="61" spans="1:4" x14ac:dyDescent="0.25">
      <c r="A61" s="1">
        <v>12550</v>
      </c>
      <c r="B61">
        <v>12</v>
      </c>
      <c r="C61" t="s">
        <v>81</v>
      </c>
      <c r="D61">
        <v>5</v>
      </c>
    </row>
    <row r="62" spans="1:4" x14ac:dyDescent="0.25">
      <c r="A62" s="1" t="s">
        <v>85</v>
      </c>
      <c r="B62">
        <v>13</v>
      </c>
      <c r="C62" t="s">
        <v>86</v>
      </c>
      <c r="D62">
        <v>4</v>
      </c>
    </row>
    <row r="63" spans="1:4" x14ac:dyDescent="0.25">
      <c r="A63" s="1" t="s">
        <v>87</v>
      </c>
      <c r="B63">
        <v>13</v>
      </c>
      <c r="C63" t="s">
        <v>86</v>
      </c>
      <c r="D63">
        <v>4</v>
      </c>
    </row>
    <row r="64" spans="1:4" x14ac:dyDescent="0.25">
      <c r="A64" s="1" t="s">
        <v>88</v>
      </c>
      <c r="B64">
        <v>13</v>
      </c>
      <c r="C64" t="s">
        <v>86</v>
      </c>
      <c r="D64">
        <v>4</v>
      </c>
    </row>
    <row r="65" spans="1:4" x14ac:dyDescent="0.25">
      <c r="A65" s="1" t="s">
        <v>89</v>
      </c>
      <c r="B65">
        <v>13</v>
      </c>
      <c r="C65" t="s">
        <v>86</v>
      </c>
      <c r="D65">
        <v>4</v>
      </c>
    </row>
    <row r="66" spans="1:4" x14ac:dyDescent="0.25">
      <c r="A66" s="1" t="s">
        <v>90</v>
      </c>
      <c r="B66">
        <v>13</v>
      </c>
      <c r="C66" t="s">
        <v>86</v>
      </c>
      <c r="D66">
        <v>4</v>
      </c>
    </row>
    <row r="67" spans="1:4" x14ac:dyDescent="0.25">
      <c r="A67" s="1" t="s">
        <v>91</v>
      </c>
      <c r="B67">
        <v>14</v>
      </c>
      <c r="C67" t="s">
        <v>92</v>
      </c>
      <c r="D67">
        <v>5</v>
      </c>
    </row>
    <row r="68" spans="1:4" x14ac:dyDescent="0.25">
      <c r="A68" s="1" t="s">
        <v>93</v>
      </c>
      <c r="B68">
        <v>14</v>
      </c>
      <c r="C68" t="s">
        <v>92</v>
      </c>
      <c r="D68">
        <v>5</v>
      </c>
    </row>
    <row r="69" spans="1:4" x14ac:dyDescent="0.25">
      <c r="A69" s="1" t="s">
        <v>94</v>
      </c>
      <c r="B69">
        <v>14</v>
      </c>
      <c r="C69" t="s">
        <v>92</v>
      </c>
      <c r="D69">
        <v>5</v>
      </c>
    </row>
    <row r="70" spans="1:4" x14ac:dyDescent="0.25">
      <c r="A70" s="1" t="s">
        <v>95</v>
      </c>
      <c r="B70">
        <v>14</v>
      </c>
      <c r="C70" t="s">
        <v>92</v>
      </c>
      <c r="D70">
        <v>5</v>
      </c>
    </row>
    <row r="71" spans="1:4" x14ac:dyDescent="0.25">
      <c r="A71" s="1">
        <v>23100</v>
      </c>
      <c r="B71">
        <v>14</v>
      </c>
      <c r="C71" t="s">
        <v>92</v>
      </c>
      <c r="D71">
        <v>5</v>
      </c>
    </row>
    <row r="72" spans="1:4" x14ac:dyDescent="0.25">
      <c r="A72" s="1" t="s">
        <v>96</v>
      </c>
      <c r="B72">
        <v>15</v>
      </c>
      <c r="C72" t="s">
        <v>97</v>
      </c>
      <c r="D72">
        <v>5</v>
      </c>
    </row>
    <row r="73" spans="1:4" x14ac:dyDescent="0.25">
      <c r="A73" s="1" t="s">
        <v>98</v>
      </c>
      <c r="B73">
        <v>15</v>
      </c>
      <c r="C73" t="s">
        <v>97</v>
      </c>
      <c r="D73">
        <v>5</v>
      </c>
    </row>
    <row r="74" spans="1:4" x14ac:dyDescent="0.25">
      <c r="A74" s="1" t="s">
        <v>99</v>
      </c>
      <c r="B74">
        <v>15</v>
      </c>
      <c r="C74" t="s">
        <v>97</v>
      </c>
      <c r="D74">
        <v>5</v>
      </c>
    </row>
    <row r="75" spans="1:4" x14ac:dyDescent="0.25">
      <c r="A75" s="1" t="s">
        <v>100</v>
      </c>
      <c r="B75">
        <v>15</v>
      </c>
      <c r="C75" t="s">
        <v>97</v>
      </c>
      <c r="D75">
        <v>5</v>
      </c>
    </row>
    <row r="76" spans="1:4" x14ac:dyDescent="0.25">
      <c r="A76" s="1">
        <v>23200</v>
      </c>
      <c r="B76">
        <v>15</v>
      </c>
      <c r="C76" t="s">
        <v>97</v>
      </c>
      <c r="D76">
        <v>5</v>
      </c>
    </row>
    <row r="77" spans="1:4" x14ac:dyDescent="0.25">
      <c r="A77" s="1" t="s">
        <v>101</v>
      </c>
      <c r="B77">
        <v>16</v>
      </c>
      <c r="C77" t="s">
        <v>102</v>
      </c>
      <c r="D77">
        <v>5</v>
      </c>
    </row>
    <row r="78" spans="1:4" x14ac:dyDescent="0.25">
      <c r="A78" s="1" t="s">
        <v>103</v>
      </c>
      <c r="B78">
        <v>16</v>
      </c>
      <c r="C78" t="s">
        <v>102</v>
      </c>
      <c r="D78">
        <v>5</v>
      </c>
    </row>
    <row r="79" spans="1:4" x14ac:dyDescent="0.25">
      <c r="A79" s="1" t="s">
        <v>104</v>
      </c>
      <c r="B79">
        <v>16</v>
      </c>
      <c r="C79" t="s">
        <v>102</v>
      </c>
      <c r="D79">
        <v>5</v>
      </c>
    </row>
    <row r="80" spans="1:4" x14ac:dyDescent="0.25">
      <c r="A80" s="1" t="s">
        <v>105</v>
      </c>
      <c r="B80">
        <v>16</v>
      </c>
      <c r="C80" t="s">
        <v>102</v>
      </c>
      <c r="D80">
        <v>5</v>
      </c>
    </row>
    <row r="81" spans="1:4" x14ac:dyDescent="0.25">
      <c r="A81" s="1">
        <v>23330</v>
      </c>
      <c r="B81">
        <v>16</v>
      </c>
      <c r="C81" t="s">
        <v>102</v>
      </c>
      <c r="D81">
        <v>5</v>
      </c>
    </row>
    <row r="82" spans="1:4" x14ac:dyDescent="0.25">
      <c r="A82" s="1" t="s">
        <v>106</v>
      </c>
      <c r="B82">
        <v>17</v>
      </c>
      <c r="C82" t="s">
        <v>107</v>
      </c>
      <c r="D82">
        <v>5</v>
      </c>
    </row>
    <row r="83" spans="1:4" x14ac:dyDescent="0.25">
      <c r="A83" s="1" t="s">
        <v>108</v>
      </c>
      <c r="B83">
        <v>17</v>
      </c>
      <c r="C83" t="s">
        <v>107</v>
      </c>
      <c r="D83">
        <v>5</v>
      </c>
    </row>
    <row r="84" spans="1:4" x14ac:dyDescent="0.25">
      <c r="A84" s="1" t="s">
        <v>109</v>
      </c>
      <c r="B84">
        <v>17</v>
      </c>
      <c r="C84" t="s">
        <v>107</v>
      </c>
      <c r="D84">
        <v>5</v>
      </c>
    </row>
    <row r="85" spans="1:4" x14ac:dyDescent="0.25">
      <c r="A85" s="1" t="s">
        <v>110</v>
      </c>
      <c r="B85">
        <v>17</v>
      </c>
      <c r="C85" t="s">
        <v>107</v>
      </c>
      <c r="D85">
        <v>5</v>
      </c>
    </row>
    <row r="86" spans="1:4" x14ac:dyDescent="0.25">
      <c r="A86" s="1">
        <v>23350</v>
      </c>
      <c r="B86">
        <v>17</v>
      </c>
      <c r="C86" t="s">
        <v>107</v>
      </c>
      <c r="D86">
        <v>5</v>
      </c>
    </row>
    <row r="87" spans="1:4" x14ac:dyDescent="0.25">
      <c r="A87" s="1" t="s">
        <v>111</v>
      </c>
      <c r="B87">
        <v>18</v>
      </c>
      <c r="C87" t="s">
        <v>112</v>
      </c>
      <c r="D87">
        <v>5</v>
      </c>
    </row>
    <row r="88" spans="1:4" x14ac:dyDescent="0.25">
      <c r="A88" s="1" t="s">
        <v>113</v>
      </c>
      <c r="B88">
        <v>18</v>
      </c>
      <c r="C88" t="s">
        <v>112</v>
      </c>
      <c r="D88">
        <v>5</v>
      </c>
    </row>
    <row r="89" spans="1:4" x14ac:dyDescent="0.25">
      <c r="A89" s="1" t="s">
        <v>114</v>
      </c>
      <c r="B89">
        <v>18</v>
      </c>
      <c r="C89" t="s">
        <v>112</v>
      </c>
      <c r="D89">
        <v>5</v>
      </c>
    </row>
    <row r="90" spans="1:4" x14ac:dyDescent="0.25">
      <c r="A90" s="1" t="s">
        <v>115</v>
      </c>
      <c r="B90">
        <v>18</v>
      </c>
      <c r="C90" t="s">
        <v>112</v>
      </c>
      <c r="D90">
        <v>5</v>
      </c>
    </row>
    <row r="91" spans="1:4" x14ac:dyDescent="0.25">
      <c r="A91" s="1">
        <v>23600</v>
      </c>
      <c r="B91">
        <v>18</v>
      </c>
      <c r="C91" t="s">
        <v>112</v>
      </c>
      <c r="D91">
        <v>5</v>
      </c>
    </row>
    <row r="92" spans="1:4" x14ac:dyDescent="0.25">
      <c r="A92" s="1" t="s">
        <v>116</v>
      </c>
      <c r="B92">
        <v>19</v>
      </c>
      <c r="C92" t="s">
        <v>117</v>
      </c>
      <c r="D92">
        <v>5</v>
      </c>
    </row>
    <row r="93" spans="1:4" x14ac:dyDescent="0.25">
      <c r="A93" s="1" t="s">
        <v>118</v>
      </c>
      <c r="B93">
        <v>19</v>
      </c>
      <c r="C93" t="s">
        <v>117</v>
      </c>
      <c r="D93">
        <v>5</v>
      </c>
    </row>
    <row r="94" spans="1:4" x14ac:dyDescent="0.25">
      <c r="A94" s="1" t="s">
        <v>119</v>
      </c>
      <c r="B94">
        <v>19</v>
      </c>
      <c r="C94" t="s">
        <v>117</v>
      </c>
      <c r="D94">
        <v>5</v>
      </c>
    </row>
    <row r="95" spans="1:4" x14ac:dyDescent="0.25">
      <c r="A95" s="1" t="s">
        <v>120</v>
      </c>
      <c r="B95">
        <v>19</v>
      </c>
      <c r="C95" t="s">
        <v>117</v>
      </c>
      <c r="D95">
        <v>5</v>
      </c>
    </row>
    <row r="96" spans="1:4" x14ac:dyDescent="0.25">
      <c r="A96" s="1">
        <v>24200</v>
      </c>
      <c r="B96">
        <v>19</v>
      </c>
      <c r="C96" t="s">
        <v>117</v>
      </c>
      <c r="D96">
        <v>5</v>
      </c>
    </row>
    <row r="97" spans="1:4" x14ac:dyDescent="0.25">
      <c r="A97" s="1" t="s">
        <v>121</v>
      </c>
      <c r="B97">
        <v>20</v>
      </c>
      <c r="C97" t="s">
        <v>122</v>
      </c>
      <c r="D97">
        <v>5</v>
      </c>
    </row>
    <row r="98" spans="1:4" x14ac:dyDescent="0.25">
      <c r="A98" s="1" t="s">
        <v>123</v>
      </c>
      <c r="B98">
        <v>20</v>
      </c>
      <c r="C98" t="s">
        <v>122</v>
      </c>
      <c r="D98">
        <v>5</v>
      </c>
    </row>
    <row r="99" spans="1:4" x14ac:dyDescent="0.25">
      <c r="A99" s="1" t="s">
        <v>124</v>
      </c>
      <c r="B99">
        <v>20</v>
      </c>
      <c r="C99" t="s">
        <v>122</v>
      </c>
      <c r="D99">
        <v>5</v>
      </c>
    </row>
    <row r="100" spans="1:4" x14ac:dyDescent="0.25">
      <c r="A100" s="1" t="s">
        <v>125</v>
      </c>
      <c r="B100">
        <v>20</v>
      </c>
      <c r="C100" t="s">
        <v>122</v>
      </c>
      <c r="D100">
        <v>5</v>
      </c>
    </row>
    <row r="101" spans="1:4" x14ac:dyDescent="0.25">
      <c r="A101" s="1">
        <v>25100</v>
      </c>
      <c r="B101">
        <v>20</v>
      </c>
      <c r="C101" t="s">
        <v>122</v>
      </c>
      <c r="D101">
        <v>5</v>
      </c>
    </row>
    <row r="102" spans="1:4" x14ac:dyDescent="0.25">
      <c r="A102" s="1" t="s">
        <v>126</v>
      </c>
      <c r="B102">
        <v>21</v>
      </c>
      <c r="C102" t="s">
        <v>127</v>
      </c>
      <c r="D102">
        <v>5</v>
      </c>
    </row>
    <row r="103" spans="1:4" x14ac:dyDescent="0.25">
      <c r="A103" s="1" t="s">
        <v>128</v>
      </c>
      <c r="B103">
        <v>21</v>
      </c>
      <c r="C103" t="s">
        <v>127</v>
      </c>
      <c r="D103">
        <v>5</v>
      </c>
    </row>
    <row r="104" spans="1:4" x14ac:dyDescent="0.25">
      <c r="A104" s="1" t="s">
        <v>129</v>
      </c>
      <c r="B104">
        <v>21</v>
      </c>
      <c r="C104" t="s">
        <v>127</v>
      </c>
      <c r="D104">
        <v>5</v>
      </c>
    </row>
    <row r="105" spans="1:4" x14ac:dyDescent="0.25">
      <c r="A105" s="1" t="s">
        <v>130</v>
      </c>
      <c r="B105">
        <v>21</v>
      </c>
      <c r="C105" t="s">
        <v>127</v>
      </c>
      <c r="D105">
        <v>5</v>
      </c>
    </row>
    <row r="106" spans="1:4" x14ac:dyDescent="0.25">
      <c r="A106" s="1">
        <v>25300</v>
      </c>
      <c r="B106">
        <v>21</v>
      </c>
      <c r="C106" t="s">
        <v>127</v>
      </c>
      <c r="D106">
        <v>5</v>
      </c>
    </row>
    <row r="107" spans="1:4" x14ac:dyDescent="0.25">
      <c r="A107" s="1" t="s">
        <v>131</v>
      </c>
      <c r="B107">
        <v>22</v>
      </c>
      <c r="C107" t="s">
        <v>132</v>
      </c>
      <c r="D107">
        <v>5</v>
      </c>
    </row>
    <row r="108" spans="1:4" x14ac:dyDescent="0.25">
      <c r="A108" s="1" t="s">
        <v>133</v>
      </c>
      <c r="B108">
        <v>22</v>
      </c>
      <c r="C108" t="s">
        <v>132</v>
      </c>
      <c r="D108">
        <v>5</v>
      </c>
    </row>
    <row r="109" spans="1:4" x14ac:dyDescent="0.25">
      <c r="A109" s="1" t="s">
        <v>134</v>
      </c>
      <c r="B109">
        <v>22</v>
      </c>
      <c r="C109" t="s">
        <v>132</v>
      </c>
      <c r="D109">
        <v>5</v>
      </c>
    </row>
    <row r="110" spans="1:4" x14ac:dyDescent="0.25">
      <c r="A110" s="1" t="s">
        <v>135</v>
      </c>
      <c r="B110">
        <v>22</v>
      </c>
      <c r="C110" t="s">
        <v>132</v>
      </c>
      <c r="D110">
        <v>5</v>
      </c>
    </row>
    <row r="111" spans="1:4" x14ac:dyDescent="0.25">
      <c r="A111" s="1">
        <v>25400</v>
      </c>
      <c r="B111">
        <v>22</v>
      </c>
      <c r="C111" t="s">
        <v>132</v>
      </c>
      <c r="D111">
        <v>5</v>
      </c>
    </row>
    <row r="112" spans="1:4" x14ac:dyDescent="0.25">
      <c r="A112" s="1" t="s">
        <v>136</v>
      </c>
      <c r="B112">
        <v>23</v>
      </c>
      <c r="C112" t="s">
        <v>137</v>
      </c>
      <c r="D112">
        <v>5</v>
      </c>
    </row>
    <row r="113" spans="1:4" x14ac:dyDescent="0.25">
      <c r="A113" s="1" t="s">
        <v>138</v>
      </c>
      <c r="B113">
        <v>23</v>
      </c>
      <c r="C113" t="s">
        <v>137</v>
      </c>
      <c r="D113">
        <v>5</v>
      </c>
    </row>
    <row r="114" spans="1:4" x14ac:dyDescent="0.25">
      <c r="A114" s="1" t="s">
        <v>139</v>
      </c>
      <c r="B114">
        <v>23</v>
      </c>
      <c r="C114" t="s">
        <v>137</v>
      </c>
      <c r="D114">
        <v>5</v>
      </c>
    </row>
    <row r="115" spans="1:4" x14ac:dyDescent="0.25">
      <c r="A115" s="1" t="s">
        <v>140</v>
      </c>
      <c r="B115">
        <v>23</v>
      </c>
      <c r="C115" t="s">
        <v>137</v>
      </c>
      <c r="D115">
        <v>5</v>
      </c>
    </row>
    <row r="116" spans="1:4" x14ac:dyDescent="0.25">
      <c r="A116" s="1">
        <v>25700</v>
      </c>
      <c r="B116">
        <v>23</v>
      </c>
      <c r="C116" t="s">
        <v>137</v>
      </c>
      <c r="D116">
        <v>5</v>
      </c>
    </row>
    <row r="117" spans="1:4" x14ac:dyDescent="0.25">
      <c r="A117" s="1" t="s">
        <v>141</v>
      </c>
      <c r="B117">
        <v>24</v>
      </c>
      <c r="C117" t="s">
        <v>142</v>
      </c>
      <c r="D117">
        <v>5</v>
      </c>
    </row>
    <row r="118" spans="1:4" x14ac:dyDescent="0.25">
      <c r="A118" s="1" t="s">
        <v>143</v>
      </c>
      <c r="B118">
        <v>24</v>
      </c>
      <c r="C118" t="s">
        <v>142</v>
      </c>
      <c r="D118">
        <v>5</v>
      </c>
    </row>
    <row r="119" spans="1:4" x14ac:dyDescent="0.25">
      <c r="A119" s="1" t="s">
        <v>144</v>
      </c>
      <c r="B119">
        <v>24</v>
      </c>
      <c r="C119" t="s">
        <v>142</v>
      </c>
      <c r="D119">
        <v>5</v>
      </c>
    </row>
    <row r="120" spans="1:4" x14ac:dyDescent="0.25">
      <c r="A120" s="1" t="s">
        <v>145</v>
      </c>
      <c r="B120">
        <v>24</v>
      </c>
      <c r="C120" t="s">
        <v>142</v>
      </c>
      <c r="D120">
        <v>5</v>
      </c>
    </row>
    <row r="121" spans="1:4" x14ac:dyDescent="0.25">
      <c r="A121" s="1">
        <v>26110</v>
      </c>
      <c r="B121">
        <v>24</v>
      </c>
      <c r="C121" t="s">
        <v>142</v>
      </c>
      <c r="D121">
        <v>5</v>
      </c>
    </row>
    <row r="122" spans="1:4" x14ac:dyDescent="0.25">
      <c r="A122" s="1" t="s">
        <v>146</v>
      </c>
      <c r="B122">
        <v>25</v>
      </c>
      <c r="C122" t="s">
        <v>147</v>
      </c>
      <c r="D122">
        <v>5</v>
      </c>
    </row>
    <row r="123" spans="1:4" x14ac:dyDescent="0.25">
      <c r="A123" s="1" t="s">
        <v>148</v>
      </c>
      <c r="B123">
        <v>25</v>
      </c>
      <c r="C123" t="s">
        <v>147</v>
      </c>
      <c r="D123">
        <v>5</v>
      </c>
    </row>
    <row r="124" spans="1:4" x14ac:dyDescent="0.25">
      <c r="A124" s="1" t="s">
        <v>149</v>
      </c>
      <c r="B124">
        <v>25</v>
      </c>
      <c r="C124" t="s">
        <v>147</v>
      </c>
      <c r="D124">
        <v>5</v>
      </c>
    </row>
    <row r="125" spans="1:4" x14ac:dyDescent="0.25">
      <c r="A125" s="1" t="s">
        <v>150</v>
      </c>
      <c r="B125">
        <v>25</v>
      </c>
      <c r="C125" t="s">
        <v>147</v>
      </c>
      <c r="D125">
        <v>5</v>
      </c>
    </row>
    <row r="126" spans="1:4" x14ac:dyDescent="0.25">
      <c r="A126" s="1">
        <v>26210</v>
      </c>
      <c r="B126">
        <v>25</v>
      </c>
      <c r="C126" t="s">
        <v>147</v>
      </c>
      <c r="D126">
        <v>5</v>
      </c>
    </row>
    <row r="127" spans="1:4" x14ac:dyDescent="0.25">
      <c r="A127" s="1" t="s">
        <v>151</v>
      </c>
      <c r="B127">
        <v>26</v>
      </c>
      <c r="C127" t="s">
        <v>152</v>
      </c>
      <c r="D127">
        <v>5</v>
      </c>
    </row>
    <row r="128" spans="1:4" x14ac:dyDescent="0.25">
      <c r="A128" s="1" t="s">
        <v>153</v>
      </c>
      <c r="B128">
        <v>26</v>
      </c>
      <c r="C128" t="s">
        <v>152</v>
      </c>
      <c r="D128">
        <v>5</v>
      </c>
    </row>
    <row r="129" spans="1:4" x14ac:dyDescent="0.25">
      <c r="A129" s="1" t="s">
        <v>154</v>
      </c>
      <c r="B129">
        <v>26</v>
      </c>
      <c r="C129" t="s">
        <v>152</v>
      </c>
      <c r="D129">
        <v>5</v>
      </c>
    </row>
    <row r="130" spans="1:4" x14ac:dyDescent="0.25">
      <c r="A130" s="1" t="s">
        <v>155</v>
      </c>
      <c r="B130">
        <v>26</v>
      </c>
      <c r="C130" t="s">
        <v>152</v>
      </c>
      <c r="D130">
        <v>5</v>
      </c>
    </row>
    <row r="131" spans="1:4" x14ac:dyDescent="0.25">
      <c r="A131" s="1">
        <v>27210</v>
      </c>
      <c r="B131">
        <v>26</v>
      </c>
      <c r="C131" t="s">
        <v>152</v>
      </c>
      <c r="D131">
        <v>5</v>
      </c>
    </row>
    <row r="132" spans="1:4" x14ac:dyDescent="0.25">
      <c r="A132" s="1" t="s">
        <v>156</v>
      </c>
      <c r="B132">
        <v>27</v>
      </c>
      <c r="C132" t="s">
        <v>157</v>
      </c>
      <c r="D132">
        <v>5</v>
      </c>
    </row>
    <row r="133" spans="1:4" x14ac:dyDescent="0.25">
      <c r="A133" s="1" t="s">
        <v>158</v>
      </c>
      <c r="B133">
        <v>27</v>
      </c>
      <c r="C133" t="s">
        <v>157</v>
      </c>
      <c r="D133">
        <v>5</v>
      </c>
    </row>
    <row r="134" spans="1:4" x14ac:dyDescent="0.25">
      <c r="A134" s="1" t="s">
        <v>159</v>
      </c>
      <c r="B134">
        <v>27</v>
      </c>
      <c r="C134" t="s">
        <v>157</v>
      </c>
      <c r="D134">
        <v>5</v>
      </c>
    </row>
    <row r="135" spans="1:4" x14ac:dyDescent="0.25">
      <c r="A135" s="1" t="s">
        <v>160</v>
      </c>
      <c r="B135">
        <v>27</v>
      </c>
      <c r="C135" t="s">
        <v>157</v>
      </c>
      <c r="D135">
        <v>5</v>
      </c>
    </row>
    <row r="136" spans="1:4" x14ac:dyDescent="0.25">
      <c r="A136" s="1">
        <v>29100</v>
      </c>
      <c r="B136">
        <v>27</v>
      </c>
      <c r="C136" t="s">
        <v>157</v>
      </c>
      <c r="D136">
        <v>5</v>
      </c>
    </row>
    <row r="137" spans="1:4" x14ac:dyDescent="0.25">
      <c r="A137" s="1" t="s">
        <v>161</v>
      </c>
      <c r="B137">
        <v>28</v>
      </c>
      <c r="C137" t="s">
        <v>162</v>
      </c>
      <c r="D137">
        <v>4</v>
      </c>
    </row>
    <row r="138" spans="1:4" x14ac:dyDescent="0.25">
      <c r="A138" s="1" t="s">
        <v>163</v>
      </c>
      <c r="B138">
        <v>28</v>
      </c>
      <c r="C138" t="s">
        <v>162</v>
      </c>
      <c r="D138">
        <v>4</v>
      </c>
    </row>
    <row r="139" spans="1:4" x14ac:dyDescent="0.25">
      <c r="A139" s="1" t="s">
        <v>164</v>
      </c>
      <c r="B139">
        <v>28</v>
      </c>
      <c r="C139" t="s">
        <v>162</v>
      </c>
      <c r="D139">
        <v>4</v>
      </c>
    </row>
    <row r="140" spans="1:4" x14ac:dyDescent="0.25">
      <c r="A140" s="1" t="s">
        <v>165</v>
      </c>
      <c r="B140">
        <v>28</v>
      </c>
      <c r="C140" t="s">
        <v>162</v>
      </c>
      <c r="D140">
        <v>4</v>
      </c>
    </row>
    <row r="141" spans="1:4" x14ac:dyDescent="0.25">
      <c r="A141" s="1" t="s">
        <v>166</v>
      </c>
      <c r="B141">
        <v>28</v>
      </c>
      <c r="C141" t="s">
        <v>162</v>
      </c>
      <c r="D141">
        <v>4</v>
      </c>
    </row>
    <row r="142" spans="1:4" x14ac:dyDescent="0.25">
      <c r="A142" s="1" t="s">
        <v>167</v>
      </c>
      <c r="B142">
        <v>29</v>
      </c>
      <c r="C142" t="s">
        <v>168</v>
      </c>
      <c r="D142">
        <v>5</v>
      </c>
    </row>
    <row r="143" spans="1:4" x14ac:dyDescent="0.25">
      <c r="A143" s="1" t="s">
        <v>169</v>
      </c>
      <c r="B143">
        <v>29</v>
      </c>
      <c r="C143" t="s">
        <v>168</v>
      </c>
      <c r="D143">
        <v>5</v>
      </c>
    </row>
    <row r="144" spans="1:4" x14ac:dyDescent="0.25">
      <c r="A144" s="1" t="s">
        <v>170</v>
      </c>
      <c r="B144">
        <v>29</v>
      </c>
      <c r="C144" t="s">
        <v>168</v>
      </c>
      <c r="D144">
        <v>5</v>
      </c>
    </row>
    <row r="145" spans="1:4" x14ac:dyDescent="0.25">
      <c r="A145" s="1" t="s">
        <v>171</v>
      </c>
      <c r="B145">
        <v>29</v>
      </c>
      <c r="C145" t="s">
        <v>168</v>
      </c>
      <c r="D145">
        <v>5</v>
      </c>
    </row>
    <row r="146" spans="1:4" x14ac:dyDescent="0.25">
      <c r="A146" s="1">
        <v>31110</v>
      </c>
      <c r="B146">
        <v>29</v>
      </c>
      <c r="C146" t="s">
        <v>168</v>
      </c>
      <c r="D146">
        <v>5</v>
      </c>
    </row>
    <row r="147" spans="1:4" x14ac:dyDescent="0.25">
      <c r="A147" s="1" t="s">
        <v>172</v>
      </c>
      <c r="B147">
        <v>30</v>
      </c>
      <c r="C147" t="s">
        <v>173</v>
      </c>
      <c r="D147">
        <v>5</v>
      </c>
    </row>
    <row r="148" spans="1:4" x14ac:dyDescent="0.25">
      <c r="A148" s="1" t="s">
        <v>174</v>
      </c>
      <c r="B148">
        <v>30</v>
      </c>
      <c r="C148" t="s">
        <v>173</v>
      </c>
      <c r="D148">
        <v>5</v>
      </c>
    </row>
    <row r="149" spans="1:4" x14ac:dyDescent="0.25">
      <c r="A149" s="1" t="s">
        <v>175</v>
      </c>
      <c r="B149">
        <v>30</v>
      </c>
      <c r="C149" t="s">
        <v>173</v>
      </c>
      <c r="D149">
        <v>5</v>
      </c>
    </row>
    <row r="150" spans="1:4" x14ac:dyDescent="0.25">
      <c r="A150" s="1" t="s">
        <v>176</v>
      </c>
      <c r="B150">
        <v>30</v>
      </c>
      <c r="C150" t="s">
        <v>173</v>
      </c>
      <c r="D150">
        <v>5</v>
      </c>
    </row>
    <row r="151" spans="1:4" x14ac:dyDescent="0.25">
      <c r="A151" s="1">
        <v>32100</v>
      </c>
      <c r="B151">
        <v>30</v>
      </c>
      <c r="C151" t="s">
        <v>173</v>
      </c>
      <c r="D151">
        <v>5</v>
      </c>
    </row>
    <row r="152" spans="1:4" x14ac:dyDescent="0.25">
      <c r="A152" s="1" t="s">
        <v>177</v>
      </c>
      <c r="B152">
        <v>31</v>
      </c>
      <c r="C152" t="s">
        <v>178</v>
      </c>
      <c r="D152">
        <v>5</v>
      </c>
    </row>
    <row r="153" spans="1:4" x14ac:dyDescent="0.25">
      <c r="A153" s="1" t="s">
        <v>179</v>
      </c>
      <c r="B153">
        <v>31</v>
      </c>
      <c r="C153" t="s">
        <v>178</v>
      </c>
      <c r="D153">
        <v>5</v>
      </c>
    </row>
    <row r="154" spans="1:4" x14ac:dyDescent="0.25">
      <c r="A154" s="1" t="s">
        <v>180</v>
      </c>
      <c r="B154">
        <v>31</v>
      </c>
      <c r="C154" t="s">
        <v>178</v>
      </c>
      <c r="D154">
        <v>5</v>
      </c>
    </row>
    <row r="155" spans="1:4" x14ac:dyDescent="0.25">
      <c r="A155" s="1" t="s">
        <v>181</v>
      </c>
      <c r="B155">
        <v>31</v>
      </c>
      <c r="C155" t="s">
        <v>178</v>
      </c>
      <c r="D155">
        <v>5</v>
      </c>
    </row>
    <row r="156" spans="1:4" x14ac:dyDescent="0.25">
      <c r="A156" s="1">
        <v>32310</v>
      </c>
      <c r="B156">
        <v>31</v>
      </c>
      <c r="C156" t="s">
        <v>178</v>
      </c>
      <c r="D156">
        <v>5</v>
      </c>
    </row>
    <row r="157" spans="1:4" x14ac:dyDescent="0.25">
      <c r="A157" s="1" t="s">
        <v>182</v>
      </c>
      <c r="B157">
        <v>32</v>
      </c>
      <c r="C157" t="s">
        <v>183</v>
      </c>
      <c r="D157">
        <v>5</v>
      </c>
    </row>
    <row r="158" spans="1:4" x14ac:dyDescent="0.25">
      <c r="A158" s="1" t="s">
        <v>184</v>
      </c>
      <c r="B158">
        <v>32</v>
      </c>
      <c r="C158" t="s">
        <v>183</v>
      </c>
      <c r="D158">
        <v>5</v>
      </c>
    </row>
    <row r="159" spans="1:4" x14ac:dyDescent="0.25">
      <c r="A159" s="1" t="s">
        <v>185</v>
      </c>
      <c r="B159">
        <v>32</v>
      </c>
      <c r="C159" t="s">
        <v>183</v>
      </c>
      <c r="D159">
        <v>5</v>
      </c>
    </row>
    <row r="160" spans="1:4" x14ac:dyDescent="0.25">
      <c r="A160" s="1" t="s">
        <v>186</v>
      </c>
      <c r="B160">
        <v>32</v>
      </c>
      <c r="C160" t="s">
        <v>183</v>
      </c>
      <c r="D160">
        <v>5</v>
      </c>
    </row>
    <row r="161" spans="1:4" x14ac:dyDescent="0.25">
      <c r="A161" s="1">
        <v>32400</v>
      </c>
      <c r="B161">
        <v>32</v>
      </c>
      <c r="C161" t="s">
        <v>183</v>
      </c>
      <c r="D161">
        <v>5</v>
      </c>
    </row>
    <row r="162" spans="1:4" x14ac:dyDescent="0.25">
      <c r="A162" s="1" t="s">
        <v>187</v>
      </c>
      <c r="B162">
        <v>33</v>
      </c>
      <c r="C162" t="s">
        <v>188</v>
      </c>
      <c r="D162">
        <v>5</v>
      </c>
    </row>
    <row r="163" spans="1:4" x14ac:dyDescent="0.25">
      <c r="A163" s="1" t="s">
        <v>189</v>
      </c>
      <c r="B163">
        <v>33</v>
      </c>
      <c r="C163" t="s">
        <v>188</v>
      </c>
      <c r="D163">
        <v>5</v>
      </c>
    </row>
    <row r="164" spans="1:4" x14ac:dyDescent="0.25">
      <c r="A164" s="1" t="s">
        <v>190</v>
      </c>
      <c r="B164">
        <v>33</v>
      </c>
      <c r="C164" t="s">
        <v>188</v>
      </c>
      <c r="D164">
        <v>5</v>
      </c>
    </row>
    <row r="165" spans="1:4" x14ac:dyDescent="0.25">
      <c r="A165" s="1" t="s">
        <v>191</v>
      </c>
      <c r="B165">
        <v>33</v>
      </c>
      <c r="C165" t="s">
        <v>188</v>
      </c>
      <c r="D165">
        <v>5</v>
      </c>
    </row>
    <row r="166" spans="1:4" x14ac:dyDescent="0.25">
      <c r="A166" s="1">
        <v>33100</v>
      </c>
      <c r="B166">
        <v>33</v>
      </c>
      <c r="C166" t="s">
        <v>188</v>
      </c>
      <c r="D166">
        <v>5</v>
      </c>
    </row>
    <row r="167" spans="1:4" x14ac:dyDescent="0.25">
      <c r="A167" s="1" t="s">
        <v>192</v>
      </c>
      <c r="B167">
        <v>34</v>
      </c>
      <c r="C167" t="s">
        <v>193</v>
      </c>
      <c r="D167">
        <v>5</v>
      </c>
    </row>
    <row r="168" spans="1:4" x14ac:dyDescent="0.25">
      <c r="A168" s="1" t="s">
        <v>194</v>
      </c>
      <c r="B168">
        <v>34</v>
      </c>
      <c r="C168" t="s">
        <v>193</v>
      </c>
      <c r="D168">
        <v>5</v>
      </c>
    </row>
    <row r="169" spans="1:4" x14ac:dyDescent="0.25">
      <c r="A169" s="1" t="s">
        <v>195</v>
      </c>
      <c r="B169">
        <v>34</v>
      </c>
      <c r="C169" t="s">
        <v>193</v>
      </c>
      <c r="D169">
        <v>5</v>
      </c>
    </row>
    <row r="170" spans="1:4" x14ac:dyDescent="0.25">
      <c r="A170" s="1" t="s">
        <v>196</v>
      </c>
      <c r="B170">
        <v>34</v>
      </c>
      <c r="C170" t="s">
        <v>193</v>
      </c>
      <c r="D170">
        <v>5</v>
      </c>
    </row>
    <row r="171" spans="1:4" x14ac:dyDescent="0.25">
      <c r="A171" s="1">
        <v>33300</v>
      </c>
      <c r="B171">
        <v>34</v>
      </c>
      <c r="C171" t="s">
        <v>193</v>
      </c>
      <c r="D171">
        <v>5</v>
      </c>
    </row>
    <row r="172" spans="1:4" x14ac:dyDescent="0.25">
      <c r="A172" s="1" t="s">
        <v>197</v>
      </c>
      <c r="B172">
        <v>35</v>
      </c>
      <c r="C172" t="s">
        <v>198</v>
      </c>
      <c r="D172">
        <v>5</v>
      </c>
    </row>
    <row r="173" spans="1:4" x14ac:dyDescent="0.25">
      <c r="A173" s="1" t="s">
        <v>199</v>
      </c>
      <c r="B173">
        <v>35</v>
      </c>
      <c r="C173" t="s">
        <v>198</v>
      </c>
      <c r="D173">
        <v>5</v>
      </c>
    </row>
    <row r="174" spans="1:4" x14ac:dyDescent="0.25">
      <c r="A174" s="1" t="s">
        <v>200</v>
      </c>
      <c r="B174">
        <v>35</v>
      </c>
      <c r="C174" t="s">
        <v>198</v>
      </c>
      <c r="D174">
        <v>5</v>
      </c>
    </row>
    <row r="175" spans="1:4" x14ac:dyDescent="0.25">
      <c r="A175" s="1" t="s">
        <v>201</v>
      </c>
      <c r="B175">
        <v>35</v>
      </c>
      <c r="C175" t="s">
        <v>198</v>
      </c>
      <c r="D175">
        <v>5</v>
      </c>
    </row>
    <row r="176" spans="1:4" x14ac:dyDescent="0.25">
      <c r="A176" s="1">
        <v>34400</v>
      </c>
      <c r="B176">
        <v>35</v>
      </c>
      <c r="C176" t="s">
        <v>198</v>
      </c>
      <c r="D176">
        <v>5</v>
      </c>
    </row>
    <row r="177" spans="1:4" x14ac:dyDescent="0.25">
      <c r="A177" s="1" t="s">
        <v>202</v>
      </c>
      <c r="B177">
        <v>36</v>
      </c>
      <c r="C177" t="s">
        <v>203</v>
      </c>
      <c r="D177">
        <v>5</v>
      </c>
    </row>
    <row r="178" spans="1:4" x14ac:dyDescent="0.25">
      <c r="A178" s="1" t="s">
        <v>204</v>
      </c>
      <c r="B178">
        <v>36</v>
      </c>
      <c r="C178" t="s">
        <v>203</v>
      </c>
      <c r="D178">
        <v>5</v>
      </c>
    </row>
    <row r="179" spans="1:4" x14ac:dyDescent="0.25">
      <c r="A179" s="1" t="s">
        <v>205</v>
      </c>
      <c r="B179">
        <v>36</v>
      </c>
      <c r="C179" t="s">
        <v>203</v>
      </c>
      <c r="D179">
        <v>5</v>
      </c>
    </row>
    <row r="180" spans="1:4" x14ac:dyDescent="0.25">
      <c r="A180" s="1" t="s">
        <v>206</v>
      </c>
      <c r="B180">
        <v>36</v>
      </c>
      <c r="C180" t="s">
        <v>203</v>
      </c>
      <c r="D180">
        <v>5</v>
      </c>
    </row>
    <row r="181" spans="1:4" x14ac:dyDescent="0.25">
      <c r="A181" s="1">
        <v>35100</v>
      </c>
      <c r="B181">
        <v>36</v>
      </c>
      <c r="C181" t="s">
        <v>203</v>
      </c>
      <c r="D181">
        <v>5</v>
      </c>
    </row>
    <row r="182" spans="1:4" x14ac:dyDescent="0.25">
      <c r="A182" s="1" t="s">
        <v>207</v>
      </c>
      <c r="B182">
        <v>37</v>
      </c>
      <c r="C182" t="s">
        <v>208</v>
      </c>
      <c r="D182">
        <v>5</v>
      </c>
    </row>
    <row r="183" spans="1:4" x14ac:dyDescent="0.25">
      <c r="A183" s="1" t="s">
        <v>209</v>
      </c>
      <c r="B183">
        <v>37</v>
      </c>
      <c r="C183" t="s">
        <v>208</v>
      </c>
      <c r="D183">
        <v>5</v>
      </c>
    </row>
    <row r="184" spans="1:4" x14ac:dyDescent="0.25">
      <c r="A184" s="1" t="s">
        <v>210</v>
      </c>
      <c r="B184">
        <v>37</v>
      </c>
      <c r="C184" t="s">
        <v>208</v>
      </c>
      <c r="D184">
        <v>5</v>
      </c>
    </row>
    <row r="185" spans="1:4" x14ac:dyDescent="0.25">
      <c r="A185" s="1" t="s">
        <v>211</v>
      </c>
      <c r="B185">
        <v>37</v>
      </c>
      <c r="C185" t="s">
        <v>208</v>
      </c>
      <c r="D185">
        <v>5</v>
      </c>
    </row>
    <row r="186" spans="1:4" x14ac:dyDescent="0.25">
      <c r="A186" s="1">
        <v>35251</v>
      </c>
      <c r="B186">
        <v>37</v>
      </c>
      <c r="C186" t="s">
        <v>208</v>
      </c>
      <c r="D186">
        <v>5</v>
      </c>
    </row>
    <row r="187" spans="1:4" x14ac:dyDescent="0.25">
      <c r="A187" s="1" t="s">
        <v>212</v>
      </c>
      <c r="B187">
        <v>38</v>
      </c>
      <c r="C187" t="s">
        <v>213</v>
      </c>
      <c r="D187">
        <v>5</v>
      </c>
    </row>
    <row r="188" spans="1:4" x14ac:dyDescent="0.25">
      <c r="A188" s="1" t="s">
        <v>214</v>
      </c>
      <c r="B188">
        <v>38</v>
      </c>
      <c r="C188" t="s">
        <v>213</v>
      </c>
      <c r="D188">
        <v>5</v>
      </c>
    </row>
    <row r="189" spans="1:4" x14ac:dyDescent="0.25">
      <c r="A189" s="1" t="s">
        <v>215</v>
      </c>
      <c r="B189">
        <v>38</v>
      </c>
      <c r="C189" t="s">
        <v>213</v>
      </c>
      <c r="D189">
        <v>5</v>
      </c>
    </row>
    <row r="190" spans="1:4" x14ac:dyDescent="0.25">
      <c r="A190" s="1" t="s">
        <v>216</v>
      </c>
      <c r="B190">
        <v>38</v>
      </c>
      <c r="C190" t="s">
        <v>213</v>
      </c>
      <c r="D190">
        <v>5</v>
      </c>
    </row>
    <row r="191" spans="1:4" x14ac:dyDescent="0.25">
      <c r="A191" s="1">
        <v>35230</v>
      </c>
      <c r="B191">
        <v>38</v>
      </c>
      <c r="C191" t="s">
        <v>213</v>
      </c>
      <c r="D191">
        <v>5</v>
      </c>
    </row>
    <row r="192" spans="1:4" x14ac:dyDescent="0.25">
      <c r="A192" s="1" t="s">
        <v>217</v>
      </c>
      <c r="B192">
        <v>39</v>
      </c>
      <c r="C192" t="s">
        <v>218</v>
      </c>
      <c r="D192">
        <v>5</v>
      </c>
    </row>
    <row r="193" spans="1:4" x14ac:dyDescent="0.25">
      <c r="A193" s="1" t="s">
        <v>219</v>
      </c>
      <c r="B193">
        <v>39</v>
      </c>
      <c r="C193" t="s">
        <v>218</v>
      </c>
      <c r="D193">
        <v>5</v>
      </c>
    </row>
    <row r="194" spans="1:4" x14ac:dyDescent="0.25">
      <c r="A194" s="1" t="s">
        <v>220</v>
      </c>
      <c r="B194">
        <v>39</v>
      </c>
      <c r="C194" t="s">
        <v>218</v>
      </c>
      <c r="D194">
        <v>5</v>
      </c>
    </row>
    <row r="195" spans="1:4" x14ac:dyDescent="0.25">
      <c r="A195" s="1" t="s">
        <v>221</v>
      </c>
      <c r="B195">
        <v>39</v>
      </c>
      <c r="C195" t="s">
        <v>218</v>
      </c>
      <c r="D195">
        <v>5</v>
      </c>
    </row>
    <row r="196" spans="1:4" x14ac:dyDescent="0.25">
      <c r="A196" s="1">
        <v>35210</v>
      </c>
      <c r="B196">
        <v>39</v>
      </c>
      <c r="C196" t="s">
        <v>218</v>
      </c>
      <c r="D196">
        <v>5</v>
      </c>
    </row>
    <row r="197" spans="1:4" x14ac:dyDescent="0.25">
      <c r="A197" s="1" t="s">
        <v>222</v>
      </c>
      <c r="B197">
        <v>40</v>
      </c>
      <c r="C197" t="s">
        <v>223</v>
      </c>
      <c r="D197">
        <v>5</v>
      </c>
    </row>
    <row r="198" spans="1:4" x14ac:dyDescent="0.25">
      <c r="A198" s="1" t="s">
        <v>224</v>
      </c>
      <c r="B198">
        <v>40</v>
      </c>
      <c r="C198" t="s">
        <v>223</v>
      </c>
      <c r="D198">
        <v>5</v>
      </c>
    </row>
    <row r="199" spans="1:4" x14ac:dyDescent="0.25">
      <c r="A199" s="1" t="s">
        <v>225</v>
      </c>
      <c r="B199">
        <v>40</v>
      </c>
      <c r="C199" t="s">
        <v>223</v>
      </c>
      <c r="D199">
        <v>5</v>
      </c>
    </row>
    <row r="200" spans="1:4" x14ac:dyDescent="0.25">
      <c r="A200" s="1" t="s">
        <v>226</v>
      </c>
      <c r="B200">
        <v>40</v>
      </c>
      <c r="C200" t="s">
        <v>223</v>
      </c>
      <c r="D200">
        <v>5</v>
      </c>
    </row>
    <row r="201" spans="1:4" x14ac:dyDescent="0.25">
      <c r="A201" s="1">
        <v>35252</v>
      </c>
      <c r="B201">
        <v>40</v>
      </c>
      <c r="C201" t="s">
        <v>223</v>
      </c>
      <c r="D201">
        <v>5</v>
      </c>
    </row>
    <row r="202" spans="1:4" x14ac:dyDescent="0.25">
      <c r="A202" s="1" t="s">
        <v>227</v>
      </c>
      <c r="B202">
        <v>41</v>
      </c>
      <c r="C202" t="s">
        <v>228</v>
      </c>
      <c r="D202">
        <v>5</v>
      </c>
    </row>
    <row r="203" spans="1:4" x14ac:dyDescent="0.25">
      <c r="A203" s="1" t="s">
        <v>229</v>
      </c>
      <c r="B203">
        <v>41</v>
      </c>
      <c r="C203" t="s">
        <v>228</v>
      </c>
      <c r="D203">
        <v>5</v>
      </c>
    </row>
    <row r="204" spans="1:4" x14ac:dyDescent="0.25">
      <c r="A204" s="1" t="s">
        <v>230</v>
      </c>
      <c r="B204">
        <v>41</v>
      </c>
      <c r="C204" t="s">
        <v>228</v>
      </c>
      <c r="D204">
        <v>5</v>
      </c>
    </row>
    <row r="205" spans="1:4" x14ac:dyDescent="0.25">
      <c r="A205" s="1" t="s">
        <v>231</v>
      </c>
      <c r="B205">
        <v>41</v>
      </c>
      <c r="C205" t="s">
        <v>228</v>
      </c>
      <c r="D205">
        <v>5</v>
      </c>
    </row>
    <row r="206" spans="1:4" x14ac:dyDescent="0.25">
      <c r="A206" s="1">
        <v>35400</v>
      </c>
      <c r="B206">
        <v>41</v>
      </c>
      <c r="C206" t="s">
        <v>228</v>
      </c>
      <c r="D206">
        <v>5</v>
      </c>
    </row>
    <row r="207" spans="1:4" x14ac:dyDescent="0.25">
      <c r="A207" s="1" t="s">
        <v>232</v>
      </c>
      <c r="B207">
        <v>42</v>
      </c>
      <c r="C207" t="s">
        <v>233</v>
      </c>
      <c r="D207">
        <v>5</v>
      </c>
    </row>
    <row r="208" spans="1:4" x14ac:dyDescent="0.25">
      <c r="A208" s="1" t="s">
        <v>234</v>
      </c>
      <c r="B208">
        <v>42</v>
      </c>
      <c r="C208" t="s">
        <v>233</v>
      </c>
      <c r="D208">
        <v>5</v>
      </c>
    </row>
    <row r="209" spans="1:4" x14ac:dyDescent="0.25">
      <c r="A209" s="1" t="s">
        <v>235</v>
      </c>
      <c r="B209">
        <v>42</v>
      </c>
      <c r="C209" t="s">
        <v>233</v>
      </c>
      <c r="D209">
        <v>5</v>
      </c>
    </row>
    <row r="210" spans="1:4" x14ac:dyDescent="0.25">
      <c r="A210" s="1" t="s">
        <v>236</v>
      </c>
      <c r="B210">
        <v>42</v>
      </c>
      <c r="C210" t="s">
        <v>233</v>
      </c>
      <c r="D210">
        <v>5</v>
      </c>
    </row>
    <row r="211" spans="1:4" x14ac:dyDescent="0.25">
      <c r="A211" s="1">
        <v>35620</v>
      </c>
      <c r="B211">
        <v>42</v>
      </c>
      <c r="C211" t="s">
        <v>233</v>
      </c>
      <c r="D211">
        <v>5</v>
      </c>
    </row>
    <row r="212" spans="1:4" x14ac:dyDescent="0.25">
      <c r="A212" s="1" t="s">
        <v>237</v>
      </c>
      <c r="B212">
        <v>43</v>
      </c>
      <c r="C212" t="s">
        <v>238</v>
      </c>
      <c r="D212">
        <v>5</v>
      </c>
    </row>
    <row r="213" spans="1:4" x14ac:dyDescent="0.25">
      <c r="A213" s="1" t="s">
        <v>239</v>
      </c>
      <c r="B213">
        <v>43</v>
      </c>
      <c r="C213" t="s">
        <v>238</v>
      </c>
      <c r="D213">
        <v>5</v>
      </c>
    </row>
    <row r="214" spans="1:4" x14ac:dyDescent="0.25">
      <c r="A214" s="1" t="s">
        <v>240</v>
      </c>
      <c r="B214">
        <v>43</v>
      </c>
      <c r="C214" t="s">
        <v>238</v>
      </c>
      <c r="D214">
        <v>5</v>
      </c>
    </row>
    <row r="215" spans="1:4" x14ac:dyDescent="0.25">
      <c r="A215" s="1" t="s">
        <v>241</v>
      </c>
      <c r="B215">
        <v>43</v>
      </c>
      <c r="C215" t="s">
        <v>238</v>
      </c>
      <c r="D215">
        <v>5</v>
      </c>
    </row>
    <row r="216" spans="1:4" x14ac:dyDescent="0.25">
      <c r="A216" s="1">
        <v>35640</v>
      </c>
      <c r="B216">
        <v>43</v>
      </c>
      <c r="C216" t="s">
        <v>238</v>
      </c>
      <c r="D216">
        <v>5</v>
      </c>
    </row>
    <row r="217" spans="1:4" x14ac:dyDescent="0.25">
      <c r="A217" s="1" t="s">
        <v>242</v>
      </c>
      <c r="B217">
        <v>44</v>
      </c>
      <c r="C217" t="s">
        <v>243</v>
      </c>
      <c r="D217">
        <v>5</v>
      </c>
    </row>
    <row r="218" spans="1:4" x14ac:dyDescent="0.25">
      <c r="A218" s="1" t="s">
        <v>244</v>
      </c>
      <c r="B218">
        <v>44</v>
      </c>
      <c r="C218" t="s">
        <v>243</v>
      </c>
      <c r="D218">
        <v>5</v>
      </c>
    </row>
    <row r="219" spans="1:4" x14ac:dyDescent="0.25">
      <c r="A219" s="1" t="s">
        <v>245</v>
      </c>
      <c r="B219">
        <v>44</v>
      </c>
      <c r="C219" t="s">
        <v>243</v>
      </c>
      <c r="D219">
        <v>5</v>
      </c>
    </row>
    <row r="220" spans="1:4" x14ac:dyDescent="0.25">
      <c r="A220" s="1" t="s">
        <v>246</v>
      </c>
      <c r="B220">
        <v>44</v>
      </c>
      <c r="C220" t="s">
        <v>243</v>
      </c>
      <c r="D220">
        <v>5</v>
      </c>
    </row>
    <row r="221" spans="1:4" x14ac:dyDescent="0.25">
      <c r="A221" s="1">
        <v>35650</v>
      </c>
      <c r="B221">
        <v>44</v>
      </c>
      <c r="C221" t="s">
        <v>243</v>
      </c>
      <c r="D221">
        <v>5</v>
      </c>
    </row>
    <row r="222" spans="1:4" x14ac:dyDescent="0.25">
      <c r="A222" s="1" t="s">
        <v>247</v>
      </c>
      <c r="B222">
        <v>45</v>
      </c>
      <c r="C222" t="s">
        <v>248</v>
      </c>
      <c r="D222">
        <v>5</v>
      </c>
    </row>
    <row r="223" spans="1:4" x14ac:dyDescent="0.25">
      <c r="A223" s="1" t="s">
        <v>249</v>
      </c>
      <c r="B223">
        <v>45</v>
      </c>
      <c r="C223" t="s">
        <v>248</v>
      </c>
      <c r="D223">
        <v>5</v>
      </c>
    </row>
    <row r="224" spans="1:4" x14ac:dyDescent="0.25">
      <c r="A224" s="1" t="s">
        <v>250</v>
      </c>
      <c r="B224">
        <v>45</v>
      </c>
      <c r="C224" t="s">
        <v>248</v>
      </c>
      <c r="D224">
        <v>5</v>
      </c>
    </row>
    <row r="225" spans="1:4" x14ac:dyDescent="0.25">
      <c r="A225" s="1" t="s">
        <v>251</v>
      </c>
      <c r="B225">
        <v>45</v>
      </c>
      <c r="C225" t="s">
        <v>248</v>
      </c>
      <c r="D225">
        <v>5</v>
      </c>
    </row>
    <row r="226" spans="1:4" x14ac:dyDescent="0.25">
      <c r="A226" s="1">
        <v>35800</v>
      </c>
      <c r="B226">
        <v>45</v>
      </c>
      <c r="C226" t="s">
        <v>248</v>
      </c>
      <c r="D226">
        <v>5</v>
      </c>
    </row>
    <row r="227" spans="1:4" x14ac:dyDescent="0.25">
      <c r="A227" s="1" t="s">
        <v>252</v>
      </c>
      <c r="B227">
        <v>46</v>
      </c>
      <c r="C227" t="s">
        <v>253</v>
      </c>
      <c r="D227">
        <v>5</v>
      </c>
    </row>
    <row r="228" spans="1:4" x14ac:dyDescent="0.25">
      <c r="A228" s="1" t="s">
        <v>254</v>
      </c>
      <c r="B228">
        <v>46</v>
      </c>
      <c r="C228" t="s">
        <v>253</v>
      </c>
      <c r="D228">
        <v>5</v>
      </c>
    </row>
    <row r="229" spans="1:4" x14ac:dyDescent="0.25">
      <c r="A229" s="1" t="s">
        <v>255</v>
      </c>
      <c r="B229">
        <v>46</v>
      </c>
      <c r="C229" t="s">
        <v>253</v>
      </c>
      <c r="D229">
        <v>5</v>
      </c>
    </row>
    <row r="230" spans="1:4" x14ac:dyDescent="0.25">
      <c r="A230" s="1" t="s">
        <v>256</v>
      </c>
      <c r="B230">
        <v>46</v>
      </c>
      <c r="C230" t="s">
        <v>253</v>
      </c>
      <c r="D230">
        <v>5</v>
      </c>
    </row>
    <row r="231" spans="1:4" x14ac:dyDescent="0.25">
      <c r="A231" s="1">
        <v>38100</v>
      </c>
      <c r="B231">
        <v>46</v>
      </c>
      <c r="C231" t="s">
        <v>253</v>
      </c>
      <c r="D231">
        <v>5</v>
      </c>
    </row>
    <row r="232" spans="1:4" x14ac:dyDescent="0.25">
      <c r="A232" s="1" t="s">
        <v>257</v>
      </c>
      <c r="B232">
        <v>47</v>
      </c>
      <c r="C232" t="s">
        <v>258</v>
      </c>
      <c r="D232">
        <v>5</v>
      </c>
    </row>
    <row r="233" spans="1:4" x14ac:dyDescent="0.25">
      <c r="A233" s="1" t="s">
        <v>259</v>
      </c>
      <c r="B233">
        <v>47</v>
      </c>
      <c r="C233" t="s">
        <v>258</v>
      </c>
      <c r="D233">
        <v>5</v>
      </c>
    </row>
    <row r="234" spans="1:4" x14ac:dyDescent="0.25">
      <c r="A234" s="1" t="s">
        <v>260</v>
      </c>
      <c r="B234">
        <v>47</v>
      </c>
      <c r="C234" t="s">
        <v>258</v>
      </c>
      <c r="D234">
        <v>5</v>
      </c>
    </row>
    <row r="235" spans="1:4" x14ac:dyDescent="0.25">
      <c r="A235" s="1" t="s">
        <v>261</v>
      </c>
      <c r="B235">
        <v>47</v>
      </c>
      <c r="C235" t="s">
        <v>258</v>
      </c>
      <c r="D235">
        <v>5</v>
      </c>
    </row>
    <row r="236" spans="1:4" x14ac:dyDescent="0.25">
      <c r="A236" s="1">
        <v>39100</v>
      </c>
      <c r="B236">
        <v>47</v>
      </c>
      <c r="C236" t="s">
        <v>258</v>
      </c>
      <c r="D236">
        <v>5</v>
      </c>
    </row>
    <row r="237" spans="1:4" x14ac:dyDescent="0.25">
      <c r="A237" s="1" t="s">
        <v>262</v>
      </c>
      <c r="B237">
        <v>48</v>
      </c>
      <c r="C237" t="s">
        <v>263</v>
      </c>
      <c r="D237">
        <v>5</v>
      </c>
    </row>
    <row r="238" spans="1:4" x14ac:dyDescent="0.25">
      <c r="A238" s="1" t="s">
        <v>264</v>
      </c>
      <c r="B238">
        <v>48</v>
      </c>
      <c r="C238" t="s">
        <v>263</v>
      </c>
      <c r="D238">
        <v>5</v>
      </c>
    </row>
    <row r="239" spans="1:4" x14ac:dyDescent="0.25">
      <c r="A239" s="1" t="s">
        <v>265</v>
      </c>
      <c r="B239">
        <v>48</v>
      </c>
      <c r="C239" t="s">
        <v>263</v>
      </c>
      <c r="D239">
        <v>5</v>
      </c>
    </row>
    <row r="240" spans="1:4" x14ac:dyDescent="0.25">
      <c r="A240" s="1" t="s">
        <v>266</v>
      </c>
      <c r="B240">
        <v>48</v>
      </c>
      <c r="C240" t="s">
        <v>263</v>
      </c>
      <c r="D240">
        <v>5</v>
      </c>
    </row>
    <row r="241" spans="1:4" x14ac:dyDescent="0.25">
      <c r="A241" s="1">
        <v>39200</v>
      </c>
      <c r="B241">
        <v>48</v>
      </c>
      <c r="C241" t="s">
        <v>263</v>
      </c>
      <c r="D241">
        <v>5</v>
      </c>
    </row>
    <row r="242" spans="1:4" x14ac:dyDescent="0.25">
      <c r="A242" s="1" t="s">
        <v>267</v>
      </c>
      <c r="B242">
        <v>49</v>
      </c>
      <c r="C242" t="s">
        <v>268</v>
      </c>
      <c r="D242">
        <v>5</v>
      </c>
    </row>
    <row r="243" spans="1:4" x14ac:dyDescent="0.25">
      <c r="A243" s="1" t="s">
        <v>269</v>
      </c>
      <c r="B243">
        <v>49</v>
      </c>
      <c r="C243" t="s">
        <v>268</v>
      </c>
      <c r="D243">
        <v>5</v>
      </c>
    </row>
    <row r="244" spans="1:4" x14ac:dyDescent="0.25">
      <c r="A244" s="1" t="s">
        <v>270</v>
      </c>
      <c r="B244">
        <v>49</v>
      </c>
      <c r="C244" t="s">
        <v>268</v>
      </c>
      <c r="D244">
        <v>5</v>
      </c>
    </row>
    <row r="245" spans="1:4" x14ac:dyDescent="0.25">
      <c r="A245" s="1" t="s">
        <v>271</v>
      </c>
      <c r="B245">
        <v>49</v>
      </c>
      <c r="C245" t="s">
        <v>268</v>
      </c>
      <c r="D245">
        <v>5</v>
      </c>
    </row>
    <row r="246" spans="1:4" x14ac:dyDescent="0.25">
      <c r="A246" s="1">
        <v>39520</v>
      </c>
      <c r="B246">
        <v>49</v>
      </c>
      <c r="C246" t="s">
        <v>268</v>
      </c>
      <c r="D246">
        <v>5</v>
      </c>
    </row>
    <row r="247" spans="1:4" x14ac:dyDescent="0.25">
      <c r="A247" s="1" t="s">
        <v>272</v>
      </c>
      <c r="B247">
        <v>50</v>
      </c>
      <c r="C247" t="s">
        <v>273</v>
      </c>
      <c r="D247">
        <v>5</v>
      </c>
    </row>
    <row r="248" spans="1:4" x14ac:dyDescent="0.25">
      <c r="A248" s="1" t="s">
        <v>274</v>
      </c>
      <c r="B248">
        <v>50</v>
      </c>
      <c r="C248" t="s">
        <v>273</v>
      </c>
      <c r="D248">
        <v>5</v>
      </c>
    </row>
    <row r="249" spans="1:4" x14ac:dyDescent="0.25">
      <c r="A249" s="1" t="s">
        <v>275</v>
      </c>
      <c r="B249">
        <v>50</v>
      </c>
      <c r="C249" t="s">
        <v>273</v>
      </c>
      <c r="D249">
        <v>5</v>
      </c>
    </row>
    <row r="250" spans="1:4" x14ac:dyDescent="0.25">
      <c r="A250" s="1" t="s">
        <v>276</v>
      </c>
      <c r="B250">
        <v>50</v>
      </c>
      <c r="C250" t="s">
        <v>273</v>
      </c>
      <c r="D250">
        <v>5</v>
      </c>
    </row>
    <row r="251" spans="1:4" x14ac:dyDescent="0.25">
      <c r="A251" s="1">
        <v>39530</v>
      </c>
      <c r="B251">
        <v>50</v>
      </c>
      <c r="C251" t="s">
        <v>273</v>
      </c>
      <c r="D251">
        <v>5</v>
      </c>
    </row>
    <row r="252" spans="1:4" x14ac:dyDescent="0.25">
      <c r="A252" s="1" t="s">
        <v>277</v>
      </c>
      <c r="B252">
        <v>51</v>
      </c>
      <c r="C252" t="s">
        <v>278</v>
      </c>
      <c r="D252">
        <v>5</v>
      </c>
    </row>
    <row r="253" spans="1:4" x14ac:dyDescent="0.25">
      <c r="A253" s="1" t="s">
        <v>279</v>
      </c>
      <c r="B253">
        <v>51</v>
      </c>
      <c r="C253" t="s">
        <v>278</v>
      </c>
      <c r="D253">
        <v>5</v>
      </c>
    </row>
    <row r="254" spans="1:4" x14ac:dyDescent="0.25">
      <c r="A254" s="1" t="s">
        <v>280</v>
      </c>
      <c r="B254">
        <v>51</v>
      </c>
      <c r="C254" t="s">
        <v>278</v>
      </c>
      <c r="D254">
        <v>5</v>
      </c>
    </row>
    <row r="255" spans="1:4" x14ac:dyDescent="0.25">
      <c r="A255" s="1" t="s">
        <v>281</v>
      </c>
      <c r="B255">
        <v>51</v>
      </c>
      <c r="C255" t="s">
        <v>278</v>
      </c>
      <c r="D255">
        <v>5</v>
      </c>
    </row>
    <row r="256" spans="1:4" x14ac:dyDescent="0.25">
      <c r="A256" s="1">
        <v>39540</v>
      </c>
      <c r="B256">
        <v>51</v>
      </c>
      <c r="C256" t="s">
        <v>278</v>
      </c>
      <c r="D256">
        <v>5</v>
      </c>
    </row>
    <row r="257" spans="1:4" x14ac:dyDescent="0.25">
      <c r="A257" s="1" t="s">
        <v>282</v>
      </c>
      <c r="B257">
        <v>52</v>
      </c>
      <c r="C257" t="s">
        <v>283</v>
      </c>
      <c r="D257">
        <v>5</v>
      </c>
    </row>
    <row r="258" spans="1:4" x14ac:dyDescent="0.25">
      <c r="A258" s="1" t="s">
        <v>284</v>
      </c>
      <c r="B258">
        <v>52</v>
      </c>
      <c r="C258" t="s">
        <v>283</v>
      </c>
      <c r="D258">
        <v>5</v>
      </c>
    </row>
    <row r="259" spans="1:4" x14ac:dyDescent="0.25">
      <c r="A259" s="1" t="s">
        <v>285</v>
      </c>
      <c r="B259">
        <v>52</v>
      </c>
      <c r="C259" t="s">
        <v>283</v>
      </c>
      <c r="D259">
        <v>5</v>
      </c>
    </row>
    <row r="260" spans="1:4" x14ac:dyDescent="0.25">
      <c r="A260" s="1" t="s">
        <v>286</v>
      </c>
      <c r="B260">
        <v>52</v>
      </c>
      <c r="C260" t="s">
        <v>283</v>
      </c>
      <c r="D260">
        <v>5</v>
      </c>
    </row>
    <row r="261" spans="1:4" x14ac:dyDescent="0.25">
      <c r="A261" s="1">
        <v>39600</v>
      </c>
      <c r="B261">
        <v>52</v>
      </c>
      <c r="C261" t="s">
        <v>283</v>
      </c>
      <c r="D261">
        <v>5</v>
      </c>
    </row>
    <row r="262" spans="1:4" x14ac:dyDescent="0.25">
      <c r="A262" s="1" t="s">
        <v>287</v>
      </c>
      <c r="B262">
        <v>53</v>
      </c>
      <c r="C262" t="s">
        <v>288</v>
      </c>
      <c r="D262">
        <v>4</v>
      </c>
    </row>
    <row r="263" spans="1:4" x14ac:dyDescent="0.25">
      <c r="A263" s="1" t="s">
        <v>289</v>
      </c>
      <c r="B263">
        <v>53</v>
      </c>
      <c r="C263" t="s">
        <v>288</v>
      </c>
      <c r="D263">
        <v>4</v>
      </c>
    </row>
    <row r="264" spans="1:4" x14ac:dyDescent="0.25">
      <c r="A264" s="1" t="s">
        <v>290</v>
      </c>
      <c r="B264">
        <v>53</v>
      </c>
      <c r="C264" t="s">
        <v>288</v>
      </c>
      <c r="D264">
        <v>4</v>
      </c>
    </row>
    <row r="265" spans="1:4" x14ac:dyDescent="0.25">
      <c r="A265" s="1" t="s">
        <v>291</v>
      </c>
      <c r="B265">
        <v>53</v>
      </c>
      <c r="C265" t="s">
        <v>288</v>
      </c>
      <c r="D265">
        <v>4</v>
      </c>
    </row>
    <row r="266" spans="1:4" x14ac:dyDescent="0.25">
      <c r="A266" s="1" t="s">
        <v>292</v>
      </c>
      <c r="B266">
        <v>53</v>
      </c>
      <c r="C266" t="s">
        <v>288</v>
      </c>
      <c r="D266">
        <v>4</v>
      </c>
    </row>
    <row r="267" spans="1:4" x14ac:dyDescent="0.25">
      <c r="A267" s="1" t="s">
        <v>293</v>
      </c>
      <c r="B267">
        <v>54</v>
      </c>
      <c r="C267" t="s">
        <v>294</v>
      </c>
      <c r="D267">
        <v>5</v>
      </c>
    </row>
    <row r="268" spans="1:4" x14ac:dyDescent="0.25">
      <c r="A268" s="1" t="s">
        <v>295</v>
      </c>
      <c r="B268">
        <v>54</v>
      </c>
      <c r="C268" t="s">
        <v>294</v>
      </c>
      <c r="D268">
        <v>5</v>
      </c>
    </row>
    <row r="269" spans="1:4" x14ac:dyDescent="0.25">
      <c r="A269" s="1" t="s">
        <v>296</v>
      </c>
      <c r="B269">
        <v>54</v>
      </c>
      <c r="C269" t="s">
        <v>294</v>
      </c>
      <c r="D269">
        <v>5</v>
      </c>
    </row>
    <row r="270" spans="1:4" x14ac:dyDescent="0.25">
      <c r="A270" s="1" t="s">
        <v>297</v>
      </c>
      <c r="B270">
        <v>54</v>
      </c>
      <c r="C270" t="s">
        <v>294</v>
      </c>
      <c r="D270">
        <v>5</v>
      </c>
    </row>
    <row r="271" spans="1:4" x14ac:dyDescent="0.25">
      <c r="A271" s="1">
        <v>42110</v>
      </c>
      <c r="B271">
        <v>54</v>
      </c>
      <c r="C271" t="s">
        <v>294</v>
      </c>
      <c r="D271">
        <v>5</v>
      </c>
    </row>
    <row r="272" spans="1:4" x14ac:dyDescent="0.25">
      <c r="A272" s="1" t="s">
        <v>298</v>
      </c>
      <c r="B272">
        <v>55</v>
      </c>
      <c r="C272" t="s">
        <v>299</v>
      </c>
      <c r="D272">
        <v>5</v>
      </c>
    </row>
    <row r="273" spans="1:4" x14ac:dyDescent="0.25">
      <c r="A273" s="1" t="s">
        <v>300</v>
      </c>
      <c r="B273">
        <v>55</v>
      </c>
      <c r="C273" t="s">
        <v>299</v>
      </c>
      <c r="D273">
        <v>5</v>
      </c>
    </row>
    <row r="274" spans="1:4" x14ac:dyDescent="0.25">
      <c r="A274" s="1" t="s">
        <v>301</v>
      </c>
      <c r="B274">
        <v>55</v>
      </c>
      <c r="C274" t="s">
        <v>299</v>
      </c>
      <c r="D274">
        <v>5</v>
      </c>
    </row>
    <row r="275" spans="1:4" x14ac:dyDescent="0.25">
      <c r="A275" s="1" t="s">
        <v>302</v>
      </c>
      <c r="B275">
        <v>55</v>
      </c>
      <c r="C275" t="s">
        <v>299</v>
      </c>
      <c r="D275">
        <v>5</v>
      </c>
    </row>
    <row r="276" spans="1:4" x14ac:dyDescent="0.25">
      <c r="A276" s="1">
        <v>42120</v>
      </c>
      <c r="B276">
        <v>55</v>
      </c>
      <c r="C276" t="s">
        <v>299</v>
      </c>
      <c r="D276">
        <v>5</v>
      </c>
    </row>
    <row r="277" spans="1:4" x14ac:dyDescent="0.25">
      <c r="A277" s="1" t="s">
        <v>303</v>
      </c>
      <c r="B277">
        <v>56</v>
      </c>
      <c r="C277" t="s">
        <v>304</v>
      </c>
      <c r="D277">
        <v>5</v>
      </c>
    </row>
    <row r="278" spans="1:4" x14ac:dyDescent="0.25">
      <c r="A278" s="1" t="s">
        <v>305</v>
      </c>
      <c r="B278">
        <v>56</v>
      </c>
      <c r="C278" t="s">
        <v>304</v>
      </c>
      <c r="D278">
        <v>5</v>
      </c>
    </row>
    <row r="279" spans="1:4" x14ac:dyDescent="0.25">
      <c r="A279" s="1" t="s">
        <v>306</v>
      </c>
      <c r="B279">
        <v>56</v>
      </c>
      <c r="C279" t="s">
        <v>304</v>
      </c>
      <c r="D279">
        <v>5</v>
      </c>
    </row>
    <row r="280" spans="1:4" x14ac:dyDescent="0.25">
      <c r="A280" s="1" t="s">
        <v>307</v>
      </c>
      <c r="B280">
        <v>56</v>
      </c>
      <c r="C280" t="s">
        <v>304</v>
      </c>
      <c r="D280">
        <v>5</v>
      </c>
    </row>
    <row r="281" spans="1:4" x14ac:dyDescent="0.25">
      <c r="A281" s="1">
        <v>42140</v>
      </c>
      <c r="B281">
        <v>56</v>
      </c>
      <c r="C281" t="s">
        <v>304</v>
      </c>
      <c r="D281">
        <v>5</v>
      </c>
    </row>
    <row r="282" spans="1:4" x14ac:dyDescent="0.25">
      <c r="A282" s="1" t="s">
        <v>308</v>
      </c>
      <c r="B282">
        <v>57</v>
      </c>
      <c r="C282" t="s">
        <v>309</v>
      </c>
      <c r="D282">
        <v>5</v>
      </c>
    </row>
    <row r="283" spans="1:4" x14ac:dyDescent="0.25">
      <c r="A283" s="1" t="s">
        <v>310</v>
      </c>
      <c r="B283">
        <v>57</v>
      </c>
      <c r="C283" t="s">
        <v>309</v>
      </c>
      <c r="D283">
        <v>5</v>
      </c>
    </row>
    <row r="284" spans="1:4" x14ac:dyDescent="0.25">
      <c r="A284" s="1" t="s">
        <v>311</v>
      </c>
      <c r="B284">
        <v>57</v>
      </c>
      <c r="C284" t="s">
        <v>309</v>
      </c>
      <c r="D284">
        <v>5</v>
      </c>
    </row>
    <row r="285" spans="1:4" x14ac:dyDescent="0.25">
      <c r="A285" s="1" t="s">
        <v>312</v>
      </c>
      <c r="B285">
        <v>57</v>
      </c>
      <c r="C285" t="s">
        <v>309</v>
      </c>
      <c r="D285">
        <v>5</v>
      </c>
    </row>
    <row r="286" spans="1:4" x14ac:dyDescent="0.25">
      <c r="A286" s="1">
        <v>42220</v>
      </c>
      <c r="B286">
        <v>57</v>
      </c>
      <c r="C286" t="s">
        <v>309</v>
      </c>
      <c r="D286">
        <v>5</v>
      </c>
    </row>
    <row r="287" spans="1:4" x14ac:dyDescent="0.25">
      <c r="A287" s="1" t="s">
        <v>313</v>
      </c>
      <c r="B287">
        <v>58</v>
      </c>
      <c r="C287" t="s">
        <v>314</v>
      </c>
      <c r="D287">
        <v>5</v>
      </c>
    </row>
    <row r="288" spans="1:4" x14ac:dyDescent="0.25">
      <c r="A288" s="1" t="s">
        <v>315</v>
      </c>
      <c r="B288">
        <v>58</v>
      </c>
      <c r="C288" t="s">
        <v>314</v>
      </c>
      <c r="D288">
        <v>5</v>
      </c>
    </row>
    <row r="289" spans="1:10" x14ac:dyDescent="0.25">
      <c r="A289" s="1" t="s">
        <v>316</v>
      </c>
      <c r="B289">
        <v>58</v>
      </c>
      <c r="C289" t="s">
        <v>314</v>
      </c>
      <c r="D289">
        <v>5</v>
      </c>
    </row>
    <row r="290" spans="1:10" x14ac:dyDescent="0.25">
      <c r="A290" s="1" t="s">
        <v>317</v>
      </c>
      <c r="B290">
        <v>58</v>
      </c>
      <c r="C290" t="s">
        <v>314</v>
      </c>
      <c r="D290">
        <v>5</v>
      </c>
    </row>
    <row r="291" spans="1:10" x14ac:dyDescent="0.25">
      <c r="A291" s="1">
        <v>42420</v>
      </c>
      <c r="B291">
        <v>58</v>
      </c>
      <c r="C291" t="s">
        <v>314</v>
      </c>
      <c r="D291">
        <v>5</v>
      </c>
    </row>
    <row r="292" spans="1:10" x14ac:dyDescent="0.25">
      <c r="A292" s="1" t="s">
        <v>318</v>
      </c>
      <c r="B292">
        <v>59</v>
      </c>
      <c r="C292" t="s">
        <v>319</v>
      </c>
      <c r="D292">
        <v>5</v>
      </c>
    </row>
    <row r="293" spans="1:10" x14ac:dyDescent="0.25">
      <c r="A293" s="1" t="s">
        <v>320</v>
      </c>
      <c r="B293">
        <v>59</v>
      </c>
      <c r="C293" t="s">
        <v>319</v>
      </c>
      <c r="D293">
        <v>5</v>
      </c>
    </row>
    <row r="294" spans="1:10" x14ac:dyDescent="0.25">
      <c r="A294" s="1" t="s">
        <v>321</v>
      </c>
      <c r="B294">
        <v>59</v>
      </c>
      <c r="C294" t="s">
        <v>319</v>
      </c>
      <c r="D294">
        <v>5</v>
      </c>
    </row>
    <row r="295" spans="1:10" x14ac:dyDescent="0.25">
      <c r="A295" s="1" t="s">
        <v>322</v>
      </c>
      <c r="B295">
        <v>59</v>
      </c>
      <c r="C295" t="s">
        <v>319</v>
      </c>
      <c r="D295">
        <v>5</v>
      </c>
    </row>
    <row r="296" spans="1:10" x14ac:dyDescent="0.25">
      <c r="A296" s="1">
        <v>42600</v>
      </c>
      <c r="B296">
        <v>59</v>
      </c>
      <c r="C296" t="s">
        <v>319</v>
      </c>
      <c r="D296">
        <v>5</v>
      </c>
    </row>
    <row r="297" spans="1:10" x14ac:dyDescent="0.25">
      <c r="A297" s="1" t="s">
        <v>323</v>
      </c>
      <c r="B297">
        <v>60</v>
      </c>
      <c r="C297" t="s">
        <v>324</v>
      </c>
      <c r="D297">
        <v>5</v>
      </c>
    </row>
    <row r="298" spans="1:10" x14ac:dyDescent="0.25">
      <c r="A298" s="1" t="s">
        <v>325</v>
      </c>
      <c r="B298">
        <v>60</v>
      </c>
      <c r="C298" t="s">
        <v>324</v>
      </c>
      <c r="D298">
        <v>5</v>
      </c>
    </row>
    <row r="299" spans="1:10" x14ac:dyDescent="0.25">
      <c r="A299" s="1" t="s">
        <v>326</v>
      </c>
      <c r="B299">
        <v>60</v>
      </c>
      <c r="C299" t="s">
        <v>324</v>
      </c>
      <c r="D299">
        <v>5</v>
      </c>
    </row>
    <row r="300" spans="1:10" x14ac:dyDescent="0.25">
      <c r="A300" s="1" t="s">
        <v>327</v>
      </c>
      <c r="B300">
        <v>60</v>
      </c>
      <c r="C300" t="s">
        <v>324</v>
      </c>
      <c r="D300">
        <v>5</v>
      </c>
    </row>
    <row r="301" spans="1:10" x14ac:dyDescent="0.25">
      <c r="A301" s="1">
        <v>45100</v>
      </c>
      <c r="B301">
        <v>60</v>
      </c>
      <c r="C301" t="s">
        <v>324</v>
      </c>
      <c r="D301">
        <v>5</v>
      </c>
    </row>
    <row r="302" spans="1:10" x14ac:dyDescent="0.25">
      <c r="A302" s="1"/>
      <c r="B302">
        <v>306</v>
      </c>
      <c r="C302" t="s">
        <v>328</v>
      </c>
      <c r="D302">
        <v>4</v>
      </c>
    </row>
    <row r="303" spans="1:10" x14ac:dyDescent="0.25">
      <c r="A303" s="1" t="s">
        <v>329</v>
      </c>
      <c r="B303">
        <v>307</v>
      </c>
      <c r="C303" t="s">
        <v>330</v>
      </c>
      <c r="D303">
        <v>5</v>
      </c>
      <c r="G303" s="4"/>
      <c r="H303" s="4"/>
      <c r="I303" s="4"/>
      <c r="J303" s="4"/>
    </row>
    <row r="304" spans="1:10" x14ac:dyDescent="0.25">
      <c r="A304" s="1" t="s">
        <v>331</v>
      </c>
      <c r="B304">
        <v>308</v>
      </c>
      <c r="C304" t="s">
        <v>332</v>
      </c>
      <c r="D304">
        <v>5</v>
      </c>
      <c r="G304" s="4">
        <v>18080948.780000001</v>
      </c>
      <c r="H304" s="4">
        <v>165060005.83000001</v>
      </c>
      <c r="I304" s="4"/>
      <c r="J304" s="4"/>
    </row>
    <row r="305" spans="1:10" x14ac:dyDescent="0.25">
      <c r="A305" s="1" t="s">
        <v>333</v>
      </c>
      <c r="B305">
        <v>309</v>
      </c>
      <c r="C305" t="s">
        <v>334</v>
      </c>
      <c r="D305">
        <v>5</v>
      </c>
      <c r="G305" s="4"/>
      <c r="H305" s="4"/>
      <c r="I305" s="4"/>
      <c r="J305" s="4"/>
    </row>
    <row r="306" spans="1:10" x14ac:dyDescent="0.25">
      <c r="A306" s="1" t="s">
        <v>335</v>
      </c>
      <c r="B306">
        <v>310</v>
      </c>
      <c r="C306" t="s">
        <v>336</v>
      </c>
      <c r="D306">
        <v>5</v>
      </c>
      <c r="G306" s="4"/>
      <c r="H306" s="4"/>
      <c r="I306" s="4"/>
      <c r="J306" s="4"/>
    </row>
    <row r="307" spans="1:10" x14ac:dyDescent="0.25">
      <c r="A307" s="1">
        <v>42310</v>
      </c>
      <c r="B307">
        <v>61</v>
      </c>
      <c r="C307" t="s">
        <v>337</v>
      </c>
      <c r="D307">
        <v>4</v>
      </c>
      <c r="G307" s="4"/>
      <c r="H307" s="4"/>
      <c r="I307" s="4"/>
      <c r="J307" s="11">
        <f>((H304-G304)/(G304))</f>
        <v>8.1289460436157484</v>
      </c>
    </row>
    <row r="308" spans="1:10" x14ac:dyDescent="0.25">
      <c r="A308" s="1" t="s">
        <v>338</v>
      </c>
      <c r="B308">
        <v>61</v>
      </c>
      <c r="C308" t="s">
        <v>337</v>
      </c>
      <c r="D308">
        <v>5</v>
      </c>
      <c r="G308" s="4"/>
      <c r="H308" s="4"/>
      <c r="I308" s="4"/>
      <c r="J308" s="4"/>
    </row>
    <row r="309" spans="1:10" x14ac:dyDescent="0.25">
      <c r="A309" s="1" t="s">
        <v>339</v>
      </c>
      <c r="B309">
        <v>61</v>
      </c>
      <c r="C309" t="s">
        <v>337</v>
      </c>
      <c r="D309">
        <v>5</v>
      </c>
      <c r="G309" s="4"/>
      <c r="H309" s="4"/>
      <c r="I309" s="4"/>
      <c r="J309" s="4"/>
    </row>
    <row r="310" spans="1:10" x14ac:dyDescent="0.25">
      <c r="A310" s="1" t="s">
        <v>340</v>
      </c>
      <c r="B310">
        <v>61</v>
      </c>
      <c r="C310" t="s">
        <v>337</v>
      </c>
      <c r="D310">
        <v>5</v>
      </c>
      <c r="G310" s="4"/>
      <c r="H310" s="4"/>
      <c r="I310" s="4"/>
      <c r="J310" s="4">
        <f>G304*J307</f>
        <v>146979057.05000001</v>
      </c>
    </row>
    <row r="311" spans="1:10" x14ac:dyDescent="0.25">
      <c r="A311" s="1" t="s">
        <v>341</v>
      </c>
      <c r="B311">
        <v>61</v>
      </c>
      <c r="C311" t="s">
        <v>337</v>
      </c>
      <c r="D311">
        <v>5</v>
      </c>
      <c r="G311" s="4"/>
      <c r="H311" s="4"/>
      <c r="I311" s="4"/>
      <c r="J311" s="4"/>
    </row>
    <row r="312" spans="1:10" x14ac:dyDescent="0.25">
      <c r="A312" s="1">
        <v>51240</v>
      </c>
      <c r="B312">
        <v>62</v>
      </c>
      <c r="C312" t="s">
        <v>342</v>
      </c>
      <c r="D312">
        <v>4</v>
      </c>
    </row>
    <row r="313" spans="1:10" x14ac:dyDescent="0.25">
      <c r="A313" s="1" t="s">
        <v>343</v>
      </c>
      <c r="B313">
        <v>62</v>
      </c>
      <c r="C313" t="s">
        <v>342</v>
      </c>
      <c r="D313">
        <v>5</v>
      </c>
    </row>
    <row r="314" spans="1:10" x14ac:dyDescent="0.25">
      <c r="A314" s="1" t="s">
        <v>344</v>
      </c>
      <c r="B314">
        <v>62</v>
      </c>
      <c r="C314" t="s">
        <v>342</v>
      </c>
      <c r="D314">
        <v>5</v>
      </c>
    </row>
    <row r="315" spans="1:10" x14ac:dyDescent="0.25">
      <c r="A315" s="1" t="s">
        <v>345</v>
      </c>
      <c r="B315">
        <v>62</v>
      </c>
      <c r="C315" t="s">
        <v>342</v>
      </c>
      <c r="D315">
        <v>5</v>
      </c>
    </row>
    <row r="316" spans="1:10" x14ac:dyDescent="0.25">
      <c r="A316" s="1" t="s">
        <v>346</v>
      </c>
      <c r="B316">
        <v>62</v>
      </c>
      <c r="C316" t="s">
        <v>342</v>
      </c>
      <c r="D316">
        <v>5</v>
      </c>
    </row>
    <row r="317" spans="1:10" x14ac:dyDescent="0.25">
      <c r="A317" s="1">
        <v>14100</v>
      </c>
      <c r="B317">
        <v>63</v>
      </c>
      <c r="C317" t="s">
        <v>347</v>
      </c>
      <c r="D317">
        <v>4</v>
      </c>
    </row>
    <row r="318" spans="1:10" x14ac:dyDescent="0.25">
      <c r="A318" s="1" t="s">
        <v>348</v>
      </c>
      <c r="B318">
        <v>63</v>
      </c>
      <c r="C318" t="s">
        <v>347</v>
      </c>
      <c r="D318">
        <v>5</v>
      </c>
    </row>
    <row r="319" spans="1:10" x14ac:dyDescent="0.25">
      <c r="A319" s="1" t="s">
        <v>349</v>
      </c>
      <c r="B319">
        <v>63</v>
      </c>
      <c r="C319" t="s">
        <v>347</v>
      </c>
      <c r="D319">
        <v>5</v>
      </c>
    </row>
    <row r="320" spans="1:10" x14ac:dyDescent="0.25">
      <c r="A320" s="1" t="s">
        <v>350</v>
      </c>
      <c r="B320">
        <v>63</v>
      </c>
      <c r="C320" t="s">
        <v>347</v>
      </c>
      <c r="D320">
        <v>5</v>
      </c>
    </row>
    <row r="321" spans="1:4" x14ac:dyDescent="0.25">
      <c r="A321" s="1" t="s">
        <v>351</v>
      </c>
      <c r="B321">
        <v>63</v>
      </c>
      <c r="C321" t="s">
        <v>347</v>
      </c>
      <c r="D321">
        <v>5</v>
      </c>
    </row>
    <row r="322" spans="1:4" x14ac:dyDescent="0.25">
      <c r="A322" s="1">
        <v>26120</v>
      </c>
      <c r="B322">
        <v>64</v>
      </c>
      <c r="C322" t="s">
        <v>352</v>
      </c>
      <c r="D322">
        <v>4</v>
      </c>
    </row>
    <row r="323" spans="1:4" x14ac:dyDescent="0.25">
      <c r="A323" s="1" t="s">
        <v>353</v>
      </c>
      <c r="B323">
        <v>64</v>
      </c>
      <c r="C323" t="s">
        <v>352</v>
      </c>
      <c r="D323">
        <v>5</v>
      </c>
    </row>
    <row r="324" spans="1:4" x14ac:dyDescent="0.25">
      <c r="A324" s="1" t="s">
        <v>354</v>
      </c>
      <c r="B324">
        <v>64</v>
      </c>
      <c r="C324" t="s">
        <v>352</v>
      </c>
      <c r="D324">
        <v>5</v>
      </c>
    </row>
    <row r="325" spans="1:4" x14ac:dyDescent="0.25">
      <c r="A325" s="1" t="s">
        <v>355</v>
      </c>
      <c r="B325">
        <v>64</v>
      </c>
      <c r="C325" t="s">
        <v>352</v>
      </c>
      <c r="D325">
        <v>5</v>
      </c>
    </row>
    <row r="326" spans="1:4" x14ac:dyDescent="0.25">
      <c r="A326" s="1" t="s">
        <v>356</v>
      </c>
      <c r="B326">
        <v>64</v>
      </c>
      <c r="C326" t="s">
        <v>352</v>
      </c>
      <c r="D326">
        <v>5</v>
      </c>
    </row>
    <row r="327" spans="1:4" x14ac:dyDescent="0.25">
      <c r="A327" s="1">
        <v>26220</v>
      </c>
      <c r="B327">
        <v>65</v>
      </c>
      <c r="C327" t="s">
        <v>357</v>
      </c>
      <c r="D327">
        <v>4</v>
      </c>
    </row>
    <row r="328" spans="1:4" x14ac:dyDescent="0.25">
      <c r="A328" s="1" t="s">
        <v>358</v>
      </c>
      <c r="B328">
        <v>65</v>
      </c>
      <c r="C328" t="s">
        <v>357</v>
      </c>
      <c r="D328">
        <v>5</v>
      </c>
    </row>
    <row r="329" spans="1:4" x14ac:dyDescent="0.25">
      <c r="A329" s="1" t="s">
        <v>359</v>
      </c>
      <c r="B329">
        <v>65</v>
      </c>
      <c r="C329" t="s">
        <v>357</v>
      </c>
      <c r="D329">
        <v>5</v>
      </c>
    </row>
    <row r="330" spans="1:4" x14ac:dyDescent="0.25">
      <c r="A330" s="1" t="s">
        <v>360</v>
      </c>
      <c r="B330">
        <v>65</v>
      </c>
      <c r="C330" t="s">
        <v>357</v>
      </c>
      <c r="D330">
        <v>5</v>
      </c>
    </row>
    <row r="331" spans="1:4" x14ac:dyDescent="0.25">
      <c r="A331" s="1" t="s">
        <v>361</v>
      </c>
      <c r="B331">
        <v>65</v>
      </c>
      <c r="C331" t="s">
        <v>357</v>
      </c>
      <c r="D331">
        <v>5</v>
      </c>
    </row>
    <row r="332" spans="1:4" x14ac:dyDescent="0.25">
      <c r="A332" s="1">
        <v>35610</v>
      </c>
      <c r="B332">
        <v>66</v>
      </c>
      <c r="C332" t="s">
        <v>362</v>
      </c>
      <c r="D332">
        <v>4</v>
      </c>
    </row>
    <row r="333" spans="1:4" x14ac:dyDescent="0.25">
      <c r="A333" s="1" t="s">
        <v>363</v>
      </c>
      <c r="B333">
        <v>66</v>
      </c>
      <c r="C333" t="s">
        <v>362</v>
      </c>
      <c r="D333">
        <v>5</v>
      </c>
    </row>
    <row r="334" spans="1:4" x14ac:dyDescent="0.25">
      <c r="A334" s="1" t="s">
        <v>364</v>
      </c>
      <c r="B334">
        <v>66</v>
      </c>
      <c r="C334" t="s">
        <v>362</v>
      </c>
      <c r="D334">
        <v>5</v>
      </c>
    </row>
    <row r="335" spans="1:4" x14ac:dyDescent="0.25">
      <c r="A335" s="1" t="s">
        <v>365</v>
      </c>
      <c r="B335">
        <v>66</v>
      </c>
      <c r="C335" t="s">
        <v>362</v>
      </c>
      <c r="D335">
        <v>5</v>
      </c>
    </row>
    <row r="336" spans="1:4" x14ac:dyDescent="0.25">
      <c r="A336" s="1" t="s">
        <v>366</v>
      </c>
      <c r="B336">
        <v>66</v>
      </c>
      <c r="C336" t="s">
        <v>362</v>
      </c>
      <c r="D336">
        <v>5</v>
      </c>
    </row>
    <row r="337" spans="1:4" x14ac:dyDescent="0.25">
      <c r="A337" s="1">
        <v>39300</v>
      </c>
      <c r="B337">
        <v>67</v>
      </c>
      <c r="C337" t="s">
        <v>367</v>
      </c>
      <c r="D337">
        <v>4</v>
      </c>
    </row>
    <row r="338" spans="1:4" x14ac:dyDescent="0.25">
      <c r="A338" s="1" t="s">
        <v>368</v>
      </c>
      <c r="B338">
        <v>67</v>
      </c>
      <c r="C338" t="s">
        <v>367</v>
      </c>
      <c r="D338">
        <v>5</v>
      </c>
    </row>
    <row r="339" spans="1:4" x14ac:dyDescent="0.25">
      <c r="A339" s="1" t="s">
        <v>369</v>
      </c>
      <c r="B339">
        <v>67</v>
      </c>
      <c r="C339" t="s">
        <v>367</v>
      </c>
      <c r="D339">
        <v>5</v>
      </c>
    </row>
    <row r="340" spans="1:4" x14ac:dyDescent="0.25">
      <c r="A340" s="1" t="s">
        <v>370</v>
      </c>
      <c r="B340">
        <v>67</v>
      </c>
      <c r="C340" t="s">
        <v>367</v>
      </c>
      <c r="D340">
        <v>5</v>
      </c>
    </row>
    <row r="341" spans="1:4" x14ac:dyDescent="0.25">
      <c r="A341" s="1" t="s">
        <v>371</v>
      </c>
      <c r="B341">
        <v>67</v>
      </c>
      <c r="C341" t="s">
        <v>367</v>
      </c>
      <c r="D341">
        <v>5</v>
      </c>
    </row>
    <row r="342" spans="1:4" x14ac:dyDescent="0.25">
      <c r="A342" s="1">
        <v>42510</v>
      </c>
      <c r="B342">
        <v>68</v>
      </c>
      <c r="C342" t="s">
        <v>713</v>
      </c>
      <c r="D342">
        <v>4</v>
      </c>
    </row>
    <row r="343" spans="1:4" x14ac:dyDescent="0.25">
      <c r="A343" s="1" t="s">
        <v>709</v>
      </c>
      <c r="B343">
        <v>68</v>
      </c>
      <c r="C343" t="s">
        <v>713</v>
      </c>
      <c r="D343">
        <v>5</v>
      </c>
    </row>
    <row r="344" spans="1:4" x14ac:dyDescent="0.25">
      <c r="A344" s="1" t="s">
        <v>710</v>
      </c>
      <c r="B344">
        <v>68</v>
      </c>
      <c r="C344" t="s">
        <v>713</v>
      </c>
      <c r="D344">
        <v>5</v>
      </c>
    </row>
    <row r="345" spans="1:4" x14ac:dyDescent="0.25">
      <c r="A345" s="1" t="s">
        <v>711</v>
      </c>
      <c r="B345">
        <v>68</v>
      </c>
      <c r="C345" t="s">
        <v>713</v>
      </c>
      <c r="D345">
        <v>5</v>
      </c>
    </row>
    <row r="346" spans="1:4" x14ac:dyDescent="0.25">
      <c r="A346" s="1" t="s">
        <v>712</v>
      </c>
      <c r="B346">
        <v>68</v>
      </c>
      <c r="C346" t="s">
        <v>713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582</v>
      </c>
      <c r="D2" s="56"/>
      <c r="E2" s="57" t="s">
        <v>611</v>
      </c>
    </row>
    <row r="4" spans="1:20" ht="45" x14ac:dyDescent="0.25">
      <c r="A4" s="58" t="s">
        <v>372</v>
      </c>
      <c r="B4" s="59" t="s">
        <v>4</v>
      </c>
      <c r="C4" s="59" t="s">
        <v>373</v>
      </c>
      <c r="D4" s="59" t="s">
        <v>374</v>
      </c>
      <c r="E4" s="59" t="s">
        <v>375</v>
      </c>
      <c r="F4" s="59" t="s">
        <v>376</v>
      </c>
      <c r="G4" s="59" t="s">
        <v>377</v>
      </c>
      <c r="H4" s="59" t="s">
        <v>378</v>
      </c>
      <c r="I4" s="60" t="s">
        <v>379</v>
      </c>
      <c r="J4" s="59" t="s">
        <v>380</v>
      </c>
      <c r="K4" s="60" t="s">
        <v>381</v>
      </c>
      <c r="L4" s="59" t="s">
        <v>382</v>
      </c>
      <c r="M4" s="60" t="s">
        <v>383</v>
      </c>
      <c r="N4" s="61" t="s">
        <v>384</v>
      </c>
      <c r="O4" s="61" t="s">
        <v>385</v>
      </c>
      <c r="P4" s="59" t="s">
        <v>386</v>
      </c>
      <c r="Q4" s="59" t="s">
        <v>5</v>
      </c>
      <c r="R4" s="59" t="s">
        <v>387</v>
      </c>
      <c r="S4" s="59" t="s">
        <v>388</v>
      </c>
      <c r="T4" s="62" t="s">
        <v>389</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sheetPr codeName="Hoja8"/>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779</v>
      </c>
      <c r="C2" s="119" t="s">
        <v>780</v>
      </c>
      <c r="D2" s="119" t="s">
        <v>781</v>
      </c>
      <c r="E2" s="119" t="s">
        <v>914</v>
      </c>
      <c r="F2" s="119" t="s">
        <v>915</v>
      </c>
      <c r="G2" s="119" t="s">
        <v>782</v>
      </c>
      <c r="H2" s="120" t="s">
        <v>802</v>
      </c>
      <c r="I2" s="119" t="s">
        <v>854</v>
      </c>
      <c r="J2" s="119" t="s">
        <v>873</v>
      </c>
    </row>
    <row r="3" spans="2:13" ht="28.5" x14ac:dyDescent="0.3">
      <c r="B3" s="119">
        <v>1</v>
      </c>
      <c r="C3" s="121" t="s">
        <v>841</v>
      </c>
      <c r="D3" s="121" t="s">
        <v>866</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841</v>
      </c>
      <c r="D4" s="121" t="s">
        <v>867</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819</v>
      </c>
      <c r="D5" s="121" t="s">
        <v>860</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901</v>
      </c>
      <c r="D6" s="121" t="s">
        <v>864</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839</v>
      </c>
      <c r="D7" s="121" t="s">
        <v>863</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840</v>
      </c>
      <c r="D8" s="121" t="s">
        <v>865</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842</v>
      </c>
      <c r="D9" s="121" t="s">
        <v>868</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842</v>
      </c>
      <c r="D10" s="121" t="s">
        <v>869</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846</v>
      </c>
      <c r="D11" s="121" t="s">
        <v>861</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821</v>
      </c>
      <c r="D12" s="121" t="s">
        <v>870</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786</v>
      </c>
      <c r="D13" s="121" t="s">
        <v>874</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787</v>
      </c>
      <c r="D14" s="121" t="s">
        <v>875</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900</v>
      </c>
      <c r="D15" s="121" t="s">
        <v>902</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788</v>
      </c>
      <c r="D16" s="121" t="s">
        <v>903</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843</v>
      </c>
      <c r="D17" s="121" t="s">
        <v>876</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899</v>
      </c>
      <c r="D18" s="121" t="s">
        <v>912</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899</v>
      </c>
      <c r="D19" s="121" t="s">
        <v>913</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791</v>
      </c>
      <c r="D20" s="121" t="s">
        <v>792</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789</v>
      </c>
      <c r="D21" s="121" t="s">
        <v>790</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793</v>
      </c>
      <c r="D22" s="121" t="s">
        <v>794</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793</v>
      </c>
      <c r="D23" s="121" t="s">
        <v>795</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828</v>
      </c>
      <c r="D24" s="121" t="s">
        <v>862</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824</v>
      </c>
      <c r="D25" s="121" t="s">
        <v>833</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834</v>
      </c>
      <c r="D26" s="121" t="s">
        <v>855</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823</v>
      </c>
      <c r="D27" s="121" t="s">
        <v>911</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845</v>
      </c>
      <c r="D28" s="121" t="s">
        <v>871</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845</v>
      </c>
      <c r="D29" s="121" t="s">
        <v>892</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844</v>
      </c>
      <c r="D30" s="121" t="s">
        <v>872</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785</v>
      </c>
      <c r="D31" s="121" t="s">
        <v>877</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783</v>
      </c>
      <c r="D32" s="121" t="s">
        <v>878</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904</v>
      </c>
      <c r="D33" s="121" t="s">
        <v>905</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784</v>
      </c>
      <c r="D34" s="121" t="s">
        <v>878</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847</v>
      </c>
      <c r="D35" s="121" t="s">
        <v>879</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847</v>
      </c>
      <c r="D36" s="121" t="s">
        <v>880</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799</v>
      </c>
      <c r="D37" s="121" t="s">
        <v>881</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820</v>
      </c>
      <c r="D38" s="121" t="s">
        <v>882</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836</v>
      </c>
      <c r="D39" s="121" t="s">
        <v>837</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836</v>
      </c>
      <c r="D40" s="121" t="s">
        <v>838</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798</v>
      </c>
      <c r="D41" s="121" t="s">
        <v>884</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796</v>
      </c>
      <c r="D42" s="121" t="s">
        <v>883</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797</v>
      </c>
      <c r="D43" s="121" t="s">
        <v>885</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800</v>
      </c>
      <c r="D44" s="121" t="s">
        <v>801</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817</v>
      </c>
      <c r="D45" s="121" t="s">
        <v>818</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894</v>
      </c>
      <c r="D46" s="121" t="s">
        <v>897</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803</v>
      </c>
      <c r="D47" s="121" t="s">
        <v>906</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804</v>
      </c>
      <c r="D48" s="121" t="s">
        <v>835</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804</v>
      </c>
      <c r="D49" s="121" t="s">
        <v>856</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804</v>
      </c>
      <c r="D50" s="121" t="s">
        <v>857</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829</v>
      </c>
      <c r="D51" s="121" t="s">
        <v>830</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829</v>
      </c>
      <c r="D52" s="121" t="s">
        <v>831</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829</v>
      </c>
      <c r="D53" s="121" t="s">
        <v>848</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907</v>
      </c>
      <c r="D54" s="121" t="s">
        <v>898</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896</v>
      </c>
      <c r="D55" s="121" t="s">
        <v>895</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805</v>
      </c>
      <c r="D56" s="121" t="s">
        <v>886</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806</v>
      </c>
      <c r="D57" s="121" t="s">
        <v>807</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806</v>
      </c>
      <c r="D58" s="121" t="s">
        <v>887</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859</v>
      </c>
      <c r="D59" s="121" t="s">
        <v>908</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849</v>
      </c>
      <c r="D60" s="121" t="s">
        <v>850</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849</v>
      </c>
      <c r="D61" s="121" t="s">
        <v>851</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808</v>
      </c>
      <c r="D62" s="121" t="s">
        <v>827</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808</v>
      </c>
      <c r="D63" s="121" t="s">
        <v>889</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808</v>
      </c>
      <c r="D64" s="121" t="s">
        <v>890</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808</v>
      </c>
      <c r="D65" s="121" t="s">
        <v>888</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809</v>
      </c>
      <c r="D66" s="121" t="s">
        <v>893</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822</v>
      </c>
      <c r="D67" s="121" t="s">
        <v>891</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825</v>
      </c>
      <c r="D68" s="121" t="s">
        <v>826</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852</v>
      </c>
      <c r="D69" s="121" t="s">
        <v>853</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832</v>
      </c>
      <c r="D70" s="121" t="s">
        <v>858</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810</v>
      </c>
      <c r="D71" s="121" t="s">
        <v>909</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810</v>
      </c>
      <c r="D72" s="121" t="s">
        <v>910</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811</v>
      </c>
      <c r="D73" s="121" t="s">
        <v>812</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813</v>
      </c>
      <c r="D74" s="121" t="s">
        <v>814</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815</v>
      </c>
      <c r="D75" s="121" t="s">
        <v>816</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580</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A3" zoomScaleNormal="100" workbookViewId="0">
      <selection activeCell="P11" sqref="P11"/>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564</v>
      </c>
      <c r="G4" s="88"/>
      <c r="I4" s="86"/>
      <c r="J4" s="87" t="s">
        <v>565</v>
      </c>
      <c r="P4" s="88"/>
      <c r="R4" s="86"/>
      <c r="S4" s="87" t="s">
        <v>707</v>
      </c>
      <c r="X4" s="88"/>
      <c r="Z4" s="86"/>
      <c r="AA4" s="87" t="s">
        <v>754</v>
      </c>
      <c r="AG4" s="88"/>
      <c r="AI4" s="86"/>
      <c r="AJ4" s="87" t="s">
        <v>767</v>
      </c>
      <c r="AR4" s="88"/>
    </row>
    <row r="5" spans="1:168" ht="15.75" thickBot="1" x14ac:dyDescent="0.3">
      <c r="A5" s="86"/>
      <c r="B5" s="5" t="s">
        <v>566</v>
      </c>
      <c r="C5" s="5" t="s">
        <v>567</v>
      </c>
      <c r="D5" s="5" t="s">
        <v>568</v>
      </c>
      <c r="E5" s="5" t="s">
        <v>569</v>
      </c>
      <c r="F5" s="44" t="s">
        <v>777</v>
      </c>
      <c r="G5" s="89"/>
      <c r="H5" s="82"/>
      <c r="I5" s="86"/>
      <c r="J5" s="5" t="s">
        <v>570</v>
      </c>
      <c r="K5" s="5" t="s">
        <v>571</v>
      </c>
      <c r="L5" s="5" t="s">
        <v>572</v>
      </c>
      <c r="M5" s="5" t="s">
        <v>573</v>
      </c>
      <c r="N5" s="5" t="s">
        <v>574</v>
      </c>
      <c r="O5" s="5" t="s">
        <v>575</v>
      </c>
      <c r="P5" s="89"/>
      <c r="Q5" s="82"/>
      <c r="R5" s="86"/>
      <c r="S5" s="71" t="s">
        <v>704</v>
      </c>
      <c r="T5" s="74" t="s">
        <v>703</v>
      </c>
      <c r="U5" s="72" t="s">
        <v>705</v>
      </c>
      <c r="V5" s="74" t="s">
        <v>706</v>
      </c>
      <c r="W5" s="72" t="s">
        <v>389</v>
      </c>
      <c r="X5" s="95"/>
      <c r="Z5" s="86"/>
      <c r="AA5" s="5" t="s">
        <v>755</v>
      </c>
      <c r="AB5" s="5" t="s">
        <v>574</v>
      </c>
      <c r="AC5" s="5" t="s">
        <v>571</v>
      </c>
      <c r="AD5" s="5" t="s">
        <v>579</v>
      </c>
      <c r="AE5" s="5" t="s">
        <v>573</v>
      </c>
      <c r="AF5" s="5" t="s">
        <v>580</v>
      </c>
      <c r="AG5" s="88"/>
      <c r="AI5" s="86"/>
      <c r="AJ5" s="112" t="s">
        <v>770</v>
      </c>
      <c r="AK5" s="112" t="s">
        <v>577</v>
      </c>
      <c r="AL5" s="112" t="s">
        <v>576</v>
      </c>
      <c r="AM5" s="112" t="s">
        <v>771</v>
      </c>
      <c r="AN5" s="112" t="s">
        <v>772</v>
      </c>
      <c r="AO5" s="112" t="s">
        <v>773</v>
      </c>
      <c r="AP5" s="112" t="s">
        <v>768</v>
      </c>
      <c r="AR5" s="88"/>
    </row>
    <row r="6" spans="1:168" ht="15.75" thickBot="1" x14ac:dyDescent="0.3">
      <c r="A6" s="86"/>
      <c r="B6" t="s">
        <v>574</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578</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0.34424380717754266</v>
      </c>
      <c r="T6" s="75">
        <f>O7</f>
        <v>176014853.53100002</v>
      </c>
      <c r="U6" s="76">
        <f>O8/Tabla5[[#Totals],[DISPONIBLE]]</f>
        <v>0.21032506873049489</v>
      </c>
      <c r="V6" s="77">
        <f>SUM(DIARIO[Pagado])/SUMIFS(DIARIO[Salida],DIARIO[Estatus],"Adjudicado")</f>
        <v>0.78319679660285524</v>
      </c>
      <c r="W6" s="78">
        <f>SUM(DIARIO[Pagado])</f>
        <v>137854269.43999994</v>
      </c>
      <c r="X6" s="88"/>
      <c r="Z6" s="86"/>
      <c r="AA6" s="1" t="s">
        <v>758</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571</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571</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577</v>
      </c>
      <c r="K7" s="90">
        <f>-SUMIFS(DIARIO[Saldo],DIARIO[Estatus],"Adjudicado",DIARIO[Objeto de Gasto],"*VIH*")</f>
        <v>51528245.534175508</v>
      </c>
      <c r="L7" s="90">
        <f>-SUMIFS(DIARIO[Saldo],DIARIO[Estatus],"Adjudicado",DIARIO[Objeto de Gasto],"*Malaria*")</f>
        <v>32527615.523426622</v>
      </c>
      <c r="M7" s="90">
        <f>-SUMIFS(DIARIO[Saldo],DIARIO[Estatus],"Adjudicado",DIARIO[Objeto de Gasto],"*TB*")</f>
        <v>19108235.789793156</v>
      </c>
      <c r="N7" s="90">
        <f>-SUMIFS(DIARIO[Saldo],DIARIO[Estatus],"Adjudicado",DIARIO[Objeto de Gasto],"*SSRISS*")</f>
        <v>72850756.683604702</v>
      </c>
      <c r="O7" s="90">
        <f>Tabla6[[#This Row],[VIH]]+Tabla6[[#This Row],[MARARIA]]+Tabla6[[#This Row],[TB]]+Tabla6[[#This Row],[SSRISS]]</f>
        <v>176014853.53100002</v>
      </c>
      <c r="P7" s="95"/>
      <c r="Q7" s="41"/>
      <c r="R7" s="86"/>
      <c r="X7" s="88"/>
      <c r="Z7" s="86"/>
      <c r="AA7" s="1" t="s">
        <v>757</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579</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579</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576</v>
      </c>
      <c r="K8" s="90">
        <f>-SUMIFS(DIARIO[Saldo],DIARIO[Estatus],"Proceso",DIARIO[Objeto de Gasto],"*VIH*")</f>
        <v>66957888.215082183</v>
      </c>
      <c r="L8" s="90">
        <f>-SUMIFS(DIARIO[Saldo],DIARIO[Estatus],"Proceso",DIARIO[Objeto de Gasto],"*Malaria*")</f>
        <v>27528365.245835107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107541037.47</v>
      </c>
      <c r="P8" s="95"/>
      <c r="Q8" s="41"/>
      <c r="R8" s="86"/>
      <c r="X8" s="88"/>
      <c r="Z8" s="86"/>
      <c r="AA8" s="1" t="s">
        <v>759</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769</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573</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569</v>
      </c>
      <c r="K9" s="101">
        <f>K6-K7-K8</f>
        <v>64934617.560742304</v>
      </c>
      <c r="L9" s="101">
        <f t="shared" ref="L9:N9" si="1">L6-L7-L8</f>
        <v>21799435.800738264</v>
      </c>
      <c r="M9" s="101">
        <f t="shared" si="1"/>
        <v>20681429.001124132</v>
      </c>
      <c r="N9" s="101">
        <f t="shared" si="1"/>
        <v>118972511.63639529</v>
      </c>
      <c r="O9" s="101">
        <f>O6-O7-O8</f>
        <v>226387993.99899998</v>
      </c>
      <c r="P9" s="102"/>
      <c r="Q9" s="100"/>
      <c r="R9" s="86"/>
      <c r="X9" s="88"/>
      <c r="Z9" s="86"/>
      <c r="AA9" s="1" t="s">
        <v>760</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574</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580</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761</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580</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54"/>
      <c r="C2" s="155" t="s">
        <v>558</v>
      </c>
      <c r="D2" s="154"/>
      <c r="E2" s="154"/>
      <c r="F2"/>
      <c r="G2"/>
      <c r="H2"/>
    </row>
    <row r="3" spans="2:8" ht="16.5" x14ac:dyDescent="0.3">
      <c r="B3" s="154"/>
      <c r="C3" s="161" t="s">
        <v>18</v>
      </c>
      <c r="D3" s="161"/>
      <c r="E3" s="161"/>
      <c r="F3"/>
      <c r="G3"/>
      <c r="H3"/>
    </row>
    <row r="4" spans="2:8" ht="16.5" x14ac:dyDescent="0.3">
      <c r="B4" s="156" t="s">
        <v>373</v>
      </c>
      <c r="C4" s="157" t="s">
        <v>650</v>
      </c>
      <c r="D4" s="157" t="s">
        <v>621</v>
      </c>
      <c r="E4" s="157" t="s">
        <v>581</v>
      </c>
      <c r="F4"/>
      <c r="G4"/>
      <c r="H4"/>
    </row>
    <row r="5" spans="2:8" ht="16.5" x14ac:dyDescent="0.3">
      <c r="B5" s="158" t="s">
        <v>758</v>
      </c>
      <c r="C5" s="159"/>
      <c r="D5" s="159"/>
      <c r="E5" s="159"/>
      <c r="F5"/>
      <c r="G5"/>
      <c r="H5"/>
    </row>
    <row r="6" spans="2:8" ht="16.5" x14ac:dyDescent="0.3">
      <c r="B6" s="160" t="s">
        <v>29</v>
      </c>
      <c r="C6" s="159">
        <v>-44545640.859999999</v>
      </c>
      <c r="D6" s="159">
        <v>44545640.859999999</v>
      </c>
      <c r="E6" s="159">
        <v>0</v>
      </c>
      <c r="F6"/>
      <c r="G6"/>
      <c r="H6"/>
    </row>
    <row r="7" spans="2:8" ht="16.5" x14ac:dyDescent="0.3">
      <c r="B7" s="160" t="s">
        <v>36</v>
      </c>
      <c r="C7" s="159">
        <v>-294066.33</v>
      </c>
      <c r="D7" s="159">
        <v>294066.33</v>
      </c>
      <c r="E7" s="159">
        <v>0</v>
      </c>
      <c r="F7"/>
      <c r="G7"/>
      <c r="H7"/>
    </row>
    <row r="8" spans="2:8" ht="16.5" x14ac:dyDescent="0.3">
      <c r="B8" s="160" t="s">
        <v>46</v>
      </c>
      <c r="C8" s="159">
        <v>-8895921.4499999993</v>
      </c>
      <c r="D8" s="159">
        <v>8895921.4499999993</v>
      </c>
      <c r="E8" s="159">
        <v>0</v>
      </c>
      <c r="F8"/>
      <c r="G8"/>
      <c r="H8"/>
    </row>
    <row r="9" spans="2:8" ht="16.5" x14ac:dyDescent="0.3">
      <c r="B9" s="160" t="s">
        <v>51</v>
      </c>
      <c r="C9" s="159">
        <v>-3855900.66</v>
      </c>
      <c r="D9" s="159">
        <v>3855900.66</v>
      </c>
      <c r="E9" s="159">
        <v>0</v>
      </c>
      <c r="F9"/>
      <c r="G9"/>
      <c r="H9"/>
    </row>
    <row r="10" spans="2:8" ht="16.5" x14ac:dyDescent="0.3">
      <c r="B10" s="160" t="s">
        <v>56</v>
      </c>
      <c r="C10" s="159">
        <v>-6343709.8899999997</v>
      </c>
      <c r="D10" s="159">
        <v>0</v>
      </c>
      <c r="E10" s="159">
        <v>-6343709.8899999997</v>
      </c>
      <c r="F10"/>
      <c r="G10"/>
      <c r="H10"/>
    </row>
    <row r="11" spans="2:8" ht="16.5" x14ac:dyDescent="0.3">
      <c r="B11" s="160" t="s">
        <v>61</v>
      </c>
      <c r="C11" s="159">
        <v>-660822.77</v>
      </c>
      <c r="D11" s="159">
        <v>660822.77</v>
      </c>
      <c r="E11" s="159">
        <v>0</v>
      </c>
      <c r="F11"/>
      <c r="G11"/>
      <c r="H11"/>
    </row>
    <row r="12" spans="2:8" ht="16.5" x14ac:dyDescent="0.3">
      <c r="B12" s="160" t="s">
        <v>66</v>
      </c>
      <c r="C12" s="159">
        <v>-32169246.390000001</v>
      </c>
      <c r="D12" s="159">
        <v>32169246.390000001</v>
      </c>
      <c r="E12" s="159">
        <v>0</v>
      </c>
      <c r="F12"/>
      <c r="G12"/>
      <c r="H12"/>
    </row>
    <row r="13" spans="2:8" ht="16.5" x14ac:dyDescent="0.3">
      <c r="B13" s="160" t="s">
        <v>76</v>
      </c>
      <c r="C13" s="159">
        <v>-6414022.6899999995</v>
      </c>
      <c r="D13" s="159">
        <v>6414022.6899999995</v>
      </c>
      <c r="E13" s="159">
        <v>0</v>
      </c>
      <c r="F13"/>
      <c r="G13"/>
      <c r="H13"/>
    </row>
    <row r="14" spans="2:8" ht="16.5" x14ac:dyDescent="0.3">
      <c r="B14" s="160" t="s">
        <v>81</v>
      </c>
      <c r="C14" s="159">
        <v>-421962.45</v>
      </c>
      <c r="D14" s="159">
        <v>190785.45999999996</v>
      </c>
      <c r="E14" s="159">
        <v>-231176.99000000005</v>
      </c>
      <c r="F14"/>
      <c r="G14"/>
      <c r="H14"/>
    </row>
    <row r="15" spans="2:8" ht="16.5" x14ac:dyDescent="0.3">
      <c r="B15" s="160" t="s">
        <v>347</v>
      </c>
      <c r="C15" s="159">
        <v>-293085.44</v>
      </c>
      <c r="D15" s="159">
        <v>293085.44</v>
      </c>
      <c r="E15" s="159">
        <v>0</v>
      </c>
      <c r="F15"/>
      <c r="G15"/>
      <c r="H15"/>
    </row>
    <row r="16" spans="2:8" ht="16.5" x14ac:dyDescent="0.3">
      <c r="B16" s="158" t="s">
        <v>934</v>
      </c>
      <c r="C16" s="159">
        <v>-103894378.92999999</v>
      </c>
      <c r="D16" s="159">
        <v>97319492.049999997</v>
      </c>
      <c r="E16" s="159">
        <v>-6574886.8799999952</v>
      </c>
      <c r="F16"/>
      <c r="G16"/>
      <c r="H16"/>
    </row>
    <row r="17" spans="2:8" ht="16.5" x14ac:dyDescent="0.3">
      <c r="B17" s="158" t="s">
        <v>757</v>
      </c>
      <c r="C17" s="159"/>
      <c r="D17" s="159"/>
      <c r="E17" s="159"/>
      <c r="F17"/>
      <c r="G17"/>
      <c r="H17"/>
    </row>
    <row r="18" spans="2:8" ht="16.5" x14ac:dyDescent="0.3">
      <c r="B18" s="160" t="s">
        <v>142</v>
      </c>
      <c r="C18" s="159">
        <v>-57934</v>
      </c>
      <c r="D18" s="159">
        <v>0</v>
      </c>
      <c r="E18" s="159">
        <v>-57934</v>
      </c>
      <c r="F18"/>
      <c r="G18"/>
      <c r="H18"/>
    </row>
    <row r="19" spans="2:8" ht="16.5" x14ac:dyDescent="0.3">
      <c r="B19" s="160" t="s">
        <v>147</v>
      </c>
      <c r="C19" s="159">
        <v>-159343.76999999999</v>
      </c>
      <c r="D19" s="159">
        <v>159343.76999999999</v>
      </c>
      <c r="E19" s="159">
        <v>0</v>
      </c>
      <c r="F19"/>
      <c r="G19"/>
      <c r="H19"/>
    </row>
    <row r="20" spans="2:8" ht="16.5" x14ac:dyDescent="0.3">
      <c r="B20" s="160" t="s">
        <v>357</v>
      </c>
      <c r="C20" s="159">
        <v>-37554.769999999997</v>
      </c>
      <c r="D20" s="159">
        <v>37554.769999999997</v>
      </c>
      <c r="E20" s="159">
        <v>0</v>
      </c>
    </row>
    <row r="21" spans="2:8" ht="16.5" x14ac:dyDescent="0.3">
      <c r="B21" s="160" t="s">
        <v>152</v>
      </c>
      <c r="C21" s="159">
        <v>-293235.38</v>
      </c>
      <c r="D21" s="159">
        <v>293235.38</v>
      </c>
      <c r="E21" s="159">
        <v>0</v>
      </c>
    </row>
    <row r="22" spans="2:8" ht="16.5" x14ac:dyDescent="0.3">
      <c r="B22" s="160" t="s">
        <v>157</v>
      </c>
      <c r="C22" s="159">
        <v>-118910</v>
      </c>
      <c r="D22" s="159">
        <v>118910</v>
      </c>
      <c r="E22" s="159">
        <v>0</v>
      </c>
    </row>
    <row r="23" spans="2:8" ht="16.5" x14ac:dyDescent="0.3">
      <c r="B23" s="158" t="s">
        <v>935</v>
      </c>
      <c r="C23" s="159">
        <v>-666977.91999999993</v>
      </c>
      <c r="D23" s="159">
        <v>609043.91999999993</v>
      </c>
      <c r="E23" s="159">
        <v>-57934</v>
      </c>
    </row>
    <row r="24" spans="2:8" ht="16.5" x14ac:dyDescent="0.3">
      <c r="B24" s="158" t="s">
        <v>759</v>
      </c>
      <c r="C24" s="159"/>
      <c r="D24" s="159"/>
      <c r="E24" s="159"/>
    </row>
    <row r="25" spans="2:8" ht="16.5" x14ac:dyDescent="0.3">
      <c r="B25" s="160" t="s">
        <v>188</v>
      </c>
      <c r="C25" s="159">
        <v>-154065.96099999998</v>
      </c>
      <c r="D25" s="159">
        <v>95847.049999999988</v>
      </c>
      <c r="E25" s="159">
        <v>-58218.910999999993</v>
      </c>
    </row>
    <row r="26" spans="2:8" ht="16.5" x14ac:dyDescent="0.3">
      <c r="B26" s="160" t="s">
        <v>218</v>
      </c>
      <c r="C26" s="159">
        <v>-2122104.0700000003</v>
      </c>
      <c r="D26" s="159">
        <v>2122104.0700000003</v>
      </c>
      <c r="E26" s="159">
        <v>0</v>
      </c>
    </row>
    <row r="27" spans="2:8" ht="16.5" x14ac:dyDescent="0.3">
      <c r="B27" s="160" t="s">
        <v>208</v>
      </c>
      <c r="C27" s="159">
        <v>-9395871.5300000012</v>
      </c>
      <c r="D27" s="159">
        <v>9006341.5300000012</v>
      </c>
      <c r="E27" s="159">
        <v>-389530</v>
      </c>
    </row>
    <row r="28" spans="2:8" ht="16.5" x14ac:dyDescent="0.3">
      <c r="B28" s="160" t="s">
        <v>223</v>
      </c>
      <c r="C28" s="159">
        <v>-23605072.5</v>
      </c>
      <c r="D28" s="159">
        <v>23605072.5</v>
      </c>
      <c r="E28" s="159">
        <v>0</v>
      </c>
    </row>
    <row r="29" spans="2:8" ht="16.5" x14ac:dyDescent="0.3">
      <c r="B29" s="160" t="s">
        <v>228</v>
      </c>
      <c r="C29" s="159">
        <v>-11200000</v>
      </c>
      <c r="D29" s="159">
        <v>0</v>
      </c>
      <c r="E29" s="159">
        <v>-11200000</v>
      </c>
      <c r="G29" s="109"/>
      <c r="H29" s="109"/>
    </row>
    <row r="30" spans="2:8" ht="16.5" x14ac:dyDescent="0.3">
      <c r="B30" s="160" t="s">
        <v>258</v>
      </c>
      <c r="C30" s="159">
        <v>-3999.3</v>
      </c>
      <c r="D30" s="159">
        <v>3999.3</v>
      </c>
      <c r="E30" s="159">
        <v>0</v>
      </c>
    </row>
    <row r="31" spans="2:8" ht="16.5" x14ac:dyDescent="0.3">
      <c r="B31" s="160" t="s">
        <v>263</v>
      </c>
      <c r="C31" s="159">
        <v>-261343.76</v>
      </c>
      <c r="D31" s="159">
        <v>259372.69</v>
      </c>
      <c r="E31" s="159">
        <v>-1971.070000000007</v>
      </c>
    </row>
    <row r="32" spans="2:8" ht="16.5" x14ac:dyDescent="0.3">
      <c r="B32" s="160" t="s">
        <v>268</v>
      </c>
      <c r="C32" s="159">
        <v>-2346796.0800000005</v>
      </c>
      <c r="D32" s="159">
        <v>2267543.8300000005</v>
      </c>
      <c r="E32" s="159">
        <v>-79252.25</v>
      </c>
    </row>
    <row r="33" spans="2:5" ht="16.5" x14ac:dyDescent="0.3">
      <c r="B33" s="160" t="s">
        <v>278</v>
      </c>
      <c r="C33" s="159">
        <v>-240473.85999999972</v>
      </c>
      <c r="D33" s="159">
        <v>141310</v>
      </c>
      <c r="E33" s="159">
        <v>-99163.859999999724</v>
      </c>
    </row>
    <row r="34" spans="2:5" ht="16.5" x14ac:dyDescent="0.3">
      <c r="B34" s="160" t="s">
        <v>283</v>
      </c>
      <c r="C34" s="159">
        <v>-55116</v>
      </c>
      <c r="D34" s="159">
        <v>22942.5</v>
      </c>
      <c r="E34" s="159">
        <v>-32173.5</v>
      </c>
    </row>
    <row r="35" spans="2:5" ht="16.5" x14ac:dyDescent="0.3">
      <c r="B35" s="158" t="s">
        <v>932</v>
      </c>
      <c r="C35" s="159">
        <v>-49384843.060999997</v>
      </c>
      <c r="D35" s="159">
        <v>37524533.469999999</v>
      </c>
      <c r="E35" s="159">
        <v>-11860309.590999991</v>
      </c>
    </row>
    <row r="36" spans="2:5" ht="16.5" x14ac:dyDescent="0.3">
      <c r="B36" s="158" t="s">
        <v>760</v>
      </c>
      <c r="C36" s="159"/>
      <c r="D36" s="159"/>
      <c r="E36" s="159"/>
    </row>
    <row r="37" spans="2:5" ht="16.5" x14ac:dyDescent="0.3">
      <c r="B37" s="160" t="s">
        <v>314</v>
      </c>
      <c r="C37" s="159">
        <v>-18850014.610000003</v>
      </c>
      <c r="D37" s="159">
        <v>2401200</v>
      </c>
      <c r="E37" s="159">
        <v>-16448814.610000003</v>
      </c>
    </row>
    <row r="38" spans="2:5" ht="16.5" x14ac:dyDescent="0.3">
      <c r="B38" s="160" t="s">
        <v>319</v>
      </c>
      <c r="C38" s="159">
        <v>-3218639.01</v>
      </c>
      <c r="D38" s="159">
        <v>0</v>
      </c>
      <c r="E38" s="159">
        <v>-3218639.01</v>
      </c>
    </row>
    <row r="39" spans="2:5" ht="16.5" x14ac:dyDescent="0.3">
      <c r="B39" s="158" t="s">
        <v>933</v>
      </c>
      <c r="C39" s="159">
        <v>-22068653.620000005</v>
      </c>
      <c r="D39" s="159">
        <v>2401200</v>
      </c>
      <c r="E39" s="159">
        <v>-19667453.620000001</v>
      </c>
    </row>
    <row r="40" spans="2:5" ht="16.5" x14ac:dyDescent="0.3">
      <c r="B40" s="158" t="s">
        <v>620</v>
      </c>
      <c r="C40" s="159">
        <v>-176014853.53100002</v>
      </c>
      <c r="D40" s="159">
        <v>137854269.43999997</v>
      </c>
      <c r="E40" s="159">
        <v>-38160584.09100005</v>
      </c>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AB73-4105-4BCC-B306-6F2B29AE5807}">
  <dimension ref="A1:B11"/>
  <sheetViews>
    <sheetView tabSelected="1" workbookViewId="0">
      <selection activeCell="A2" sqref="A2:A3"/>
    </sheetView>
  </sheetViews>
  <sheetFormatPr baseColWidth="10" defaultRowHeight="15" x14ac:dyDescent="0.25"/>
  <cols>
    <col min="1" max="1" width="14" style="4" bestFit="1" customWidth="1"/>
  </cols>
  <sheetData>
    <row r="1" spans="1:2" x14ac:dyDescent="0.25">
      <c r="A1" s="4">
        <v>630344</v>
      </c>
      <c r="B1" t="s">
        <v>979</v>
      </c>
    </row>
    <row r="2" spans="1:2" x14ac:dyDescent="0.25">
      <c r="A2" s="4">
        <v>-450000</v>
      </c>
      <c r="B2" t="s">
        <v>980</v>
      </c>
    </row>
    <row r="3" spans="1:2" x14ac:dyDescent="0.25">
      <c r="A3" s="4">
        <v>-180344</v>
      </c>
      <c r="B3" t="s">
        <v>981</v>
      </c>
    </row>
    <row r="4" spans="1:2" x14ac:dyDescent="0.25">
      <c r="A4" s="4">
        <v>100000</v>
      </c>
      <c r="B4" t="s">
        <v>982</v>
      </c>
    </row>
    <row r="5" spans="1:2" x14ac:dyDescent="0.25">
      <c r="A5" s="4">
        <v>-100000</v>
      </c>
      <c r="B5" t="s">
        <v>983</v>
      </c>
    </row>
    <row r="6" spans="1:2" x14ac:dyDescent="0.25">
      <c r="A6" s="4">
        <v>80000</v>
      </c>
      <c r="B6" t="s">
        <v>984</v>
      </c>
    </row>
    <row r="7" spans="1:2" x14ac:dyDescent="0.25">
      <c r="A7" s="4">
        <v>-80000</v>
      </c>
      <c r="B7" t="s">
        <v>985</v>
      </c>
    </row>
    <row r="8" spans="1:2" x14ac:dyDescent="0.25">
      <c r="A8" s="4">
        <v>20209</v>
      </c>
      <c r="B8" t="s">
        <v>984</v>
      </c>
    </row>
    <row r="9" spans="1:2" x14ac:dyDescent="0.25">
      <c r="A9" s="4">
        <v>-20209</v>
      </c>
      <c r="B9" t="s">
        <v>986</v>
      </c>
    </row>
    <row r="10" spans="1:2" x14ac:dyDescent="0.25">
      <c r="A10" s="4">
        <v>100000</v>
      </c>
      <c r="B10" t="s">
        <v>987</v>
      </c>
    </row>
    <row r="11" spans="1:2" x14ac:dyDescent="0.25">
      <c r="A11" s="4">
        <v>-100000</v>
      </c>
      <c r="B11" t="s">
        <v>988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zoomScale="104" zoomScaleNormal="100" workbookViewId="0">
      <selection activeCell="E288" sqref="E288"/>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372</v>
      </c>
      <c r="B1" s="2" t="s">
        <v>4</v>
      </c>
      <c r="C1" s="2" t="s">
        <v>373</v>
      </c>
      <c r="D1" s="2" t="s">
        <v>374</v>
      </c>
      <c r="E1" s="2" t="s">
        <v>375</v>
      </c>
      <c r="F1" s="2" t="s">
        <v>376</v>
      </c>
      <c r="G1" s="2" t="s">
        <v>377</v>
      </c>
      <c r="H1" s="2" t="s">
        <v>378</v>
      </c>
      <c r="I1" s="8" t="s">
        <v>660</v>
      </c>
      <c r="J1" s="2" t="s">
        <v>661</v>
      </c>
      <c r="K1" s="8" t="s">
        <v>381</v>
      </c>
      <c r="L1" s="2" t="s">
        <v>382</v>
      </c>
      <c r="M1" s="8" t="s">
        <v>383</v>
      </c>
      <c r="N1" s="13" t="s">
        <v>384</v>
      </c>
      <c r="O1" s="13" t="s">
        <v>385</v>
      </c>
      <c r="P1" s="2" t="s">
        <v>386</v>
      </c>
      <c r="Q1" s="2" t="s">
        <v>5</v>
      </c>
      <c r="R1" s="2" t="s">
        <v>387</v>
      </c>
      <c r="S1" s="2" t="s">
        <v>388</v>
      </c>
      <c r="T1" s="13" t="s">
        <v>389</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30</v>
      </c>
      <c r="H2" s="2"/>
      <c r="I2" s="8"/>
      <c r="J2" s="2"/>
      <c r="K2" s="8"/>
      <c r="L2" s="2"/>
      <c r="M2" s="8"/>
      <c r="N2" s="13">
        <v>111754498</v>
      </c>
      <c r="O2" s="13"/>
      <c r="P2" s="2">
        <f t="shared" ref="P2:P12" si="0">N2-O2</f>
        <v>111754498</v>
      </c>
      <c r="Q2" s="2" t="s">
        <v>30</v>
      </c>
      <c r="R2" s="38"/>
      <c r="S2" s="12"/>
      <c r="T2" s="13"/>
    </row>
    <row r="3" spans="1:25" s="3" customFormat="1" hidden="1" outlineLevel="1" x14ac:dyDescent="0.25">
      <c r="A3" s="2">
        <f>ROW(DIARIO[[#This Row],[Nombre de Cuenta]])-1</f>
        <v>2</v>
      </c>
      <c r="B3" s="2"/>
      <c r="C3" s="12" t="s">
        <v>35</v>
      </c>
      <c r="D3" s="2">
        <f>VLOOKUP(C3,CATALOGO[],2,FALSE)</f>
        <v>3</v>
      </c>
      <c r="E3" s="12" t="str">
        <f>VLOOKUP(DIARIO[[#This Row],[Objeto de Gasto]],CATALOGO[],3,FALSE)</f>
        <v>11400 Adicionales</v>
      </c>
      <c r="F3" s="12"/>
      <c r="G3" s="12" t="s">
        <v>30</v>
      </c>
      <c r="H3" s="2"/>
      <c r="I3" s="8"/>
      <c r="J3" s="2"/>
      <c r="K3" s="8"/>
      <c r="L3" s="2"/>
      <c r="M3" s="8"/>
      <c r="N3" s="13">
        <v>6586922</v>
      </c>
      <c r="O3" s="13"/>
      <c r="P3" s="2">
        <f t="shared" si="0"/>
        <v>6586922</v>
      </c>
      <c r="Q3" s="2" t="s">
        <v>30</v>
      </c>
      <c r="R3" s="38"/>
      <c r="S3" s="12"/>
      <c r="T3" s="13"/>
    </row>
    <row r="4" spans="1:25" s="3" customFormat="1" hidden="1" outlineLevel="1" x14ac:dyDescent="0.25">
      <c r="A4" s="2">
        <f>ROW(DIARIO[[#This Row],[Nombre de Cuenta]])-1</f>
        <v>3</v>
      </c>
      <c r="B4" s="2"/>
      <c r="C4" s="12" t="s">
        <v>38</v>
      </c>
      <c r="D4" s="2">
        <f>VLOOKUP(C4,CATALOGO[],2,FALSE)</f>
        <v>3</v>
      </c>
      <c r="E4" s="12" t="str">
        <f>VLOOKUP(DIARIO[[#This Row],[Objeto de Gasto]],CATALOGO[],3,FALSE)</f>
        <v>11400 Adicionales</v>
      </c>
      <c r="F4" s="12"/>
      <c r="G4" s="12" t="s">
        <v>30</v>
      </c>
      <c r="H4" s="2"/>
      <c r="I4" s="8"/>
      <c r="J4" s="2"/>
      <c r="K4" s="8"/>
      <c r="L4" s="2"/>
      <c r="M4" s="8"/>
      <c r="N4" s="13">
        <v>1415947</v>
      </c>
      <c r="O4" s="13"/>
      <c r="P4" s="2">
        <f t="shared" si="0"/>
        <v>1415947</v>
      </c>
      <c r="Q4" s="2" t="s">
        <v>30</v>
      </c>
      <c r="R4" s="38"/>
      <c r="S4" s="12"/>
      <c r="T4" s="13"/>
    </row>
    <row r="5" spans="1:25" s="3" customFormat="1" hidden="1" outlineLevel="1" x14ac:dyDescent="0.25">
      <c r="A5" s="2">
        <f>ROW(DIARIO[[#This Row],[Nombre de Cuenta]])-1</f>
        <v>4</v>
      </c>
      <c r="B5" s="2"/>
      <c r="C5" s="12" t="s">
        <v>390</v>
      </c>
      <c r="D5" s="2">
        <f>VLOOKUP(C5,CATALOGO[],2,FALSE)</f>
        <v>3</v>
      </c>
      <c r="E5" s="12" t="str">
        <f>VLOOKUP(DIARIO[[#This Row],[Objeto de Gasto]],CATALOGO[],3,FALSE)</f>
        <v>11400 Adicionales</v>
      </c>
      <c r="F5" s="12"/>
      <c r="G5" s="12" t="s">
        <v>30</v>
      </c>
      <c r="H5" s="2"/>
      <c r="I5" s="8"/>
      <c r="J5" s="2"/>
      <c r="K5" s="8"/>
      <c r="L5" s="2"/>
      <c r="M5" s="8"/>
      <c r="N5" s="13">
        <v>2401701</v>
      </c>
      <c r="O5" s="13"/>
      <c r="P5" s="2">
        <f t="shared" si="0"/>
        <v>2401701</v>
      </c>
      <c r="Q5" s="2" t="s">
        <v>30</v>
      </c>
      <c r="R5" s="38"/>
      <c r="S5" s="12"/>
      <c r="T5" s="13"/>
    </row>
    <row r="6" spans="1:25" s="3" customFormat="1" hidden="1" outlineLevel="1" x14ac:dyDescent="0.25">
      <c r="A6" s="2">
        <f>ROW(DIARIO[[#This Row],[Nombre de Cuenta]])-1</f>
        <v>5</v>
      </c>
      <c r="B6" s="2"/>
      <c r="C6" s="12" t="s">
        <v>40</v>
      </c>
      <c r="D6" s="2">
        <f>VLOOKUP(C6,CATALOGO[],2,FALSE)</f>
        <v>4</v>
      </c>
      <c r="E6" s="12" t="str">
        <f>VLOOKUP(DIARIO[[#This Row],[Objeto de Gasto]],CATALOGO[],3,FALSE)</f>
        <v>11510 Decimotercer Mes</v>
      </c>
      <c r="F6" s="12"/>
      <c r="G6" s="12" t="s">
        <v>30</v>
      </c>
      <c r="H6" s="2"/>
      <c r="I6" s="8"/>
      <c r="J6" s="2"/>
      <c r="K6" s="8"/>
      <c r="L6" s="2"/>
      <c r="M6" s="8"/>
      <c r="N6" s="13">
        <v>9312952</v>
      </c>
      <c r="O6" s="13"/>
      <c r="P6" s="2">
        <f t="shared" si="0"/>
        <v>9312952</v>
      </c>
      <c r="Q6" s="2" t="s">
        <v>30</v>
      </c>
      <c r="R6" s="38"/>
      <c r="S6" s="12"/>
      <c r="T6" s="13"/>
    </row>
    <row r="7" spans="1:25" s="3" customFormat="1" hidden="1" outlineLevel="1" x14ac:dyDescent="0.25">
      <c r="A7" s="2">
        <f>ROW(DIARIO[[#This Row],[Nombre de Cuenta]])-1</f>
        <v>6</v>
      </c>
      <c r="B7" s="2"/>
      <c r="C7" s="12" t="s">
        <v>45</v>
      </c>
      <c r="D7" s="2">
        <f>VLOOKUP(C7,CATALOGO[],2,FALSE)</f>
        <v>5</v>
      </c>
      <c r="E7" s="12" t="str">
        <f>VLOOKUP(DIARIO[[#This Row],[Objeto de Gasto]],CATALOGO[],3,FALSE)</f>
        <v>11520 Decimocuarto Mes</v>
      </c>
      <c r="F7" s="12"/>
      <c r="G7" s="12" t="s">
        <v>30</v>
      </c>
      <c r="H7" s="2"/>
      <c r="I7" s="8"/>
      <c r="J7" s="2"/>
      <c r="K7" s="8"/>
      <c r="L7" s="2"/>
      <c r="M7" s="8"/>
      <c r="N7" s="13">
        <v>9312952</v>
      </c>
      <c r="O7" s="13"/>
      <c r="P7" s="2">
        <f t="shared" si="0"/>
        <v>9312952</v>
      </c>
      <c r="Q7" s="2" t="s">
        <v>30</v>
      </c>
      <c r="R7" s="38"/>
      <c r="S7" s="12"/>
      <c r="T7" s="13"/>
    </row>
    <row r="8" spans="1:25" s="3" customFormat="1" hidden="1" outlineLevel="1" x14ac:dyDescent="0.25">
      <c r="A8" s="2">
        <f>ROW(DIARIO[[#This Row],[Nombre de Cuenta]])-1</f>
        <v>7</v>
      </c>
      <c r="B8" s="2"/>
      <c r="C8" s="12" t="s">
        <v>50</v>
      </c>
      <c r="D8" s="2">
        <f>VLOOKUP(C8,CATALOGO[],2,FALSE)</f>
        <v>6</v>
      </c>
      <c r="E8" s="12" t="str">
        <f>VLOOKUP(DIARIO[[#This Row],[Objeto de Gasto]],CATALOGO[],3,FALSE)</f>
        <v>11600 Complementos</v>
      </c>
      <c r="F8" s="12"/>
      <c r="G8" s="12" t="s">
        <v>30</v>
      </c>
      <c r="H8" s="2"/>
      <c r="I8" s="8"/>
      <c r="J8" s="2"/>
      <c r="K8" s="8"/>
      <c r="L8" s="2"/>
      <c r="M8" s="8"/>
      <c r="N8" s="13">
        <v>9312952</v>
      </c>
      <c r="O8" s="13"/>
      <c r="P8" s="2">
        <f t="shared" si="0"/>
        <v>9312952</v>
      </c>
      <c r="Q8" s="2" t="s">
        <v>30</v>
      </c>
      <c r="R8" s="38"/>
      <c r="S8" s="12"/>
      <c r="T8" s="13"/>
    </row>
    <row r="9" spans="1:25" s="3" customFormat="1" hidden="1" outlineLevel="1" x14ac:dyDescent="0.25">
      <c r="A9" s="2">
        <f>ROW(DIARIO[[#This Row],[Nombre de Cuenta]])-1</f>
        <v>8</v>
      </c>
      <c r="B9" s="2"/>
      <c r="C9" s="12" t="s">
        <v>55</v>
      </c>
      <c r="D9" s="2">
        <f>VLOOKUP(C9,CATALOGO[],2,FALSE)</f>
        <v>7</v>
      </c>
      <c r="E9" s="12" t="str">
        <f>VLOOKUP(DIARIO[[#This Row],[Objeto de Gasto]],CATALOGO[],3,FALSE)</f>
        <v>11710 Contribuciones Al Injupemp</v>
      </c>
      <c r="F9" s="12"/>
      <c r="G9" s="12" t="s">
        <v>30</v>
      </c>
      <c r="H9" s="2"/>
      <c r="I9" s="8"/>
      <c r="J9" s="2"/>
      <c r="K9" s="8"/>
      <c r="L9" s="2"/>
      <c r="M9" s="8"/>
      <c r="N9" s="13">
        <v>16204493</v>
      </c>
      <c r="O9" s="13"/>
      <c r="P9" s="2">
        <f t="shared" si="0"/>
        <v>16204493</v>
      </c>
      <c r="Q9" s="2" t="s">
        <v>30</v>
      </c>
      <c r="R9" s="38"/>
      <c r="S9" s="12"/>
      <c r="T9" s="13"/>
    </row>
    <row r="10" spans="1:25" s="3" customFormat="1" hidden="1" outlineLevel="1" x14ac:dyDescent="0.25">
      <c r="A10" s="2">
        <f>ROW(DIARIO[[#This Row],[Nombre de Cuenta]])-1</f>
        <v>9</v>
      </c>
      <c r="B10" s="2"/>
      <c r="C10" s="12" t="s">
        <v>60</v>
      </c>
      <c r="D10" s="2">
        <f>VLOOKUP(C10,CATALOGO[],2,FALSE)</f>
        <v>8</v>
      </c>
      <c r="E10" s="12" t="str">
        <f>VLOOKUP(DIARIO[[#This Row],[Objeto de Gasto]],CATALOGO[],3,FALSE)</f>
        <v>11750 Contribuciones Para El Seguro Social</v>
      </c>
      <c r="F10" s="12"/>
      <c r="G10" s="12" t="s">
        <v>30</v>
      </c>
      <c r="H10" s="2"/>
      <c r="I10" s="8"/>
      <c r="J10" s="2"/>
      <c r="K10" s="8"/>
      <c r="L10" s="2"/>
      <c r="M10" s="8"/>
      <c r="N10" s="13">
        <v>2526467</v>
      </c>
      <c r="O10" s="13"/>
      <c r="P10" s="2">
        <f t="shared" si="0"/>
        <v>2526467</v>
      </c>
      <c r="Q10" s="2" t="s">
        <v>30</v>
      </c>
      <c r="R10" s="38"/>
      <c r="S10" s="12"/>
      <c r="T10" s="13"/>
    </row>
    <row r="11" spans="1:25" s="3" customFormat="1" hidden="1" outlineLevel="1" x14ac:dyDescent="0.25">
      <c r="A11" s="2">
        <f>ROW(DIARIO[[#This Row],[Nombre de Cuenta]])-1</f>
        <v>10</v>
      </c>
      <c r="B11" s="2"/>
      <c r="C11" s="12" t="s">
        <v>65</v>
      </c>
      <c r="D11" s="2">
        <f>VLOOKUP(C11,CATALOGO[],2,FALSE)</f>
        <v>9</v>
      </c>
      <c r="E11" s="12" t="str">
        <f>VLOOKUP(DIARIO[[#This Row],[Objeto de Gasto]],CATALOGO[],3,FALSE)</f>
        <v>12100 Sueldos Basicos</v>
      </c>
      <c r="F11" s="12"/>
      <c r="G11" s="12" t="s">
        <v>30</v>
      </c>
      <c r="H11" s="2"/>
      <c r="I11" s="8"/>
      <c r="J11" s="2"/>
      <c r="K11" s="8"/>
      <c r="L11" s="2"/>
      <c r="M11" s="8"/>
      <c r="N11" s="13">
        <v>22643465.449999999</v>
      </c>
      <c r="O11" s="13"/>
      <c r="P11" s="2">
        <f t="shared" si="0"/>
        <v>22643465.449999999</v>
      </c>
      <c r="Q11" s="2" t="s">
        <v>30</v>
      </c>
      <c r="R11" s="38"/>
      <c r="S11" s="12"/>
      <c r="T11" s="13"/>
    </row>
    <row r="12" spans="1:25" s="3" customFormat="1" hidden="1" outlineLevel="1" x14ac:dyDescent="0.25">
      <c r="A12" s="2">
        <f>ROW(DIARIO[[#This Row],[Nombre de Cuenta]])-1</f>
        <v>11</v>
      </c>
      <c r="B12" s="2"/>
      <c r="C12" s="12" t="s">
        <v>68</v>
      </c>
      <c r="D12" s="2">
        <f>VLOOKUP(C12,CATALOGO[],2,FALSE)</f>
        <v>9</v>
      </c>
      <c r="E12" s="12" t="str">
        <f>VLOOKUP(DIARIO[[#This Row],[Objeto de Gasto]],CATALOGO[],3,FALSE)</f>
        <v>12100 Sueldos Basicos</v>
      </c>
      <c r="F12" s="12"/>
      <c r="G12" s="12" t="s">
        <v>30</v>
      </c>
      <c r="H12" s="2"/>
      <c r="I12" s="8"/>
      <c r="J12" s="2"/>
      <c r="K12" s="8"/>
      <c r="L12" s="2"/>
      <c r="M12" s="8"/>
      <c r="N12" s="13">
        <v>33492707.07</v>
      </c>
      <c r="O12" s="13"/>
      <c r="P12" s="2">
        <f t="shared" si="0"/>
        <v>33492707.07</v>
      </c>
      <c r="Q12" s="2" t="s">
        <v>30</v>
      </c>
      <c r="R12" s="38"/>
      <c r="S12" s="12"/>
      <c r="T12" s="13"/>
    </row>
    <row r="13" spans="1:25" s="3" customFormat="1" hidden="1" outlineLevel="1" x14ac:dyDescent="0.25">
      <c r="A13" s="2">
        <f>ROW(DIARIO[[#This Row],[Nombre de Cuenta]])-1</f>
        <v>12</v>
      </c>
      <c r="B13" s="2"/>
      <c r="C13" s="12" t="s">
        <v>391</v>
      </c>
      <c r="D13" s="2">
        <f>VLOOKUP(C13,CATALOGO[],2,FALSE)</f>
        <v>9</v>
      </c>
      <c r="E13" s="12" t="str">
        <f>VLOOKUP(DIARIO[[#This Row],[Objeto de Gasto]],CATALOGO[],3,FALSE)</f>
        <v>12100 Sueldos Basicos</v>
      </c>
      <c r="F13" s="12"/>
      <c r="G13" s="12" t="s">
        <v>30</v>
      </c>
      <c r="H13" s="2"/>
      <c r="I13" s="8"/>
      <c r="J13" s="2"/>
      <c r="K13" s="8"/>
      <c r="L13" s="2"/>
      <c r="M13" s="8"/>
      <c r="N13" s="13">
        <v>22525775.140000001</v>
      </c>
      <c r="O13" s="13"/>
      <c r="P13" s="2">
        <f t="shared" ref="P13:P23" si="1">N13-O13</f>
        <v>22525775.140000001</v>
      </c>
      <c r="Q13" s="2" t="s">
        <v>30</v>
      </c>
      <c r="R13" s="38"/>
      <c r="S13" s="12"/>
      <c r="T13" s="13"/>
    </row>
    <row r="14" spans="1:25" s="3" customFormat="1" hidden="1" outlineLevel="1" x14ac:dyDescent="0.25">
      <c r="A14" s="2">
        <f>ROW(DIARIO[[#This Row],[Nombre de Cuenta]])-1</f>
        <v>13</v>
      </c>
      <c r="B14" s="2"/>
      <c r="C14" s="12" t="s">
        <v>69</v>
      </c>
      <c r="D14" s="2">
        <f>VLOOKUP(C14,CATALOGO[],2,FALSE)</f>
        <v>9</v>
      </c>
      <c r="E14" s="12" t="str">
        <f>VLOOKUP(DIARIO[[#This Row],[Objeto de Gasto]],CATALOGO[],3,FALSE)</f>
        <v>12100 Sueldos Basicos</v>
      </c>
      <c r="F14" s="12"/>
      <c r="G14" s="12" t="s">
        <v>30</v>
      </c>
      <c r="H14" s="2"/>
      <c r="I14" s="8"/>
      <c r="J14" s="2"/>
      <c r="K14" s="8"/>
      <c r="L14" s="2"/>
      <c r="M14" s="8"/>
      <c r="N14" s="13">
        <v>22419428.34</v>
      </c>
      <c r="O14" s="13"/>
      <c r="P14" s="2">
        <f t="shared" si="1"/>
        <v>22419428.34</v>
      </c>
      <c r="Q14" s="2" t="s">
        <v>30</v>
      </c>
      <c r="R14" s="38"/>
      <c r="S14" s="12"/>
      <c r="T14" s="13"/>
    </row>
    <row r="15" spans="1:25" s="3" customFormat="1" hidden="1" outlineLevel="1" x14ac:dyDescent="0.25">
      <c r="A15" s="2">
        <f>ROW(DIARIO[[#This Row],[Nombre de Cuenta]])-1</f>
        <v>14</v>
      </c>
      <c r="B15" s="2"/>
      <c r="C15" s="12" t="s">
        <v>70</v>
      </c>
      <c r="D15" s="2">
        <f>VLOOKUP(C15,CATALOGO[],2,FALSE)</f>
        <v>10</v>
      </c>
      <c r="E15" s="12" t="str">
        <f>VLOOKUP(DIARIO[[#This Row],[Objeto de Gasto]],CATALOGO[],3,FALSE)</f>
        <v>12410 Decimotercer Mes</v>
      </c>
      <c r="F15" s="12"/>
      <c r="G15" s="12" t="s">
        <v>30</v>
      </c>
      <c r="H15" s="2"/>
      <c r="I15" s="8"/>
      <c r="J15" s="2"/>
      <c r="K15" s="8"/>
      <c r="L15" s="2"/>
      <c r="M15" s="8"/>
      <c r="N15" s="13">
        <v>685218.46</v>
      </c>
      <c r="O15" s="13"/>
      <c r="P15" s="2">
        <f t="shared" si="1"/>
        <v>685218.46</v>
      </c>
      <c r="Q15" s="2" t="s">
        <v>30</v>
      </c>
      <c r="R15" s="38"/>
      <c r="S15" s="12"/>
      <c r="T15" s="13"/>
    </row>
    <row r="16" spans="1:25" s="3" customFormat="1" hidden="1" outlineLevel="1" x14ac:dyDescent="0.25">
      <c r="A16" s="2">
        <f>ROW(DIARIO[[#This Row],[Nombre de Cuenta]])-1</f>
        <v>15</v>
      </c>
      <c r="B16" s="2"/>
      <c r="C16" s="12" t="s">
        <v>73</v>
      </c>
      <c r="D16" s="2">
        <f>VLOOKUP(C16,CATALOGO[],2,FALSE)</f>
        <v>10</v>
      </c>
      <c r="E16" s="12" t="str">
        <f>VLOOKUP(DIARIO[[#This Row],[Objeto de Gasto]],CATALOGO[],3,FALSE)</f>
        <v>12410 Decimotercer Mes</v>
      </c>
      <c r="F16" s="12"/>
      <c r="G16" s="12" t="s">
        <v>30</v>
      </c>
      <c r="H16" s="2"/>
      <c r="I16" s="8"/>
      <c r="J16" s="2"/>
      <c r="K16" s="8"/>
      <c r="L16" s="2"/>
      <c r="M16" s="8"/>
      <c r="N16" s="13">
        <v>3920756.92</v>
      </c>
      <c r="O16" s="13"/>
      <c r="P16" s="2">
        <f t="shared" si="1"/>
        <v>3920756.92</v>
      </c>
      <c r="Q16" s="2" t="s">
        <v>30</v>
      </c>
      <c r="R16" s="38"/>
      <c r="S16" s="12"/>
      <c r="T16" s="13"/>
    </row>
    <row r="17" spans="1:20" s="3" customFormat="1" hidden="1" outlineLevel="1" x14ac:dyDescent="0.25">
      <c r="A17" s="2">
        <f>ROW(DIARIO[[#This Row],[Nombre de Cuenta]])-1</f>
        <v>16</v>
      </c>
      <c r="B17" s="2"/>
      <c r="C17" s="12" t="s">
        <v>392</v>
      </c>
      <c r="D17" s="2">
        <f>VLOOKUP(C17,CATALOGO[],2,FALSE)</f>
        <v>10</v>
      </c>
      <c r="E17" s="12" t="str">
        <f>VLOOKUP(DIARIO[[#This Row],[Objeto de Gasto]],CATALOGO[],3,FALSE)</f>
        <v>12410 Decimotercer Mes</v>
      </c>
      <c r="F17" s="12"/>
      <c r="G17" s="12" t="s">
        <v>30</v>
      </c>
      <c r="H17" s="2"/>
      <c r="I17" s="8"/>
      <c r="J17" s="2"/>
      <c r="K17" s="8"/>
      <c r="L17" s="2"/>
      <c r="M17" s="8"/>
      <c r="N17" s="13">
        <v>2177469.39</v>
      </c>
      <c r="O17" s="13"/>
      <c r="P17" s="2">
        <f t="shared" si="1"/>
        <v>2177469.39</v>
      </c>
      <c r="Q17" s="2" t="s">
        <v>30</v>
      </c>
      <c r="R17" s="38"/>
      <c r="S17" s="12"/>
      <c r="T17" s="13"/>
    </row>
    <row r="18" spans="1:20" s="3" customFormat="1" hidden="1" outlineLevel="1" x14ac:dyDescent="0.25">
      <c r="A18" s="2">
        <f>ROW(DIARIO[[#This Row],[Nombre de Cuenta]])-1</f>
        <v>17</v>
      </c>
      <c r="B18" s="2"/>
      <c r="C18" s="12" t="s">
        <v>74</v>
      </c>
      <c r="D18" s="2">
        <f>VLOOKUP(C18,CATALOGO[],2,FALSE)</f>
        <v>10</v>
      </c>
      <c r="E18" s="12" t="str">
        <f>VLOOKUP(DIARIO[[#This Row],[Objeto de Gasto]],CATALOGO[],3,FALSE)</f>
        <v>12410 Decimotercer Mes</v>
      </c>
      <c r="F18" s="12"/>
      <c r="G18" s="12" t="s">
        <v>30</v>
      </c>
      <c r="H18" s="2"/>
      <c r="I18" s="8"/>
      <c r="J18" s="2"/>
      <c r="K18" s="8"/>
      <c r="L18" s="2"/>
      <c r="M18" s="8"/>
      <c r="N18" s="13">
        <v>1640003.23</v>
      </c>
      <c r="O18" s="13"/>
      <c r="P18" s="2">
        <f t="shared" si="1"/>
        <v>1640003.23</v>
      </c>
      <c r="Q18" s="2" t="s">
        <v>30</v>
      </c>
      <c r="R18" s="38"/>
      <c r="S18" s="12"/>
      <c r="T18" s="13"/>
    </row>
    <row r="19" spans="1:20" s="3" customFormat="1" hidden="1" outlineLevel="1" x14ac:dyDescent="0.25">
      <c r="A19" s="2">
        <f>ROW(DIARIO[[#This Row],[Nombre de Cuenta]])-1</f>
        <v>18</v>
      </c>
      <c r="B19" s="2"/>
      <c r="C19" s="12" t="s">
        <v>75</v>
      </c>
      <c r="D19" s="2">
        <f>VLOOKUP(C19,CATALOGO[],2,FALSE)</f>
        <v>11</v>
      </c>
      <c r="E19" s="12" t="str">
        <f>VLOOKUP(DIARIO[[#This Row],[Objeto de Gasto]],CATALOGO[],3,FALSE)</f>
        <v>12420 Decimocuarto Mes</v>
      </c>
      <c r="F19" s="12"/>
      <c r="G19" s="12" t="s">
        <v>30</v>
      </c>
      <c r="H19" s="2"/>
      <c r="I19" s="8"/>
      <c r="J19" s="2"/>
      <c r="K19" s="8"/>
      <c r="L19" s="2"/>
      <c r="M19" s="8"/>
      <c r="N19" s="13">
        <v>685218.46</v>
      </c>
      <c r="O19" s="13"/>
      <c r="P19" s="2">
        <f t="shared" si="1"/>
        <v>685218.46</v>
      </c>
      <c r="Q19" s="2" t="s">
        <v>30</v>
      </c>
      <c r="R19" s="38"/>
      <c r="S19" s="12"/>
      <c r="T19" s="13"/>
    </row>
    <row r="20" spans="1:20" s="3" customFormat="1" hidden="1" outlineLevel="1" x14ac:dyDescent="0.25">
      <c r="A20" s="2">
        <f>ROW(DIARIO[[#This Row],[Nombre de Cuenta]])-1</f>
        <v>19</v>
      </c>
      <c r="B20" s="2"/>
      <c r="C20" s="12" t="s">
        <v>78</v>
      </c>
      <c r="D20" s="2">
        <f>VLOOKUP(C20,CATALOGO[],2,FALSE)</f>
        <v>11</v>
      </c>
      <c r="E20" s="12" t="str">
        <f>VLOOKUP(DIARIO[[#This Row],[Objeto de Gasto]],CATALOGO[],3,FALSE)</f>
        <v>12420 Decimocuarto Mes</v>
      </c>
      <c r="F20" s="12"/>
      <c r="G20" s="12" t="s">
        <v>30</v>
      </c>
      <c r="H20" s="2"/>
      <c r="I20" s="8"/>
      <c r="J20" s="2"/>
      <c r="K20" s="8"/>
      <c r="L20" s="2"/>
      <c r="M20" s="8"/>
      <c r="N20" s="13">
        <v>3920756.92</v>
      </c>
      <c r="O20" s="13"/>
      <c r="P20" s="2">
        <f t="shared" si="1"/>
        <v>3920756.92</v>
      </c>
      <c r="Q20" s="2" t="s">
        <v>30</v>
      </c>
      <c r="R20" s="38"/>
      <c r="S20" s="12"/>
      <c r="T20" s="13"/>
    </row>
    <row r="21" spans="1:20" s="3" customFormat="1" hidden="1" outlineLevel="1" x14ac:dyDescent="0.25">
      <c r="A21" s="2">
        <f>ROW(DIARIO[[#This Row],[Nombre de Cuenta]])-1</f>
        <v>20</v>
      </c>
      <c r="B21" s="2"/>
      <c r="C21" s="12" t="s">
        <v>393</v>
      </c>
      <c r="D21" s="2">
        <f>VLOOKUP(C21,CATALOGO[],2,FALSE)</f>
        <v>11</v>
      </c>
      <c r="E21" s="12" t="str">
        <f>VLOOKUP(DIARIO[[#This Row],[Objeto de Gasto]],CATALOGO[],3,FALSE)</f>
        <v>12420 Decimocuarto Mes</v>
      </c>
      <c r="F21" s="12"/>
      <c r="G21" s="12" t="s">
        <v>30</v>
      </c>
      <c r="H21" s="2"/>
      <c r="I21" s="8"/>
      <c r="J21" s="2"/>
      <c r="K21" s="8"/>
      <c r="L21" s="2"/>
      <c r="M21" s="8"/>
      <c r="N21" s="13">
        <v>2177469.39</v>
      </c>
      <c r="O21" s="13"/>
      <c r="P21" s="2">
        <f t="shared" si="1"/>
        <v>2177469.39</v>
      </c>
      <c r="Q21" s="2" t="s">
        <v>30</v>
      </c>
      <c r="R21" s="38"/>
      <c r="S21" s="12"/>
      <c r="T21" s="13"/>
    </row>
    <row r="22" spans="1:20" s="3" customFormat="1" hidden="1" outlineLevel="1" x14ac:dyDescent="0.25">
      <c r="A22" s="2">
        <f>ROW(DIARIO[[#This Row],[Nombre de Cuenta]])-1</f>
        <v>21</v>
      </c>
      <c r="B22" s="2"/>
      <c r="C22" s="12" t="s">
        <v>79</v>
      </c>
      <c r="D22" s="2">
        <f>VLOOKUP(C22,CATALOGO[],2,FALSE)</f>
        <v>11</v>
      </c>
      <c r="E22" s="12" t="str">
        <f>VLOOKUP(DIARIO[[#This Row],[Objeto de Gasto]],CATALOGO[],3,FALSE)</f>
        <v>12420 Decimocuarto Mes</v>
      </c>
      <c r="F22" s="12"/>
      <c r="G22" s="12" t="s">
        <v>30</v>
      </c>
      <c r="H22" s="2"/>
      <c r="I22" s="8"/>
      <c r="J22" s="2"/>
      <c r="K22" s="8"/>
      <c r="L22" s="2"/>
      <c r="M22" s="8"/>
      <c r="N22" s="13">
        <v>1640003.23</v>
      </c>
      <c r="O22" s="13"/>
      <c r="P22" s="2">
        <f t="shared" si="1"/>
        <v>1640003.23</v>
      </c>
      <c r="Q22" s="2" t="s">
        <v>30</v>
      </c>
      <c r="R22" s="38"/>
      <c r="S22" s="12"/>
      <c r="T22" s="13"/>
    </row>
    <row r="23" spans="1:20" s="3" customFormat="1" hidden="1" outlineLevel="1" x14ac:dyDescent="0.25">
      <c r="A23" s="2">
        <f>ROW(DIARIO[[#This Row],[Nombre de Cuenta]])-1</f>
        <v>22</v>
      </c>
      <c r="B23" s="2"/>
      <c r="C23" s="12" t="s">
        <v>80</v>
      </c>
      <c r="D23" s="2">
        <f>VLOOKUP(C23,CATALOGO[],2,FALSE)</f>
        <v>12</v>
      </c>
      <c r="E23" s="12" t="str">
        <f>VLOOKUP(DIARIO[[#This Row],[Objeto de Gasto]],CATALOGO[],3,FALSE)</f>
        <v>12550 Contribuciones Para El Seguro Social</v>
      </c>
      <c r="F23" s="12"/>
      <c r="G23" s="12" t="s">
        <v>30</v>
      </c>
      <c r="H23" s="2"/>
      <c r="I23" s="8"/>
      <c r="J23" s="2"/>
      <c r="K23" s="8"/>
      <c r="L23" s="2"/>
      <c r="M23" s="8"/>
      <c r="N23" s="13">
        <v>628804.94999999995</v>
      </c>
      <c r="O23" s="13"/>
      <c r="P23" s="2">
        <f t="shared" si="1"/>
        <v>628804.94999999995</v>
      </c>
      <c r="Q23" s="2" t="s">
        <v>30</v>
      </c>
      <c r="R23" s="38"/>
      <c r="S23" s="12"/>
      <c r="T23" s="13"/>
    </row>
    <row r="24" spans="1:20" s="3" customFormat="1" hidden="1" outlineLevel="1" x14ac:dyDescent="0.25">
      <c r="A24" s="2">
        <f>ROW(DIARIO[[#This Row],[Nombre de Cuenta]])-1</f>
        <v>23</v>
      </c>
      <c r="B24" s="2"/>
      <c r="C24" s="12" t="s">
        <v>83</v>
      </c>
      <c r="D24" s="2">
        <f>VLOOKUP(C24,CATALOGO[],2,FALSE)</f>
        <v>12</v>
      </c>
      <c r="E24" s="12" t="str">
        <f>VLOOKUP(DIARIO[[#This Row],[Objeto de Gasto]],CATALOGO[],3,FALSE)</f>
        <v>12550 Contribuciones Para El Seguro Social</v>
      </c>
      <c r="F24" s="12"/>
      <c r="G24" s="12" t="s">
        <v>30</v>
      </c>
      <c r="H24" s="2"/>
      <c r="I24" s="8"/>
      <c r="J24" s="2"/>
      <c r="K24" s="8"/>
      <c r="L24" s="2"/>
      <c r="M24" s="8"/>
      <c r="N24" s="13">
        <v>1344618.4</v>
      </c>
      <c r="O24" s="13"/>
      <c r="P24" s="2">
        <f t="shared" ref="P24:P34" si="2">N24-O24</f>
        <v>1344618.4</v>
      </c>
      <c r="Q24" s="2" t="s">
        <v>30</v>
      </c>
      <c r="R24" s="38"/>
      <c r="S24" s="12"/>
      <c r="T24" s="13"/>
    </row>
    <row r="25" spans="1:20" s="3" customFormat="1" hidden="1" outlineLevel="1" x14ac:dyDescent="0.25">
      <c r="A25" s="2">
        <f>ROW(DIARIO[[#This Row],[Nombre de Cuenta]])-1</f>
        <v>24</v>
      </c>
      <c r="B25" s="2"/>
      <c r="C25" s="12" t="s">
        <v>394</v>
      </c>
      <c r="D25" s="2">
        <f>VLOOKUP(C25,CATALOGO[],2,FALSE)</f>
        <v>12</v>
      </c>
      <c r="E25" s="12" t="str">
        <f>VLOOKUP(DIARIO[[#This Row],[Objeto de Gasto]],CATALOGO[],3,FALSE)</f>
        <v>12550 Contribuciones Para El Seguro Social</v>
      </c>
      <c r="F25" s="12"/>
      <c r="G25" s="12" t="s">
        <v>30</v>
      </c>
      <c r="H25" s="2"/>
      <c r="I25" s="8"/>
      <c r="J25" s="2"/>
      <c r="K25" s="8"/>
      <c r="L25" s="2"/>
      <c r="M25" s="8"/>
      <c r="N25" s="13">
        <v>2636506.65</v>
      </c>
      <c r="O25" s="13"/>
      <c r="P25" s="2">
        <f t="shared" si="2"/>
        <v>2636506.65</v>
      </c>
      <c r="Q25" s="2" t="s">
        <v>30</v>
      </c>
      <c r="R25" s="38"/>
      <c r="S25" s="12"/>
      <c r="T25" s="13"/>
    </row>
    <row r="26" spans="1:20" s="3" customFormat="1" hidden="1" outlineLevel="1" x14ac:dyDescent="0.25">
      <c r="A26" s="2">
        <f>ROW(DIARIO[[#This Row],[Nombre de Cuenta]])-1</f>
        <v>25</v>
      </c>
      <c r="B26" s="2"/>
      <c r="C26" s="12" t="s">
        <v>351</v>
      </c>
      <c r="D26" s="2">
        <f>VLOOKUP(C26,CATALOGO[],2,FALSE)</f>
        <v>63</v>
      </c>
      <c r="E26" s="12" t="str">
        <f>VLOOKUP(DIARIO[[#This Row],[Objeto de Gasto]],CATALOGO[],3,FALSE)</f>
        <v>14100 Horas Extraordinarias</v>
      </c>
      <c r="F26" s="12"/>
      <c r="G26" s="12" t="s">
        <v>30</v>
      </c>
      <c r="H26" s="2"/>
      <c r="I26" s="8"/>
      <c r="J26" s="2"/>
      <c r="K26" s="8"/>
      <c r="L26" s="2"/>
      <c r="M26" s="8"/>
      <c r="N26" s="13">
        <v>261508</v>
      </c>
      <c r="O26" s="13"/>
      <c r="P26" s="2">
        <f t="shared" si="2"/>
        <v>261508</v>
      </c>
      <c r="Q26" s="2" t="s">
        <v>30</v>
      </c>
      <c r="R26" s="38"/>
      <c r="S26" s="12"/>
      <c r="T26" s="13"/>
    </row>
    <row r="27" spans="1:20" s="3" customFormat="1" ht="30" hidden="1" outlineLevel="1" x14ac:dyDescent="0.25">
      <c r="A27" s="2">
        <f>ROW(DIARIO[[#This Row],[Nombre de Cuenta]])-1</f>
        <v>26</v>
      </c>
      <c r="B27" s="2"/>
      <c r="C27" s="12" t="s">
        <v>94</v>
      </c>
      <c r="D27" s="2">
        <f>VLOOKUP(C27,CATALOGO[],2,FALSE)</f>
        <v>14</v>
      </c>
      <c r="E27" s="12" t="str">
        <f>VLOOKUP(DIARIO[[#This Row],[Objeto de Gasto]],CATALOGO[],3,FALSE)</f>
        <v>23100 Mantenimiento Y Reparacion De Edificios Y Locales</v>
      </c>
      <c r="F27" s="12"/>
      <c r="G27" s="12" t="s">
        <v>30</v>
      </c>
      <c r="H27" s="2"/>
      <c r="I27" s="8"/>
      <c r="J27" s="2"/>
      <c r="K27" s="8"/>
      <c r="L27" s="2"/>
      <c r="M27" s="8"/>
      <c r="N27" s="13">
        <v>3498345</v>
      </c>
      <c r="O27" s="13"/>
      <c r="P27" s="2">
        <f t="shared" si="2"/>
        <v>3498345</v>
      </c>
      <c r="Q27" s="2" t="s">
        <v>30</v>
      </c>
      <c r="R27" s="38"/>
      <c r="S27" s="12"/>
      <c r="T27" s="13"/>
    </row>
    <row r="28" spans="1:20" s="3" customFormat="1" ht="30" hidden="1" outlineLevel="1" x14ac:dyDescent="0.25">
      <c r="A28" s="2">
        <f>ROW(DIARIO[[#This Row],[Nombre de Cuenta]])-1</f>
        <v>27</v>
      </c>
      <c r="B28" s="2"/>
      <c r="C28" s="12" t="s">
        <v>395</v>
      </c>
      <c r="D28" s="2">
        <f>VLOOKUP(C28,CATALOGO[],2,FALSE)</f>
        <v>14</v>
      </c>
      <c r="E28" s="12" t="str">
        <f>VLOOKUP(DIARIO[[#This Row],[Objeto de Gasto]],CATALOGO[],3,FALSE)</f>
        <v>23100 Mantenimiento Y Reparacion De Edificios Y Locales</v>
      </c>
      <c r="F28" s="12"/>
      <c r="G28" s="12" t="s">
        <v>30</v>
      </c>
      <c r="H28" s="2"/>
      <c r="I28" s="8"/>
      <c r="J28" s="2"/>
      <c r="K28" s="8"/>
      <c r="L28" s="2"/>
      <c r="M28" s="8"/>
      <c r="N28" s="13">
        <v>569656</v>
      </c>
      <c r="O28" s="13"/>
      <c r="P28" s="2">
        <f t="shared" si="2"/>
        <v>569656</v>
      </c>
      <c r="Q28" s="2" t="s">
        <v>30</v>
      </c>
      <c r="R28" s="38"/>
      <c r="S28" s="12"/>
      <c r="T28" s="13"/>
    </row>
    <row r="29" spans="1:20" s="3" customFormat="1" ht="30" hidden="1" outlineLevel="1" x14ac:dyDescent="0.25">
      <c r="A29" s="2">
        <f>ROW(DIARIO[[#This Row],[Nombre de Cuenta]])-1</f>
        <v>28</v>
      </c>
      <c r="B29" s="2"/>
      <c r="C29" s="12" t="s">
        <v>95</v>
      </c>
      <c r="D29" s="2">
        <f>VLOOKUP(C29,CATALOGO[],2,FALSE)</f>
        <v>14</v>
      </c>
      <c r="E29" s="12" t="str">
        <f>VLOOKUP(DIARIO[[#This Row],[Objeto de Gasto]],CATALOGO[],3,FALSE)</f>
        <v>23100 Mantenimiento Y Reparacion De Edificios Y Locales</v>
      </c>
      <c r="F29" s="12"/>
      <c r="G29" s="12" t="s">
        <v>30</v>
      </c>
      <c r="H29" s="2"/>
      <c r="I29" s="8"/>
      <c r="J29" s="2"/>
      <c r="K29" s="8"/>
      <c r="L29" s="2"/>
      <c r="M29" s="8"/>
      <c r="N29" s="13">
        <v>400000</v>
      </c>
      <c r="O29" s="13"/>
      <c r="P29" s="2">
        <f t="shared" si="2"/>
        <v>400000</v>
      </c>
      <c r="Q29" s="2" t="s">
        <v>30</v>
      </c>
      <c r="R29" s="38"/>
      <c r="S29" s="12"/>
      <c r="T29" s="13"/>
    </row>
    <row r="30" spans="1:20" s="3" customFormat="1" ht="30" hidden="1" outlineLevel="1" x14ac:dyDescent="0.25">
      <c r="A30" s="2">
        <f>ROW(DIARIO[[#This Row],[Nombre de Cuenta]])-1</f>
        <v>29</v>
      </c>
      <c r="B30" s="2"/>
      <c r="C30" s="12" t="s">
        <v>96</v>
      </c>
      <c r="D30" s="2">
        <f>VLOOKUP(C30,CATALOGO[],2,FALSE)</f>
        <v>15</v>
      </c>
      <c r="E30" s="12" t="str">
        <f>VLOOKUP(DIARIO[[#This Row],[Objeto de Gasto]],CATALOGO[],3,FALSE)</f>
        <v>23200 Mantenimiento Y Reparacion De Equipos Y Medios De Transporte Terrestre</v>
      </c>
      <c r="F30" s="12"/>
      <c r="G30" s="12" t="s">
        <v>30</v>
      </c>
      <c r="H30" s="2"/>
      <c r="I30" s="8"/>
      <c r="J30" s="2"/>
      <c r="K30" s="8"/>
      <c r="L30" s="2"/>
      <c r="M30" s="8"/>
      <c r="N30" s="13">
        <v>100000</v>
      </c>
      <c r="O30" s="13"/>
      <c r="P30" s="2">
        <f t="shared" si="2"/>
        <v>100000</v>
      </c>
      <c r="Q30" s="2" t="s">
        <v>30</v>
      </c>
      <c r="R30" s="38"/>
      <c r="S30" s="12"/>
      <c r="T30" s="13"/>
    </row>
    <row r="31" spans="1:20" s="3" customFormat="1" ht="30" hidden="1" outlineLevel="1" x14ac:dyDescent="0.25">
      <c r="A31" s="2">
        <f>ROW(DIARIO[[#This Row],[Nombre de Cuenta]])-1</f>
        <v>30</v>
      </c>
      <c r="B31" s="2"/>
      <c r="C31" s="12" t="s">
        <v>99</v>
      </c>
      <c r="D31" s="2">
        <f>VLOOKUP(C31,CATALOGO[],2,FALSE)</f>
        <v>15</v>
      </c>
      <c r="E31" s="12" t="str">
        <f>VLOOKUP(DIARIO[[#This Row],[Objeto de Gasto]],CATALOGO[],3,FALSE)</f>
        <v>23200 Mantenimiento Y Reparacion De Equipos Y Medios De Transporte Terrestre</v>
      </c>
      <c r="F31" s="12"/>
      <c r="G31" s="12" t="s">
        <v>30</v>
      </c>
      <c r="H31" s="2"/>
      <c r="I31" s="8"/>
      <c r="J31" s="2"/>
      <c r="K31" s="8"/>
      <c r="L31" s="2"/>
      <c r="M31" s="8"/>
      <c r="N31" s="13">
        <v>398000</v>
      </c>
      <c r="O31" s="13"/>
      <c r="P31" s="2">
        <f t="shared" si="2"/>
        <v>398000</v>
      </c>
      <c r="Q31" s="2" t="s">
        <v>30</v>
      </c>
      <c r="R31" s="38"/>
      <c r="S31" s="12"/>
      <c r="T31" s="13"/>
    </row>
    <row r="32" spans="1:20" s="3" customFormat="1" ht="30" hidden="1" outlineLevel="1" x14ac:dyDescent="0.25">
      <c r="A32" s="2">
        <f>ROW(DIARIO[[#This Row],[Nombre de Cuenta]])-1</f>
        <v>31</v>
      </c>
      <c r="B32" s="2"/>
      <c r="C32" s="12" t="s">
        <v>396</v>
      </c>
      <c r="D32" s="2">
        <f>VLOOKUP(C32,CATALOGO[],2,FALSE)</f>
        <v>15</v>
      </c>
      <c r="E32" s="12" t="str">
        <f>VLOOKUP(DIARIO[[#This Row],[Objeto de Gasto]],CATALOGO[],3,FALSE)</f>
        <v>23200 Mantenimiento Y Reparacion De Equipos Y Medios De Transporte Terrestre</v>
      </c>
      <c r="F32" s="12"/>
      <c r="G32" s="12" t="s">
        <v>30</v>
      </c>
      <c r="H32" s="2"/>
      <c r="I32" s="8"/>
      <c r="J32" s="2"/>
      <c r="K32" s="8"/>
      <c r="L32" s="2"/>
      <c r="M32" s="8"/>
      <c r="N32" s="13">
        <v>709780</v>
      </c>
      <c r="O32" s="13"/>
      <c r="P32" s="2">
        <f t="shared" si="2"/>
        <v>709780</v>
      </c>
      <c r="Q32" s="2" t="s">
        <v>30</v>
      </c>
      <c r="R32" s="38"/>
      <c r="S32" s="12"/>
      <c r="T32" s="13"/>
    </row>
    <row r="33" spans="1:20" s="3" customFormat="1" ht="30" hidden="1" outlineLevel="1" x14ac:dyDescent="0.25">
      <c r="A33" s="2">
        <f>ROW(DIARIO[[#This Row],[Nombre de Cuenta]])-1</f>
        <v>32</v>
      </c>
      <c r="B33" s="2"/>
      <c r="C33" s="12" t="s">
        <v>100</v>
      </c>
      <c r="D33" s="2">
        <f>VLOOKUP(C33,CATALOGO[],2,FALSE)</f>
        <v>15</v>
      </c>
      <c r="E33" s="12" t="str">
        <f>VLOOKUP(DIARIO[[#This Row],[Objeto de Gasto]],CATALOGO[],3,FALSE)</f>
        <v>23200 Mantenimiento Y Reparacion De Equipos Y Medios De Transporte Terrestre</v>
      </c>
      <c r="F33" s="12"/>
      <c r="G33" s="12" t="s">
        <v>30</v>
      </c>
      <c r="H33" s="2"/>
      <c r="I33" s="8"/>
      <c r="J33" s="2"/>
      <c r="K33" s="8"/>
      <c r="L33" s="2"/>
      <c r="M33" s="8"/>
      <c r="N33" s="13">
        <v>300000</v>
      </c>
      <c r="O33" s="13"/>
      <c r="P33" s="2">
        <f t="shared" si="2"/>
        <v>300000</v>
      </c>
      <c r="Q33" s="2" t="s">
        <v>30</v>
      </c>
      <c r="R33" s="38"/>
      <c r="S33" s="12"/>
      <c r="T33" s="13"/>
    </row>
    <row r="34" spans="1:20" s="3" customFormat="1" ht="30" hidden="1" outlineLevel="1" x14ac:dyDescent="0.25">
      <c r="A34" s="2">
        <f>ROW(DIARIO[[#This Row],[Nombre de Cuenta]])-1</f>
        <v>33</v>
      </c>
      <c r="B34" s="2"/>
      <c r="C34" s="12" t="s">
        <v>104</v>
      </c>
      <c r="D34" s="2">
        <f>VLOOKUP(C34,CATALOGO[],2,FALSE)</f>
        <v>16</v>
      </c>
      <c r="E34" s="12" t="str">
        <f>VLOOKUP(DIARIO[[#This Row],[Objeto de Gasto]],CATALOGO[],3,FALSE)</f>
        <v xml:space="preserve">23330 Mantenimiento Y Reparacion De Equipos Sanitarios Y Laboratorio </v>
      </c>
      <c r="F34" s="12"/>
      <c r="G34" s="12" t="s">
        <v>30</v>
      </c>
      <c r="H34" s="2"/>
      <c r="I34" s="8"/>
      <c r="J34" s="2"/>
      <c r="K34" s="8"/>
      <c r="L34" s="2"/>
      <c r="M34" s="8"/>
      <c r="N34" s="13">
        <v>306000</v>
      </c>
      <c r="O34" s="13"/>
      <c r="P34" s="2">
        <f t="shared" si="2"/>
        <v>306000</v>
      </c>
      <c r="Q34" s="2" t="s">
        <v>30</v>
      </c>
      <c r="R34" s="38"/>
      <c r="S34" s="12"/>
      <c r="T34" s="13"/>
    </row>
    <row r="35" spans="1:20" s="3" customFormat="1" ht="30" hidden="1" outlineLevel="1" x14ac:dyDescent="0.25">
      <c r="A35" s="2">
        <f>ROW(DIARIO[[#This Row],[Nombre de Cuenta]])-1</f>
        <v>34</v>
      </c>
      <c r="B35" s="2"/>
      <c r="C35" s="12" t="s">
        <v>105</v>
      </c>
      <c r="D35" s="2">
        <f>VLOOKUP(C35,CATALOGO[],2,FALSE)</f>
        <v>16</v>
      </c>
      <c r="E35" s="12" t="str">
        <f>VLOOKUP(DIARIO[[#This Row],[Objeto de Gasto]],CATALOGO[],3,FALSE)</f>
        <v xml:space="preserve">23330 Mantenimiento Y Reparacion De Equipos Sanitarios Y Laboratorio </v>
      </c>
      <c r="F35" s="12"/>
      <c r="G35" s="12" t="s">
        <v>30</v>
      </c>
      <c r="H35" s="2"/>
      <c r="I35" s="8"/>
      <c r="J35" s="2"/>
      <c r="K35" s="8"/>
      <c r="L35" s="2"/>
      <c r="M35" s="8"/>
      <c r="N35" s="13">
        <v>900000</v>
      </c>
      <c r="O35" s="13"/>
      <c r="P35" s="2">
        <f t="shared" ref="P35:P62" si="3">N35-O35</f>
        <v>900000</v>
      </c>
      <c r="Q35" s="2" t="s">
        <v>30</v>
      </c>
      <c r="R35" s="38"/>
      <c r="S35" s="12"/>
      <c r="T35" s="13"/>
    </row>
    <row r="36" spans="1:20" s="3" customFormat="1" ht="30" hidden="1" outlineLevel="1" x14ac:dyDescent="0.25">
      <c r="A36" s="2">
        <f>ROW(DIARIO[[#This Row],[Nombre de Cuenta]])-1</f>
        <v>35</v>
      </c>
      <c r="B36" s="2"/>
      <c r="C36" s="12" t="s">
        <v>109</v>
      </c>
      <c r="D36" s="2">
        <f>VLOOKUP(C36,CATALOGO[],2,FALSE)</f>
        <v>17</v>
      </c>
      <c r="E36" s="12" t="str">
        <f>VLOOKUP(DIARIO[[#This Row],[Objeto de Gasto]],CATALOGO[],3,FALSE)</f>
        <v>23350 Mantenimiento Y Reparación De Equipo De Computación</v>
      </c>
      <c r="F36" s="12"/>
      <c r="G36" s="12" t="s">
        <v>30</v>
      </c>
      <c r="H36" s="2"/>
      <c r="I36" s="8"/>
      <c r="J36" s="2"/>
      <c r="K36" s="8"/>
      <c r="L36" s="2"/>
      <c r="M36" s="8"/>
      <c r="N36" s="13">
        <v>108610</v>
      </c>
      <c r="O36" s="13"/>
      <c r="P36" s="2">
        <f t="shared" si="3"/>
        <v>108610</v>
      </c>
      <c r="Q36" s="2" t="s">
        <v>30</v>
      </c>
      <c r="R36" s="38"/>
      <c r="S36" s="12"/>
      <c r="T36" s="13"/>
    </row>
    <row r="37" spans="1:20" s="3" customFormat="1" ht="30" hidden="1" outlineLevel="1" x14ac:dyDescent="0.25">
      <c r="A37" s="2">
        <f>ROW(DIARIO[[#This Row],[Nombre de Cuenta]])-1</f>
        <v>36</v>
      </c>
      <c r="B37" s="2"/>
      <c r="C37" s="12" t="s">
        <v>397</v>
      </c>
      <c r="D37" s="2">
        <f>VLOOKUP(C37,CATALOGO[],2,FALSE)</f>
        <v>17</v>
      </c>
      <c r="E37" s="12" t="str">
        <f>VLOOKUP(DIARIO[[#This Row],[Objeto de Gasto]],CATALOGO[],3,FALSE)</f>
        <v>23350 Mantenimiento Y Reparación De Equipo De Computación</v>
      </c>
      <c r="F37" s="12"/>
      <c r="G37" s="12" t="s">
        <v>30</v>
      </c>
      <c r="H37" s="2"/>
      <c r="I37" s="8"/>
      <c r="J37" s="2"/>
      <c r="K37" s="8"/>
      <c r="L37" s="2"/>
      <c r="M37" s="8"/>
      <c r="N37" s="13">
        <v>20209</v>
      </c>
      <c r="O37" s="13"/>
      <c r="P37" s="2">
        <f t="shared" si="3"/>
        <v>20209</v>
      </c>
      <c r="Q37" s="2" t="s">
        <v>30</v>
      </c>
      <c r="R37" s="38"/>
      <c r="S37" s="12"/>
      <c r="T37" s="13"/>
    </row>
    <row r="38" spans="1:20" s="3" customFormat="1" hidden="1" outlineLevel="1" x14ac:dyDescent="0.25">
      <c r="A38" s="2">
        <f>ROW(DIARIO[[#This Row],[Nombre de Cuenta]])-1</f>
        <v>37</v>
      </c>
      <c r="B38" s="2"/>
      <c r="C38" s="12" t="s">
        <v>124</v>
      </c>
      <c r="D38" s="2">
        <f>VLOOKUP(C38,CATALOGO[],2,FALSE)</f>
        <v>20</v>
      </c>
      <c r="E38" s="12" t="str">
        <f>VLOOKUP(DIARIO[[#This Row],[Objeto de Gasto]],CATALOGO[],3,FALSE)</f>
        <v>25100 Servicios De Transporte</v>
      </c>
      <c r="F38" s="12"/>
      <c r="G38" s="12" t="s">
        <v>30</v>
      </c>
      <c r="H38" s="2"/>
      <c r="I38" s="8"/>
      <c r="J38" s="2"/>
      <c r="K38" s="8"/>
      <c r="L38" s="2"/>
      <c r="M38" s="8"/>
      <c r="N38" s="13">
        <v>27773</v>
      </c>
      <c r="O38" s="13"/>
      <c r="P38" s="2">
        <f t="shared" si="3"/>
        <v>27773</v>
      </c>
      <c r="Q38" s="2" t="s">
        <v>30</v>
      </c>
      <c r="R38" s="38"/>
      <c r="S38" s="12"/>
      <c r="T38" s="13"/>
    </row>
    <row r="39" spans="1:20" s="3" customFormat="1" hidden="1" outlineLevel="1" x14ac:dyDescent="0.25">
      <c r="A39" s="2">
        <f>ROW(DIARIO[[#This Row],[Nombre de Cuenta]])-1</f>
        <v>38</v>
      </c>
      <c r="B39" s="2"/>
      <c r="C39" s="12" t="s">
        <v>398</v>
      </c>
      <c r="D39" s="2">
        <f>VLOOKUP(C39,CATALOGO[],2,FALSE)</f>
        <v>20</v>
      </c>
      <c r="E39" s="12" t="str">
        <f>VLOOKUP(DIARIO[[#This Row],[Objeto de Gasto]],CATALOGO[],3,FALSE)</f>
        <v>25100 Servicios De Transporte</v>
      </c>
      <c r="F39" s="12"/>
      <c r="G39" s="12" t="s">
        <v>30</v>
      </c>
      <c r="H39" s="2"/>
      <c r="I39" s="8"/>
      <c r="J39" s="2"/>
      <c r="K39" s="8"/>
      <c r="L39" s="2"/>
      <c r="M39" s="8"/>
      <c r="N39" s="13">
        <v>100000</v>
      </c>
      <c r="O39" s="13"/>
      <c r="P39" s="2">
        <f t="shared" si="3"/>
        <v>100000</v>
      </c>
      <c r="Q39" s="2" t="s">
        <v>30</v>
      </c>
      <c r="R39" s="38"/>
      <c r="S39" s="12"/>
      <c r="T39" s="13"/>
    </row>
    <row r="40" spans="1:20" s="3" customFormat="1" hidden="1" outlineLevel="1" x14ac:dyDescent="0.25">
      <c r="A40" s="2">
        <f>ROW(DIARIO[[#This Row],[Nombre de Cuenta]])-1</f>
        <v>39</v>
      </c>
      <c r="B40" s="2"/>
      <c r="C40" s="12" t="s">
        <v>125</v>
      </c>
      <c r="D40" s="2">
        <f>VLOOKUP(C40,CATALOGO[],2,FALSE)</f>
        <v>20</v>
      </c>
      <c r="E40" s="12" t="str">
        <f>VLOOKUP(DIARIO[[#This Row],[Objeto de Gasto]],CATALOGO[],3,FALSE)</f>
        <v>25100 Servicios De Transporte</v>
      </c>
      <c r="F40" s="12"/>
      <c r="G40" s="12" t="s">
        <v>30</v>
      </c>
      <c r="H40" s="2"/>
      <c r="I40" s="8"/>
      <c r="J40" s="2"/>
      <c r="K40" s="8"/>
      <c r="L40" s="2"/>
      <c r="M40" s="8"/>
      <c r="N40" s="13">
        <v>198779</v>
      </c>
      <c r="O40" s="13"/>
      <c r="P40" s="2">
        <f t="shared" si="3"/>
        <v>198779</v>
      </c>
      <c r="Q40" s="2" t="s">
        <v>30</v>
      </c>
      <c r="R40" s="38"/>
      <c r="S40" s="12"/>
      <c r="T40" s="13"/>
    </row>
    <row r="41" spans="1:20" s="3" customFormat="1" hidden="1" outlineLevel="1" x14ac:dyDescent="0.25">
      <c r="A41" s="2">
        <f>ROW(DIARIO[[#This Row],[Nombre de Cuenta]])-1</f>
        <v>40</v>
      </c>
      <c r="B41" s="2"/>
      <c r="C41" s="12" t="s">
        <v>139</v>
      </c>
      <c r="D41" s="2">
        <f>VLOOKUP(C41,CATALOGO[],2,FALSE)</f>
        <v>23</v>
      </c>
      <c r="E41" s="12" t="str">
        <f>VLOOKUP(DIARIO[[#This Row],[Objeto de Gasto]],CATALOGO[],3,FALSE)</f>
        <v xml:space="preserve">25700 Servicio De Internet  </v>
      </c>
      <c r="F41" s="12"/>
      <c r="G41" s="12" t="s">
        <v>30</v>
      </c>
      <c r="H41" s="2"/>
      <c r="I41" s="8"/>
      <c r="J41" s="2"/>
      <c r="K41" s="8"/>
      <c r="L41" s="2"/>
      <c r="M41" s="8"/>
      <c r="N41" s="13">
        <v>92480</v>
      </c>
      <c r="O41" s="13"/>
      <c r="P41" s="2">
        <f t="shared" si="3"/>
        <v>92480</v>
      </c>
      <c r="Q41" s="2" t="s">
        <v>30</v>
      </c>
      <c r="R41" s="38"/>
      <c r="S41" s="12"/>
      <c r="T41" s="13"/>
    </row>
    <row r="42" spans="1:20" s="3" customFormat="1" hidden="1" outlineLevel="1" x14ac:dyDescent="0.25">
      <c r="A42" s="2">
        <f>ROW(DIARIO[[#This Row],[Nombre de Cuenta]])-1</f>
        <v>41</v>
      </c>
      <c r="B42" s="2"/>
      <c r="C42" s="12" t="s">
        <v>141</v>
      </c>
      <c r="D42" s="2">
        <f>VLOOKUP(C42,CATALOGO[],2,FALSE)</f>
        <v>24</v>
      </c>
      <c r="E42" s="12" t="str">
        <f>VLOOKUP(DIARIO[[#This Row],[Objeto de Gasto]],CATALOGO[],3,FALSE)</f>
        <v>26110 Pasajes  Nacionales</v>
      </c>
      <c r="F42" s="12"/>
      <c r="G42" s="12" t="s">
        <v>30</v>
      </c>
      <c r="H42" s="2"/>
      <c r="I42" s="8"/>
      <c r="J42" s="2"/>
      <c r="K42" s="8"/>
      <c r="L42" s="2"/>
      <c r="M42" s="8"/>
      <c r="N42" s="13">
        <v>100044</v>
      </c>
      <c r="O42" s="13"/>
      <c r="P42" s="2">
        <f t="shared" si="3"/>
        <v>100044</v>
      </c>
      <c r="Q42" s="2" t="s">
        <v>30</v>
      </c>
      <c r="R42" s="38"/>
      <c r="S42" s="12"/>
      <c r="T42" s="13"/>
    </row>
    <row r="43" spans="1:20" s="3" customFormat="1" hidden="1" outlineLevel="1" x14ac:dyDescent="0.25">
      <c r="A43" s="2">
        <f>ROW(DIARIO[[#This Row],[Nombre de Cuenta]])-1</f>
        <v>42</v>
      </c>
      <c r="B43" s="2"/>
      <c r="C43" s="12" t="s">
        <v>144</v>
      </c>
      <c r="D43" s="2">
        <f>VLOOKUP(C43,CATALOGO[],2,FALSE)</f>
        <v>24</v>
      </c>
      <c r="E43" s="12" t="str">
        <f>VLOOKUP(DIARIO[[#This Row],[Objeto de Gasto]],CATALOGO[],3,FALSE)</f>
        <v>26110 Pasajes  Nacionales</v>
      </c>
      <c r="F43" s="12"/>
      <c r="G43" s="12" t="s">
        <v>30</v>
      </c>
      <c r="H43" s="2"/>
      <c r="I43" s="8"/>
      <c r="J43" s="2"/>
      <c r="K43" s="8"/>
      <c r="L43" s="2"/>
      <c r="M43" s="8"/>
      <c r="N43" s="13">
        <v>254000</v>
      </c>
      <c r="O43" s="13"/>
      <c r="P43" s="2">
        <f t="shared" si="3"/>
        <v>254000</v>
      </c>
      <c r="Q43" s="2" t="s">
        <v>30</v>
      </c>
      <c r="R43" s="38"/>
      <c r="S43" s="12"/>
      <c r="T43" s="13"/>
    </row>
    <row r="44" spans="1:20" s="3" customFormat="1" hidden="1" outlineLevel="1" x14ac:dyDescent="0.25">
      <c r="A44" s="2">
        <f>ROW(DIARIO[[#This Row],[Nombre de Cuenta]])-1</f>
        <v>43</v>
      </c>
      <c r="B44" s="2"/>
      <c r="C44" s="12" t="s">
        <v>399</v>
      </c>
      <c r="D44" s="2">
        <f>VLOOKUP(C44,CATALOGO[],2,FALSE)</f>
        <v>24</v>
      </c>
      <c r="E44" s="12" t="str">
        <f>VLOOKUP(DIARIO[[#This Row],[Objeto de Gasto]],CATALOGO[],3,FALSE)</f>
        <v>26110 Pasajes  Nacionales</v>
      </c>
      <c r="F44" s="12"/>
      <c r="G44" s="12" t="s">
        <v>30</v>
      </c>
      <c r="H44" s="2"/>
      <c r="I44" s="8"/>
      <c r="J44" s="2"/>
      <c r="K44" s="8"/>
      <c r="L44" s="2"/>
      <c r="M44" s="8"/>
      <c r="N44" s="13">
        <v>520000</v>
      </c>
      <c r="O44" s="13"/>
      <c r="P44" s="2">
        <f t="shared" si="3"/>
        <v>520000</v>
      </c>
      <c r="Q44" s="2" t="s">
        <v>30</v>
      </c>
      <c r="R44" s="38"/>
      <c r="S44" s="12"/>
      <c r="T44" s="13"/>
    </row>
    <row r="45" spans="1:20" s="3" customFormat="1" hidden="1" outlineLevel="1" x14ac:dyDescent="0.25">
      <c r="A45" s="2">
        <f>ROW(DIARIO[[#This Row],[Nombre de Cuenta]])-1</f>
        <v>44</v>
      </c>
      <c r="B45" s="2"/>
      <c r="C45" s="12" t="s">
        <v>145</v>
      </c>
      <c r="D45" s="2">
        <f>VLOOKUP(C45,CATALOGO[],2,FALSE)</f>
        <v>24</v>
      </c>
      <c r="E45" s="12" t="str">
        <f>VLOOKUP(DIARIO[[#This Row],[Objeto de Gasto]],CATALOGO[],3,FALSE)</f>
        <v>26110 Pasajes  Nacionales</v>
      </c>
      <c r="F45" s="12"/>
      <c r="G45" s="12" t="s">
        <v>30</v>
      </c>
      <c r="H45" s="2"/>
      <c r="I45" s="8"/>
      <c r="J45" s="2"/>
      <c r="K45" s="8"/>
      <c r="L45" s="2"/>
      <c r="M45" s="8"/>
      <c r="N45" s="13">
        <v>252000</v>
      </c>
      <c r="O45" s="13"/>
      <c r="P45" s="2">
        <f t="shared" si="3"/>
        <v>252000</v>
      </c>
      <c r="Q45" s="2" t="s">
        <v>30</v>
      </c>
      <c r="R45" s="38"/>
      <c r="S45" s="12"/>
      <c r="T45" s="13"/>
    </row>
    <row r="46" spans="1:20" s="3" customFormat="1" hidden="1" outlineLevel="1" x14ac:dyDescent="0.25">
      <c r="A46" s="2">
        <f>ROW(DIARIO[[#This Row],[Nombre de Cuenta]])-1</f>
        <v>45</v>
      </c>
      <c r="B46" s="2"/>
      <c r="C46" s="12" t="s">
        <v>356</v>
      </c>
      <c r="D46" s="2">
        <f>VLOOKUP(C46,CATALOGO[],2,FALSE)</f>
        <v>64</v>
      </c>
      <c r="E46" s="12" t="str">
        <f>VLOOKUP(DIARIO[[#This Row],[Objeto de Gasto]],CATALOGO[],3,FALSE)</f>
        <v>26120 Pasajes Al Exterior</v>
      </c>
      <c r="F46" s="12"/>
      <c r="G46" s="12" t="s">
        <v>30</v>
      </c>
      <c r="H46" s="2"/>
      <c r="I46" s="8"/>
      <c r="J46" s="2"/>
      <c r="K46" s="8"/>
      <c r="L46" s="2"/>
      <c r="M46" s="8"/>
      <c r="N46" s="13">
        <v>279464</v>
      </c>
      <c r="O46" s="13"/>
      <c r="P46" s="14">
        <f t="shared" si="3"/>
        <v>279464</v>
      </c>
      <c r="Q46" s="2" t="s">
        <v>30</v>
      </c>
      <c r="R46" s="38"/>
      <c r="S46" s="12"/>
      <c r="T46" s="13"/>
    </row>
    <row r="47" spans="1:20" s="3" customFormat="1" hidden="1" outlineLevel="1" x14ac:dyDescent="0.25">
      <c r="A47" s="2">
        <f>ROW(DIARIO[[#This Row],[Nombre de Cuenta]])-1</f>
        <v>46</v>
      </c>
      <c r="B47" s="2"/>
      <c r="C47" s="12" t="s">
        <v>146</v>
      </c>
      <c r="D47" s="2">
        <f>VLOOKUP(C47,CATALOGO[],2,FALSE)</f>
        <v>25</v>
      </c>
      <c r="E47" s="12" t="str">
        <f>VLOOKUP(DIARIO[[#This Row],[Objeto de Gasto]],CATALOGO[],3,FALSE)</f>
        <v>26210 Viaticos Nacionales</v>
      </c>
      <c r="F47" s="12"/>
      <c r="G47" s="12" t="s">
        <v>30</v>
      </c>
      <c r="H47" s="2"/>
      <c r="I47" s="8"/>
      <c r="J47" s="2"/>
      <c r="K47" s="8"/>
      <c r="L47" s="2"/>
      <c r="M47" s="8"/>
      <c r="N47" s="13">
        <v>586872</v>
      </c>
      <c r="O47" s="13"/>
      <c r="P47" s="14">
        <f t="shared" si="3"/>
        <v>586872</v>
      </c>
      <c r="Q47" s="2" t="s">
        <v>30</v>
      </c>
      <c r="R47" s="38"/>
      <c r="S47" s="12"/>
      <c r="T47" s="13"/>
    </row>
    <row r="48" spans="1:20" s="3" customFormat="1" hidden="1" outlineLevel="1" x14ac:dyDescent="0.25">
      <c r="A48" s="2">
        <f>ROW(DIARIO[[#This Row],[Nombre de Cuenta]])-1</f>
        <v>47</v>
      </c>
      <c r="B48" s="2"/>
      <c r="C48" s="12" t="s">
        <v>149</v>
      </c>
      <c r="D48" s="2">
        <f>VLOOKUP(C48,CATALOGO[],2,FALSE)</f>
        <v>25</v>
      </c>
      <c r="E48" s="12" t="str">
        <f>VLOOKUP(DIARIO[[#This Row],[Objeto de Gasto]],CATALOGO[],3,FALSE)</f>
        <v>26210 Viaticos Nacionales</v>
      </c>
      <c r="F48" s="12"/>
      <c r="G48" s="12" t="s">
        <v>30</v>
      </c>
      <c r="H48" s="2"/>
      <c r="I48" s="8"/>
      <c r="J48" s="2"/>
      <c r="K48" s="8"/>
      <c r="L48" s="2"/>
      <c r="M48" s="8"/>
      <c r="N48" s="13">
        <v>268514</v>
      </c>
      <c r="O48" s="13"/>
      <c r="P48" s="14">
        <f t="shared" si="3"/>
        <v>268514</v>
      </c>
      <c r="Q48" s="2" t="s">
        <v>30</v>
      </c>
      <c r="R48" s="38"/>
      <c r="S48" s="12"/>
      <c r="T48" s="13"/>
    </row>
    <row r="49" spans="1:20" s="3" customFormat="1" hidden="1" outlineLevel="1" x14ac:dyDescent="0.25">
      <c r="A49" s="2">
        <f>ROW(DIARIO[[#This Row],[Nombre de Cuenta]])-1</f>
        <v>48</v>
      </c>
      <c r="B49" s="2"/>
      <c r="C49" s="12" t="s">
        <v>400</v>
      </c>
      <c r="D49" s="2">
        <f>VLOOKUP(C49,CATALOGO[],2,FALSE)</f>
        <v>25</v>
      </c>
      <c r="E49" s="12" t="str">
        <f>VLOOKUP(DIARIO[[#This Row],[Objeto de Gasto]],CATALOGO[],3,FALSE)</f>
        <v>26210 Viaticos Nacionales</v>
      </c>
      <c r="F49" s="12"/>
      <c r="G49" s="12" t="s">
        <v>30</v>
      </c>
      <c r="H49" s="2"/>
      <c r="I49" s="8"/>
      <c r="J49" s="2"/>
      <c r="K49" s="8"/>
      <c r="L49" s="2"/>
      <c r="M49" s="8"/>
      <c r="N49" s="13">
        <v>688200</v>
      </c>
      <c r="O49" s="13"/>
      <c r="P49" s="14">
        <f t="shared" si="3"/>
        <v>688200</v>
      </c>
      <c r="Q49" s="2" t="s">
        <v>30</v>
      </c>
      <c r="R49" s="38"/>
      <c r="S49" s="12"/>
      <c r="T49" s="13"/>
    </row>
    <row r="50" spans="1:20" s="3" customFormat="1" hidden="1" outlineLevel="1" x14ac:dyDescent="0.25">
      <c r="A50" s="2">
        <f>ROW(DIARIO[[#This Row],[Nombre de Cuenta]])-1</f>
        <v>49</v>
      </c>
      <c r="B50" s="2"/>
      <c r="C50" s="12" t="s">
        <v>150</v>
      </c>
      <c r="D50" s="2">
        <f>VLOOKUP(C50,CATALOGO[],2,FALSE)</f>
        <v>25</v>
      </c>
      <c r="E50" s="12" t="str">
        <f>VLOOKUP(DIARIO[[#This Row],[Objeto de Gasto]],CATALOGO[],3,FALSE)</f>
        <v>26210 Viaticos Nacionales</v>
      </c>
      <c r="F50" s="12"/>
      <c r="G50" s="12" t="s">
        <v>30</v>
      </c>
      <c r="H50" s="2"/>
      <c r="I50" s="8"/>
      <c r="J50" s="2"/>
      <c r="K50" s="8"/>
      <c r="L50" s="2"/>
      <c r="M50" s="8"/>
      <c r="N50" s="13">
        <v>1273677</v>
      </c>
      <c r="O50" s="13"/>
      <c r="P50" s="14">
        <f t="shared" si="3"/>
        <v>1273677</v>
      </c>
      <c r="Q50" s="2" t="s">
        <v>30</v>
      </c>
      <c r="R50" s="38"/>
      <c r="S50" s="12"/>
      <c r="T50" s="13"/>
    </row>
    <row r="51" spans="1:20" s="3" customFormat="1" hidden="1" outlineLevel="1" x14ac:dyDescent="0.25">
      <c r="A51" s="2">
        <f>ROW(DIARIO[[#This Row],[Nombre de Cuenta]])-1</f>
        <v>50</v>
      </c>
      <c r="B51" s="2"/>
      <c r="C51" s="12" t="s">
        <v>361</v>
      </c>
      <c r="D51" s="2">
        <f>VLOOKUP(C51,CATALOGO[],2,FALSE)</f>
        <v>65</v>
      </c>
      <c r="E51" s="12" t="str">
        <f>VLOOKUP(DIARIO[[#This Row],[Objeto de Gasto]],CATALOGO[],3,FALSE)</f>
        <v>26220 Viáticos Al Exterior</v>
      </c>
      <c r="F51" s="12"/>
      <c r="G51" s="12" t="s">
        <v>30</v>
      </c>
      <c r="H51" s="2"/>
      <c r="I51" s="8"/>
      <c r="J51" s="2"/>
      <c r="K51" s="8"/>
      <c r="L51" s="2"/>
      <c r="M51" s="8"/>
      <c r="N51" s="13">
        <v>331874</v>
      </c>
      <c r="O51" s="13"/>
      <c r="P51" s="14">
        <f t="shared" si="3"/>
        <v>331874</v>
      </c>
      <c r="Q51" s="2" t="s">
        <v>30</v>
      </c>
      <c r="R51" s="38"/>
      <c r="S51" s="12"/>
      <c r="T51" s="13"/>
    </row>
    <row r="52" spans="1:20" s="3" customFormat="1" hidden="1" outlineLevel="1" x14ac:dyDescent="0.25">
      <c r="A52" s="2">
        <f>ROW(DIARIO[[#This Row],[Nombre de Cuenta]])-1</f>
        <v>51</v>
      </c>
      <c r="B52" s="2"/>
      <c r="C52" s="12" t="s">
        <v>159</v>
      </c>
      <c r="D52" s="2">
        <f>VLOOKUP(C52,CATALOGO[],2,FALSE)</f>
        <v>27</v>
      </c>
      <c r="E52" s="12" t="str">
        <f>VLOOKUP(DIARIO[[#This Row],[Objeto de Gasto]],CATALOGO[],3,FALSE)</f>
        <v>29100 Ceremonial Y Protocolo</v>
      </c>
      <c r="F52" s="12"/>
      <c r="G52" s="12" t="s">
        <v>30</v>
      </c>
      <c r="H52" s="2"/>
      <c r="I52" s="8"/>
      <c r="J52" s="2"/>
      <c r="K52" s="8"/>
      <c r="L52" s="2"/>
      <c r="M52" s="8"/>
      <c r="N52" s="13">
        <v>1773236</v>
      </c>
      <c r="O52" s="13"/>
      <c r="P52" s="14">
        <f t="shared" si="3"/>
        <v>1773236</v>
      </c>
      <c r="Q52" s="2" t="s">
        <v>30</v>
      </c>
      <c r="R52" s="38"/>
      <c r="S52" s="12"/>
      <c r="T52" s="13"/>
    </row>
    <row r="53" spans="1:20" s="3" customFormat="1" hidden="1" outlineLevel="1" x14ac:dyDescent="0.25">
      <c r="A53" s="2">
        <f>ROW(DIARIO[[#This Row],[Nombre de Cuenta]])-1</f>
        <v>52</v>
      </c>
      <c r="B53" s="2"/>
      <c r="C53" s="12" t="s">
        <v>160</v>
      </c>
      <c r="D53" s="2">
        <f>VLOOKUP(C53,CATALOGO[],2,FALSE)</f>
        <v>27</v>
      </c>
      <c r="E53" s="12" t="str">
        <f>VLOOKUP(DIARIO[[#This Row],[Objeto de Gasto]],CATALOGO[],3,FALSE)</f>
        <v>29100 Ceremonial Y Protocolo</v>
      </c>
      <c r="F53" s="12"/>
      <c r="G53" s="12" t="s">
        <v>30</v>
      </c>
      <c r="H53" s="2"/>
      <c r="I53" s="8"/>
      <c r="J53" s="2"/>
      <c r="K53" s="8"/>
      <c r="L53" s="2"/>
      <c r="M53" s="8"/>
      <c r="N53" s="13">
        <v>219164</v>
      </c>
      <c r="O53" s="13"/>
      <c r="P53" s="14">
        <f t="shared" si="3"/>
        <v>219164</v>
      </c>
      <c r="Q53" s="2" t="s">
        <v>30</v>
      </c>
      <c r="R53" s="38"/>
      <c r="S53" s="12"/>
      <c r="T53" s="13"/>
    </row>
    <row r="54" spans="1:20" s="3" customFormat="1" hidden="1" outlineLevel="1" x14ac:dyDescent="0.25">
      <c r="A54" s="2">
        <f>ROW(DIARIO[[#This Row],[Nombre de Cuenta]])-1</f>
        <v>53</v>
      </c>
      <c r="B54" s="2"/>
      <c r="C54" s="12" t="s">
        <v>167</v>
      </c>
      <c r="D54" s="2">
        <f>VLOOKUP(C54,CATALOGO[],2,FALSE)</f>
        <v>29</v>
      </c>
      <c r="E54" s="12" t="str">
        <f>VLOOKUP(DIARIO[[#This Row],[Objeto de Gasto]],CATALOGO[],3,FALSE)</f>
        <v>31110 Productos Alimenticios Y Bebidas</v>
      </c>
      <c r="F54" s="12"/>
      <c r="G54" s="12" t="s">
        <v>30</v>
      </c>
      <c r="H54" s="2"/>
      <c r="I54" s="8"/>
      <c r="J54" s="2"/>
      <c r="K54" s="8"/>
      <c r="L54" s="2"/>
      <c r="M54" s="8"/>
      <c r="N54" s="13">
        <v>80278</v>
      </c>
      <c r="O54" s="13"/>
      <c r="P54" s="14">
        <f t="shared" si="3"/>
        <v>80278</v>
      </c>
      <c r="Q54" s="2" t="s">
        <v>30</v>
      </c>
      <c r="R54" s="38"/>
      <c r="S54" s="12"/>
      <c r="T54" s="13"/>
    </row>
    <row r="55" spans="1:20" s="3" customFormat="1" hidden="1" outlineLevel="1" x14ac:dyDescent="0.25">
      <c r="A55" s="2">
        <f>ROW(DIARIO[[#This Row],[Nombre de Cuenta]])-1</f>
        <v>54</v>
      </c>
      <c r="B55" s="2"/>
      <c r="C55" s="12" t="s">
        <v>170</v>
      </c>
      <c r="D55" s="2">
        <f>VLOOKUP(C55,CATALOGO[],2,FALSE)</f>
        <v>29</v>
      </c>
      <c r="E55" s="12" t="str">
        <f>VLOOKUP(DIARIO[[#This Row],[Objeto de Gasto]],CATALOGO[],3,FALSE)</f>
        <v>31110 Productos Alimenticios Y Bebidas</v>
      </c>
      <c r="F55" s="12"/>
      <c r="G55" s="12" t="s">
        <v>30</v>
      </c>
      <c r="H55" s="2"/>
      <c r="I55" s="8"/>
      <c r="J55" s="2"/>
      <c r="K55" s="8"/>
      <c r="L55" s="2"/>
      <c r="M55" s="8"/>
      <c r="N55" s="13">
        <v>6465825</v>
      </c>
      <c r="O55" s="13"/>
      <c r="P55" s="14">
        <f t="shared" si="3"/>
        <v>6465825</v>
      </c>
      <c r="Q55" s="2" t="s">
        <v>30</v>
      </c>
      <c r="R55" s="38"/>
      <c r="S55" s="12"/>
      <c r="T55" s="13"/>
    </row>
    <row r="56" spans="1:20" s="3" customFormat="1" hidden="1" outlineLevel="1" x14ac:dyDescent="0.25">
      <c r="A56" s="2">
        <f>ROW(DIARIO[[#This Row],[Nombre de Cuenta]])-1</f>
        <v>55</v>
      </c>
      <c r="B56" s="2"/>
      <c r="C56" s="12" t="s">
        <v>401</v>
      </c>
      <c r="D56" s="2">
        <f>VLOOKUP(C56,CATALOGO[],2,FALSE)</f>
        <v>29</v>
      </c>
      <c r="E56" s="12" t="str">
        <f>VLOOKUP(DIARIO[[#This Row],[Objeto de Gasto]],CATALOGO[],3,FALSE)</f>
        <v>31110 Productos Alimenticios Y Bebidas</v>
      </c>
      <c r="F56" s="12"/>
      <c r="G56" s="12" t="s">
        <v>30</v>
      </c>
      <c r="H56" s="2"/>
      <c r="I56" s="8"/>
      <c r="J56" s="2"/>
      <c r="K56" s="8"/>
      <c r="L56" s="2"/>
      <c r="M56" s="8"/>
      <c r="N56" s="13">
        <v>150000</v>
      </c>
      <c r="O56" s="13"/>
      <c r="P56" s="14">
        <f t="shared" si="3"/>
        <v>150000</v>
      </c>
      <c r="Q56" s="2" t="s">
        <v>30</v>
      </c>
      <c r="R56" s="38"/>
      <c r="S56" s="12"/>
      <c r="T56" s="13"/>
    </row>
    <row r="57" spans="1:20" s="3" customFormat="1" hidden="1" outlineLevel="1" x14ac:dyDescent="0.25">
      <c r="A57" s="2">
        <f>ROW(DIARIO[[#This Row],[Nombre de Cuenta]])-1</f>
        <v>56</v>
      </c>
      <c r="B57" s="2"/>
      <c r="C57" s="12" t="s">
        <v>171</v>
      </c>
      <c r="D57" s="2">
        <f>VLOOKUP(C57,CATALOGO[],2,FALSE)</f>
        <v>29</v>
      </c>
      <c r="E57" s="12" t="str">
        <f>VLOOKUP(DIARIO[[#This Row],[Objeto de Gasto]],CATALOGO[],3,FALSE)</f>
        <v>31110 Productos Alimenticios Y Bebidas</v>
      </c>
      <c r="F57" s="12"/>
      <c r="G57" s="12" t="s">
        <v>30</v>
      </c>
      <c r="H57" s="2"/>
      <c r="I57" s="8"/>
      <c r="J57" s="2"/>
      <c r="K57" s="8"/>
      <c r="L57" s="2"/>
      <c r="M57" s="8"/>
      <c r="N57" s="13">
        <v>802960</v>
      </c>
      <c r="O57" s="13"/>
      <c r="P57" s="14">
        <f t="shared" si="3"/>
        <v>802960</v>
      </c>
      <c r="Q57" s="2" t="s">
        <v>30</v>
      </c>
      <c r="R57" s="38"/>
      <c r="S57" s="12"/>
      <c r="T57" s="13"/>
    </row>
    <row r="58" spans="1:20" s="3" customFormat="1" hidden="1" outlineLevel="1" x14ac:dyDescent="0.25">
      <c r="A58" s="2">
        <f>ROW(DIARIO[[#This Row],[Nombre de Cuenta]])-1</f>
        <v>57</v>
      </c>
      <c r="B58" s="2"/>
      <c r="C58" s="12" t="s">
        <v>180</v>
      </c>
      <c r="D58" s="2">
        <f>VLOOKUP(C58,CATALOGO[],2,FALSE)</f>
        <v>31</v>
      </c>
      <c r="E58" s="12" t="str">
        <f>VLOOKUP(DIARIO[[#This Row],[Objeto de Gasto]],CATALOGO[],3,FALSE)</f>
        <v>32310 Prendas De Vestir</v>
      </c>
      <c r="F58" s="12"/>
      <c r="G58" s="12" t="s">
        <v>30</v>
      </c>
      <c r="H58" s="2"/>
      <c r="I58" s="8"/>
      <c r="J58" s="2"/>
      <c r="K58" s="8"/>
      <c r="L58" s="2"/>
      <c r="M58" s="8"/>
      <c r="N58" s="13">
        <v>2657500</v>
      </c>
      <c r="O58" s="13"/>
      <c r="P58" s="14">
        <f t="shared" si="3"/>
        <v>2657500</v>
      </c>
      <c r="Q58" s="2" t="s">
        <v>30</v>
      </c>
      <c r="R58" s="38"/>
      <c r="S58" s="12"/>
      <c r="T58" s="13"/>
    </row>
    <row r="59" spans="1:20" s="3" customFormat="1" hidden="1" outlineLevel="1" x14ac:dyDescent="0.25">
      <c r="A59" s="2">
        <f>ROW(DIARIO[[#This Row],[Nombre de Cuenta]])-1</f>
        <v>58</v>
      </c>
      <c r="B59" s="2"/>
      <c r="C59" s="12" t="s">
        <v>402</v>
      </c>
      <c r="D59" s="2">
        <f>VLOOKUP(C59,CATALOGO[],2,FALSE)</f>
        <v>31</v>
      </c>
      <c r="E59" s="12" t="str">
        <f>VLOOKUP(DIARIO[[#This Row],[Objeto de Gasto]],CATALOGO[],3,FALSE)</f>
        <v>32310 Prendas De Vestir</v>
      </c>
      <c r="F59" s="12"/>
      <c r="G59" s="12" t="s">
        <v>30</v>
      </c>
      <c r="H59" s="2"/>
      <c r="I59" s="8"/>
      <c r="J59" s="2"/>
      <c r="K59" s="8"/>
      <c r="L59" s="2"/>
      <c r="M59" s="8"/>
      <c r="N59" s="13">
        <v>1331518</v>
      </c>
      <c r="O59" s="13"/>
      <c r="P59" s="14">
        <f t="shared" si="3"/>
        <v>1331518</v>
      </c>
      <c r="Q59" s="2" t="s">
        <v>30</v>
      </c>
      <c r="R59" s="38"/>
      <c r="S59" s="12"/>
      <c r="T59" s="13"/>
    </row>
    <row r="60" spans="1:20" s="3" customFormat="1" hidden="1" outlineLevel="1" x14ac:dyDescent="0.25">
      <c r="A60" s="2">
        <f>ROW(DIARIO[[#This Row],[Nombre de Cuenta]])-1</f>
        <v>59</v>
      </c>
      <c r="B60" s="2"/>
      <c r="C60" s="12" t="s">
        <v>181</v>
      </c>
      <c r="D60" s="2">
        <f>VLOOKUP(C60,CATALOGO[],2,FALSE)</f>
        <v>31</v>
      </c>
      <c r="E60" s="12" t="str">
        <f>VLOOKUP(DIARIO[[#This Row],[Objeto de Gasto]],CATALOGO[],3,FALSE)</f>
        <v>32310 Prendas De Vestir</v>
      </c>
      <c r="F60" s="12"/>
      <c r="G60" s="12" t="s">
        <v>30</v>
      </c>
      <c r="H60" s="2"/>
      <c r="I60" s="8"/>
      <c r="J60" s="2"/>
      <c r="K60" s="8"/>
      <c r="L60" s="2"/>
      <c r="M60" s="8"/>
      <c r="N60" s="13">
        <v>1950000</v>
      </c>
      <c r="O60" s="13"/>
      <c r="P60" s="14">
        <f t="shared" si="3"/>
        <v>1950000</v>
      </c>
      <c r="Q60" s="2" t="s">
        <v>30</v>
      </c>
      <c r="R60" s="38"/>
      <c r="S60" s="12"/>
      <c r="T60" s="13"/>
    </row>
    <row r="61" spans="1:20" s="3" customFormat="1" hidden="1" outlineLevel="1" x14ac:dyDescent="0.25">
      <c r="A61" s="2">
        <f>ROW(DIARIO[[#This Row],[Nombre de Cuenta]])-1</f>
        <v>60</v>
      </c>
      <c r="B61" s="2"/>
      <c r="C61" s="12" t="s">
        <v>403</v>
      </c>
      <c r="D61" s="2">
        <f>VLOOKUP(C61,CATALOGO[],2,FALSE)</f>
        <v>32</v>
      </c>
      <c r="E61" s="12" t="str">
        <f>VLOOKUP(DIARIO[[#This Row],[Objeto de Gasto]],CATALOGO[],3,FALSE)</f>
        <v>32400 Calzado</v>
      </c>
      <c r="F61" s="12"/>
      <c r="G61" s="12" t="s">
        <v>30</v>
      </c>
      <c r="H61" s="2"/>
      <c r="I61" s="8"/>
      <c r="J61" s="2"/>
      <c r="K61" s="8"/>
      <c r="L61" s="2"/>
      <c r="M61" s="8"/>
      <c r="N61" s="13">
        <v>151460</v>
      </c>
      <c r="O61" s="13"/>
      <c r="P61" s="14">
        <f t="shared" si="3"/>
        <v>151460</v>
      </c>
      <c r="Q61" s="2" t="s">
        <v>30</v>
      </c>
      <c r="R61" s="38"/>
      <c r="S61" s="12"/>
      <c r="T61" s="13"/>
    </row>
    <row r="62" spans="1:20" s="3" customFormat="1" hidden="1" outlineLevel="1" x14ac:dyDescent="0.25">
      <c r="A62" s="2">
        <f>ROW(DIARIO[[#This Row],[Nombre de Cuenta]])-1</f>
        <v>61</v>
      </c>
      <c r="B62" s="2"/>
      <c r="C62" s="12" t="s">
        <v>187</v>
      </c>
      <c r="D62" s="2">
        <f>VLOOKUP(C62,CATALOGO[],2,FALSE)</f>
        <v>33</v>
      </c>
      <c r="E62" s="12" t="str">
        <f>VLOOKUP(DIARIO[[#This Row],[Objeto de Gasto]],CATALOGO[],3,FALSE)</f>
        <v xml:space="preserve">33100 Productos De Papel Y Carton </v>
      </c>
      <c r="F62" s="12"/>
      <c r="G62" s="12" t="s">
        <v>30</v>
      </c>
      <c r="H62" s="2"/>
      <c r="I62" s="8"/>
      <c r="J62" s="2"/>
      <c r="K62" s="8"/>
      <c r="L62" s="2"/>
      <c r="M62" s="8"/>
      <c r="N62" s="13">
        <v>191265</v>
      </c>
      <c r="O62" s="13"/>
      <c r="P62" s="14">
        <f t="shared" si="3"/>
        <v>191265</v>
      </c>
      <c r="Q62" s="2" t="s">
        <v>30</v>
      </c>
      <c r="R62" s="38"/>
      <c r="S62" s="12"/>
      <c r="T62" s="13"/>
    </row>
    <row r="63" spans="1:20" s="3" customFormat="1" hidden="1" outlineLevel="1" x14ac:dyDescent="0.25">
      <c r="A63" s="2">
        <f>ROW(DIARIO[[#This Row],[Nombre de Cuenta]])-1</f>
        <v>62</v>
      </c>
      <c r="B63" s="2"/>
      <c r="C63" s="12" t="s">
        <v>190</v>
      </c>
      <c r="D63" s="2">
        <f>VLOOKUP(C63,CATALOGO[],2,FALSE)</f>
        <v>33</v>
      </c>
      <c r="E63" s="12" t="str">
        <f>VLOOKUP(DIARIO[[#This Row],[Objeto de Gasto]],CATALOGO[],3,FALSE)</f>
        <v xml:space="preserve">33100 Productos De Papel Y Carton </v>
      </c>
      <c r="F63" s="12"/>
      <c r="G63" s="12" t="s">
        <v>30</v>
      </c>
      <c r="H63" s="2"/>
      <c r="I63" s="8"/>
      <c r="J63" s="2"/>
      <c r="K63" s="8"/>
      <c r="L63" s="2"/>
      <c r="M63" s="8"/>
      <c r="N63" s="13">
        <v>100000</v>
      </c>
      <c r="O63" s="13"/>
      <c r="P63" s="14">
        <f t="shared" ref="P63:P64" si="4">N63-O63</f>
        <v>100000</v>
      </c>
      <c r="Q63" s="2" t="s">
        <v>30</v>
      </c>
      <c r="R63" s="38"/>
      <c r="S63" s="12"/>
      <c r="T63" s="13"/>
    </row>
    <row r="64" spans="1:20" s="3" customFormat="1" hidden="1" outlineLevel="1" x14ac:dyDescent="0.25">
      <c r="A64" s="2">
        <f>ROW(DIARIO[[#This Row],[Nombre de Cuenta]])-1</f>
        <v>63</v>
      </c>
      <c r="B64" s="2"/>
      <c r="C64" s="12" t="s">
        <v>404</v>
      </c>
      <c r="D64" s="2">
        <f>VLOOKUP(C64,CATALOGO[],2,FALSE)</f>
        <v>33</v>
      </c>
      <c r="E64" s="12" t="str">
        <f>VLOOKUP(DIARIO[[#This Row],[Objeto de Gasto]],CATALOGO[],3,FALSE)</f>
        <v xml:space="preserve">33100 Productos De Papel Y Carton </v>
      </c>
      <c r="F64" s="12"/>
      <c r="G64" s="12" t="s">
        <v>30</v>
      </c>
      <c r="H64" s="2"/>
      <c r="I64" s="8"/>
      <c r="J64" s="2"/>
      <c r="K64" s="8"/>
      <c r="L64" s="2"/>
      <c r="M64" s="8"/>
      <c r="N64" s="13">
        <v>96971</v>
      </c>
      <c r="O64" s="13"/>
      <c r="P64" s="14">
        <f t="shared" si="4"/>
        <v>96971</v>
      </c>
      <c r="Q64" s="2" t="s">
        <v>30</v>
      </c>
      <c r="R64" s="38"/>
      <c r="S64" s="12"/>
      <c r="T64" s="13"/>
    </row>
    <row r="65" spans="1:20" s="3" customFormat="1" hidden="1" outlineLevel="1" x14ac:dyDescent="0.25">
      <c r="A65" s="2">
        <f>ROW(DIARIO[[#This Row],[Nombre de Cuenta]])-1</f>
        <v>64</v>
      </c>
      <c r="B65" s="2"/>
      <c r="C65" s="12" t="s">
        <v>191</v>
      </c>
      <c r="D65" s="2">
        <f>VLOOKUP(C65,CATALOGO[],2,FALSE)</f>
        <v>33</v>
      </c>
      <c r="E65" s="12" t="str">
        <f>VLOOKUP(DIARIO[[#This Row],[Objeto de Gasto]],CATALOGO[],3,FALSE)</f>
        <v xml:space="preserve">33100 Productos De Papel Y Carton </v>
      </c>
      <c r="F65" s="12"/>
      <c r="G65" s="12" t="s">
        <v>30</v>
      </c>
      <c r="H65" s="2"/>
      <c r="I65" s="8"/>
      <c r="J65" s="2"/>
      <c r="K65" s="8"/>
      <c r="L65" s="2"/>
      <c r="M65" s="8"/>
      <c r="N65" s="13">
        <v>70000</v>
      </c>
      <c r="O65" s="13"/>
      <c r="P65" s="14">
        <f t="shared" ref="P65:P66" si="5">N65-O65</f>
        <v>70000</v>
      </c>
      <c r="Q65" s="2" t="s">
        <v>30</v>
      </c>
      <c r="R65" s="38"/>
      <c r="S65" s="12"/>
      <c r="T65" s="13"/>
    </row>
    <row r="66" spans="1:20" s="3" customFormat="1" hidden="1" outlineLevel="1" x14ac:dyDescent="0.25">
      <c r="A66" s="2">
        <f>ROW(DIARIO[[#This Row],[Nombre de Cuenta]])-1</f>
        <v>65</v>
      </c>
      <c r="B66" s="2"/>
      <c r="C66" s="12" t="s">
        <v>195</v>
      </c>
      <c r="D66" s="2">
        <f>VLOOKUP(C66,CATALOGO[],2,FALSE)</f>
        <v>34</v>
      </c>
      <c r="E66" s="12" t="str">
        <f>VLOOKUP(DIARIO[[#This Row],[Objeto de Gasto]],CATALOGO[],3,FALSE)</f>
        <v>33300 Productos De Artes Graficas</v>
      </c>
      <c r="F66" s="12"/>
      <c r="G66" s="12" t="s">
        <v>30</v>
      </c>
      <c r="H66" s="2"/>
      <c r="I66" s="8"/>
      <c r="J66" s="2"/>
      <c r="K66" s="8"/>
      <c r="L66" s="2"/>
      <c r="M66" s="8"/>
      <c r="N66" s="13">
        <v>2708000</v>
      </c>
      <c r="O66" s="13"/>
      <c r="P66" s="14">
        <f t="shared" si="5"/>
        <v>2708000</v>
      </c>
      <c r="Q66" s="2" t="s">
        <v>30</v>
      </c>
      <c r="R66" s="38"/>
      <c r="S66" s="12"/>
      <c r="T66" s="13"/>
    </row>
    <row r="67" spans="1:20" s="3" customFormat="1" hidden="1" outlineLevel="1" x14ac:dyDescent="0.25">
      <c r="A67" s="2">
        <f>ROW(DIARIO[[#This Row],[Nombre de Cuenta]])-1</f>
        <v>66</v>
      </c>
      <c r="B67" s="2"/>
      <c r="C67" s="12" t="s">
        <v>405</v>
      </c>
      <c r="D67" s="2">
        <f>VLOOKUP(C67,CATALOGO[],2,FALSE)</f>
        <v>34</v>
      </c>
      <c r="E67" s="12" t="str">
        <f>VLOOKUP(DIARIO[[#This Row],[Objeto de Gasto]],CATALOGO[],3,FALSE)</f>
        <v>33300 Productos De Artes Graficas</v>
      </c>
      <c r="F67" s="12"/>
      <c r="G67" s="12" t="s">
        <v>30</v>
      </c>
      <c r="H67" s="2"/>
      <c r="I67" s="8"/>
      <c r="J67" s="2"/>
      <c r="K67" s="8"/>
      <c r="L67" s="2"/>
      <c r="M67" s="8"/>
      <c r="N67" s="13">
        <v>959000</v>
      </c>
      <c r="O67" s="13"/>
      <c r="P67" s="14">
        <f t="shared" ref="P67:P68" si="6">N67-O67</f>
        <v>959000</v>
      </c>
      <c r="Q67" s="2" t="s">
        <v>30</v>
      </c>
      <c r="R67" s="38"/>
      <c r="S67" s="12"/>
      <c r="T67" s="13"/>
    </row>
    <row r="68" spans="1:20" s="3" customFormat="1" hidden="1" outlineLevel="1" x14ac:dyDescent="0.25">
      <c r="A68" s="2">
        <f>ROW(DIARIO[[#This Row],[Nombre de Cuenta]])-1</f>
        <v>67</v>
      </c>
      <c r="B68" s="2"/>
      <c r="C68" s="12" t="s">
        <v>196</v>
      </c>
      <c r="D68" s="2">
        <f>VLOOKUP(C68,CATALOGO[],2,FALSE)</f>
        <v>34</v>
      </c>
      <c r="E68" s="12" t="str">
        <f>VLOOKUP(DIARIO[[#This Row],[Objeto de Gasto]],CATALOGO[],3,FALSE)</f>
        <v>33300 Productos De Artes Graficas</v>
      </c>
      <c r="F68" s="12"/>
      <c r="G68" s="12" t="s">
        <v>30</v>
      </c>
      <c r="H68" s="2"/>
      <c r="I68" s="8"/>
      <c r="J68" s="2"/>
      <c r="K68" s="8"/>
      <c r="L68" s="2"/>
      <c r="M68" s="8"/>
      <c r="N68" s="13">
        <v>862584</v>
      </c>
      <c r="O68" s="13"/>
      <c r="P68" s="14">
        <f t="shared" si="6"/>
        <v>862584</v>
      </c>
      <c r="Q68" s="2" t="s">
        <v>30</v>
      </c>
      <c r="R68" s="38"/>
      <c r="S68" s="12"/>
      <c r="T68" s="13"/>
    </row>
    <row r="69" spans="1:20" s="3" customFormat="1" hidden="1" outlineLevel="1" x14ac:dyDescent="0.25">
      <c r="A69" s="2">
        <f>ROW(DIARIO[[#This Row],[Nombre de Cuenta]])-1</f>
        <v>68</v>
      </c>
      <c r="B69" s="2"/>
      <c r="C69" s="12" t="s">
        <v>197</v>
      </c>
      <c r="D69" s="2">
        <f>VLOOKUP(C69,CATALOGO[],2,FALSE)</f>
        <v>35</v>
      </c>
      <c r="E69" s="12" t="str">
        <f>VLOOKUP(DIARIO[[#This Row],[Objeto de Gasto]],CATALOGO[],3,FALSE)</f>
        <v>34400 Llantas Y Camaras De Aire</v>
      </c>
      <c r="F69" s="12"/>
      <c r="G69" s="12" t="s">
        <v>30</v>
      </c>
      <c r="H69" s="2"/>
      <c r="I69" s="8"/>
      <c r="J69" s="2"/>
      <c r="K69" s="8"/>
      <c r="L69" s="2"/>
      <c r="M69" s="8"/>
      <c r="N69" s="13">
        <v>255000</v>
      </c>
      <c r="O69" s="13"/>
      <c r="P69" s="14">
        <f t="shared" ref="P69:P70" si="7">N69-O69</f>
        <v>255000</v>
      </c>
      <c r="Q69" s="2" t="s">
        <v>30</v>
      </c>
      <c r="R69" s="38"/>
      <c r="S69" s="12"/>
      <c r="T69" s="13"/>
    </row>
    <row r="70" spans="1:20" s="3" customFormat="1" hidden="1" outlineLevel="1" x14ac:dyDescent="0.25">
      <c r="A70" s="2">
        <f>ROW(DIARIO[[#This Row],[Nombre de Cuenta]])-1</f>
        <v>69</v>
      </c>
      <c r="B70" s="2"/>
      <c r="C70" s="12" t="s">
        <v>200</v>
      </c>
      <c r="D70" s="2">
        <f>VLOOKUP(C70,CATALOGO[],2,FALSE)</f>
        <v>35</v>
      </c>
      <c r="E70" s="12" t="str">
        <f>VLOOKUP(DIARIO[[#This Row],[Objeto de Gasto]],CATALOGO[],3,FALSE)</f>
        <v>34400 Llantas Y Camaras De Aire</v>
      </c>
      <c r="F70" s="12"/>
      <c r="G70" s="12" t="s">
        <v>30</v>
      </c>
      <c r="H70" s="2"/>
      <c r="I70" s="8"/>
      <c r="J70" s="2"/>
      <c r="K70" s="8"/>
      <c r="L70" s="2"/>
      <c r="M70" s="8"/>
      <c r="N70" s="13">
        <v>100000</v>
      </c>
      <c r="O70" s="13"/>
      <c r="P70" s="14">
        <f t="shared" si="7"/>
        <v>100000</v>
      </c>
      <c r="Q70" s="2" t="s">
        <v>30</v>
      </c>
      <c r="R70" s="38"/>
      <c r="S70" s="12"/>
      <c r="T70" s="13"/>
    </row>
    <row r="71" spans="1:20" s="3" customFormat="1" hidden="1" outlineLevel="1" x14ac:dyDescent="0.25">
      <c r="A71" s="2">
        <f>ROW(DIARIO[[#This Row],[Nombre de Cuenta]])-1</f>
        <v>70</v>
      </c>
      <c r="B71" s="2"/>
      <c r="C71" s="12" t="s">
        <v>406</v>
      </c>
      <c r="D71" s="2">
        <f>VLOOKUP(C71,CATALOGO[],2,FALSE)</f>
        <v>35</v>
      </c>
      <c r="E71" s="12" t="str">
        <f>VLOOKUP(DIARIO[[#This Row],[Objeto de Gasto]],CATALOGO[],3,FALSE)</f>
        <v>34400 Llantas Y Camaras De Aire</v>
      </c>
      <c r="F71" s="12"/>
      <c r="G71" s="12" t="s">
        <v>30</v>
      </c>
      <c r="H71" s="2"/>
      <c r="I71" s="8"/>
      <c r="J71" s="2"/>
      <c r="K71" s="8"/>
      <c r="L71" s="2"/>
      <c r="M71" s="8"/>
      <c r="N71" s="13">
        <v>209293</v>
      </c>
      <c r="O71" s="13"/>
      <c r="P71" s="14">
        <f t="shared" ref="P71:P72" si="8">N71-O71</f>
        <v>209293</v>
      </c>
      <c r="Q71" s="2" t="s">
        <v>30</v>
      </c>
      <c r="R71" s="38"/>
      <c r="S71" s="12"/>
      <c r="T71" s="13"/>
    </row>
    <row r="72" spans="1:20" s="3" customFormat="1" hidden="1" outlineLevel="1" x14ac:dyDescent="0.25">
      <c r="A72" s="2">
        <f>ROW(DIARIO[[#This Row],[Nombre de Cuenta]])-1</f>
        <v>71</v>
      </c>
      <c r="B72" s="2"/>
      <c r="C72" s="12" t="s">
        <v>201</v>
      </c>
      <c r="D72" s="2">
        <f>VLOOKUP(C72,CATALOGO[],2,FALSE)</f>
        <v>35</v>
      </c>
      <c r="E72" s="12" t="str">
        <f>VLOOKUP(DIARIO[[#This Row],[Objeto de Gasto]],CATALOGO[],3,FALSE)</f>
        <v>34400 Llantas Y Camaras De Aire</v>
      </c>
      <c r="F72" s="12"/>
      <c r="G72" s="12" t="s">
        <v>30</v>
      </c>
      <c r="H72" s="2"/>
      <c r="I72" s="8"/>
      <c r="J72" s="2"/>
      <c r="K72" s="8"/>
      <c r="L72" s="2"/>
      <c r="M72" s="8"/>
      <c r="N72" s="13">
        <v>80000</v>
      </c>
      <c r="O72" s="13"/>
      <c r="P72" s="14">
        <f t="shared" si="8"/>
        <v>80000</v>
      </c>
      <c r="Q72" s="2" t="s">
        <v>30</v>
      </c>
      <c r="R72" s="38"/>
      <c r="S72" s="12"/>
      <c r="T72" s="13"/>
    </row>
    <row r="73" spans="1:20" s="3" customFormat="1" hidden="1" outlineLevel="1" x14ac:dyDescent="0.25">
      <c r="A73" s="2">
        <f>ROW(DIARIO[[#This Row],[Nombre de Cuenta]])-1</f>
        <v>72</v>
      </c>
      <c r="B73" s="2"/>
      <c r="C73" s="12" t="s">
        <v>220</v>
      </c>
      <c r="D73" s="2">
        <f>VLOOKUP(C73,CATALOGO[],2,FALSE)</f>
        <v>39</v>
      </c>
      <c r="E73" s="12" t="str">
        <f>VLOOKUP(DIARIO[[#This Row],[Objeto de Gasto]],CATALOGO[],3,FALSE)</f>
        <v>35210 Productos Farmaceuticos Y Medicinales</v>
      </c>
      <c r="F73" s="12"/>
      <c r="G73" s="12" t="s">
        <v>30</v>
      </c>
      <c r="H73" s="2"/>
      <c r="I73" s="8"/>
      <c r="J73" s="2"/>
      <c r="K73" s="8"/>
      <c r="L73" s="2"/>
      <c r="M73" s="8"/>
      <c r="N73" s="13">
        <v>8355220</v>
      </c>
      <c r="O73" s="13"/>
      <c r="P73" s="14">
        <f t="shared" ref="P73:P74" si="9">N73-O73</f>
        <v>8355220</v>
      </c>
      <c r="Q73" s="2" t="s">
        <v>30</v>
      </c>
      <c r="R73" s="38"/>
      <c r="S73" s="12"/>
      <c r="T73" s="13"/>
    </row>
    <row r="74" spans="1:20" s="3" customFormat="1" hidden="1" outlineLevel="1" x14ac:dyDescent="0.25">
      <c r="A74" s="2">
        <f>ROW(DIARIO[[#This Row],[Nombre de Cuenta]])-1</f>
        <v>73</v>
      </c>
      <c r="B74" s="2"/>
      <c r="C74" s="12" t="s">
        <v>407</v>
      </c>
      <c r="D74" s="2">
        <f>VLOOKUP(C74,CATALOGO[],2,FALSE)</f>
        <v>39</v>
      </c>
      <c r="E74" s="12" t="str">
        <f>VLOOKUP(DIARIO[[#This Row],[Objeto de Gasto]],CATALOGO[],3,FALSE)</f>
        <v>35210 Productos Farmaceuticos Y Medicinales</v>
      </c>
      <c r="F74" s="12"/>
      <c r="G74" s="12" t="s">
        <v>30</v>
      </c>
      <c r="H74" s="2"/>
      <c r="I74" s="8"/>
      <c r="J74" s="2"/>
      <c r="K74" s="8"/>
      <c r="L74" s="2"/>
      <c r="M74" s="8"/>
      <c r="N74" s="13">
        <v>89000</v>
      </c>
      <c r="O74" s="13"/>
      <c r="P74" s="14">
        <f t="shared" si="9"/>
        <v>89000</v>
      </c>
      <c r="Q74" s="2" t="s">
        <v>30</v>
      </c>
      <c r="R74" s="38"/>
      <c r="S74" s="12"/>
      <c r="T74" s="13"/>
    </row>
    <row r="75" spans="1:20" s="3" customFormat="1" hidden="1" outlineLevel="1" x14ac:dyDescent="0.25">
      <c r="A75" s="2">
        <f>ROW(DIARIO[[#This Row],[Nombre de Cuenta]])-1</f>
        <v>74</v>
      </c>
      <c r="B75" s="2"/>
      <c r="C75" s="12" t="s">
        <v>215</v>
      </c>
      <c r="D75" s="2">
        <f>VLOOKUP(C75,CATALOGO[],2,FALSE)</f>
        <v>38</v>
      </c>
      <c r="E75" s="12" t="str">
        <f>VLOOKUP(DIARIO[[#This Row],[Objeto de Gasto]],CATALOGO[],3,FALSE)</f>
        <v>35230 Antirretrovirales</v>
      </c>
      <c r="F75" s="12"/>
      <c r="G75" s="12" t="s">
        <v>30</v>
      </c>
      <c r="H75" s="2"/>
      <c r="I75" s="8"/>
      <c r="J75" s="2"/>
      <c r="K75" s="8"/>
      <c r="L75" s="2"/>
      <c r="M75" s="8"/>
      <c r="N75" s="13">
        <v>25000000</v>
      </c>
      <c r="O75" s="13"/>
      <c r="P75" s="14">
        <f t="shared" ref="P75:P76" si="10">N75-O75</f>
        <v>25000000</v>
      </c>
      <c r="Q75" s="2" t="s">
        <v>30</v>
      </c>
      <c r="R75" s="38"/>
      <c r="S75" s="12"/>
      <c r="T75" s="13"/>
    </row>
    <row r="76" spans="1:20" s="3" customFormat="1" hidden="1" outlineLevel="1" x14ac:dyDescent="0.25">
      <c r="A76" s="2">
        <f>ROW(DIARIO[[#This Row],[Nombre de Cuenta]])-1</f>
        <v>75</v>
      </c>
      <c r="B76" s="2"/>
      <c r="C76" s="12" t="s">
        <v>408</v>
      </c>
      <c r="D76" s="2">
        <f>VLOOKUP(C76,CATALOGO[],2,FALSE)</f>
        <v>37</v>
      </c>
      <c r="E76" s="12" t="str">
        <f>VLOOKUP(DIARIO[[#This Row],[Objeto de Gasto]],CATALOGO[],3,FALSE)</f>
        <v>35251 Reactivos</v>
      </c>
      <c r="F76" s="12"/>
      <c r="G76" s="12" t="s">
        <v>30</v>
      </c>
      <c r="H76" s="2"/>
      <c r="I76" s="8"/>
      <c r="J76" s="2"/>
      <c r="K76" s="8"/>
      <c r="L76" s="2"/>
      <c r="M76" s="8"/>
      <c r="N76" s="13">
        <v>12399788</v>
      </c>
      <c r="O76" s="13"/>
      <c r="P76" s="14">
        <f t="shared" si="10"/>
        <v>12399788</v>
      </c>
      <c r="Q76" s="2" t="s">
        <v>30</v>
      </c>
      <c r="R76" s="38"/>
      <c r="S76" s="12"/>
      <c r="T76" s="13"/>
    </row>
    <row r="77" spans="1:20" s="3" customFormat="1" hidden="1" outlineLevel="1" x14ac:dyDescent="0.25">
      <c r="A77" s="2">
        <f>ROW(DIARIO[[#This Row],[Nombre de Cuenta]])-1</f>
        <v>76</v>
      </c>
      <c r="B77" s="2"/>
      <c r="C77" s="12" t="s">
        <v>211</v>
      </c>
      <c r="D77" s="2">
        <f>VLOOKUP(C77,CATALOGO[],2,FALSE)</f>
        <v>37</v>
      </c>
      <c r="E77" s="12" t="str">
        <f>VLOOKUP(DIARIO[[#This Row],[Objeto de Gasto]],CATALOGO[],3,FALSE)</f>
        <v>35251 Reactivos</v>
      </c>
      <c r="F77" s="12"/>
      <c r="G77" s="12" t="s">
        <v>30</v>
      </c>
      <c r="H77" s="2"/>
      <c r="I77" s="8"/>
      <c r="J77" s="2"/>
      <c r="K77" s="8"/>
      <c r="L77" s="2"/>
      <c r="M77" s="8"/>
      <c r="N77" s="13">
        <v>10918871</v>
      </c>
      <c r="O77" s="13"/>
      <c r="P77" s="14">
        <f t="shared" ref="P77:P78" si="11">N77-O77</f>
        <v>10918871</v>
      </c>
      <c r="Q77" s="2" t="s">
        <v>30</v>
      </c>
      <c r="R77" s="38"/>
      <c r="S77" s="12"/>
      <c r="T77" s="13"/>
    </row>
    <row r="78" spans="1:20" s="3" customFormat="1" hidden="1" outlineLevel="1" x14ac:dyDescent="0.25">
      <c r="A78" s="2">
        <f>ROW(DIARIO[[#This Row],[Nombre de Cuenta]])-1</f>
        <v>77</v>
      </c>
      <c r="B78" s="2"/>
      <c r="C78" s="12" t="s">
        <v>225</v>
      </c>
      <c r="D78" s="2">
        <f>VLOOKUP(C78,CATALOGO[],2,FALSE)</f>
        <v>40</v>
      </c>
      <c r="E78" s="12" t="str">
        <f>VLOOKUP(DIARIO[[#This Row],[Objeto de Gasto]],CATALOGO[],3,FALSE)</f>
        <v>35252 Reactivo (VIH)</v>
      </c>
      <c r="F78" s="12"/>
      <c r="G78" s="12" t="s">
        <v>30</v>
      </c>
      <c r="H78" s="2"/>
      <c r="I78" s="8"/>
      <c r="J78" s="2"/>
      <c r="K78" s="8"/>
      <c r="L78" s="2"/>
      <c r="M78" s="8"/>
      <c r="N78" s="13">
        <v>68820366</v>
      </c>
      <c r="O78" s="13"/>
      <c r="P78" s="14">
        <f t="shared" si="11"/>
        <v>68820366</v>
      </c>
      <c r="Q78" s="2" t="s">
        <v>30</v>
      </c>
      <c r="R78" s="38"/>
      <c r="S78" s="12"/>
      <c r="T78" s="13"/>
    </row>
    <row r="79" spans="1:20" s="3" customFormat="1" hidden="1" outlineLevel="1" x14ac:dyDescent="0.25">
      <c r="A79" s="2">
        <f>ROW(DIARIO[[#This Row],[Nombre de Cuenta]])-1</f>
        <v>78</v>
      </c>
      <c r="B79" s="2"/>
      <c r="C79" s="12" t="s">
        <v>409</v>
      </c>
      <c r="D79" s="2">
        <f>VLOOKUP(C79,CATALOGO[],2,FALSE)</f>
        <v>41</v>
      </c>
      <c r="E79" s="12" t="str">
        <f>VLOOKUP(DIARIO[[#This Row],[Objeto de Gasto]],CATALOGO[],3,FALSE)</f>
        <v>35400 Insecticidas, Fumigantes Y Otros</v>
      </c>
      <c r="F79" s="12"/>
      <c r="G79" s="12" t="s">
        <v>30</v>
      </c>
      <c r="H79" s="2"/>
      <c r="I79" s="8"/>
      <c r="J79" s="2"/>
      <c r="K79" s="8"/>
      <c r="L79" s="2"/>
      <c r="M79" s="8"/>
      <c r="N79" s="13">
        <v>12000000</v>
      </c>
      <c r="O79" s="13"/>
      <c r="P79" s="14">
        <f t="shared" ref="P79:P80" si="12">N79-O79</f>
        <v>12000000</v>
      </c>
      <c r="Q79" s="2" t="s">
        <v>30</v>
      </c>
      <c r="R79" s="38"/>
      <c r="S79" s="12"/>
      <c r="T79" s="13"/>
    </row>
    <row r="80" spans="1:20" s="3" customFormat="1" hidden="1" outlineLevel="1" x14ac:dyDescent="0.25">
      <c r="A80" s="2">
        <f>ROW(DIARIO[[#This Row],[Nombre de Cuenta]])-1</f>
        <v>79</v>
      </c>
      <c r="B80" s="2"/>
      <c r="C80" s="12" t="s">
        <v>410</v>
      </c>
      <c r="D80" s="2">
        <f>VLOOKUP(C80,CATALOGO[],2,FALSE)</f>
        <v>66</v>
      </c>
      <c r="E80" s="12" t="str">
        <f>VLOOKUP(DIARIO[[#This Row],[Objeto de Gasto]],CATALOGO[],3,FALSE)</f>
        <v>35610 Gasolina</v>
      </c>
      <c r="F80" s="12"/>
      <c r="G80" s="12" t="s">
        <v>30</v>
      </c>
      <c r="H80" s="2"/>
      <c r="I80" s="8"/>
      <c r="J80" s="2"/>
      <c r="K80" s="8"/>
      <c r="L80" s="2"/>
      <c r="M80" s="8"/>
      <c r="N80" s="13">
        <v>1500000</v>
      </c>
      <c r="O80" s="13"/>
      <c r="P80" s="14">
        <f t="shared" si="12"/>
        <v>1500000</v>
      </c>
      <c r="Q80" s="2" t="s">
        <v>30</v>
      </c>
      <c r="R80" s="38"/>
      <c r="S80" s="12"/>
      <c r="T80" s="13"/>
    </row>
    <row r="81" spans="1:20" s="3" customFormat="1" hidden="1" outlineLevel="1" x14ac:dyDescent="0.25">
      <c r="A81" s="2">
        <f>ROW(DIARIO[[#This Row],[Nombre de Cuenta]])-1</f>
        <v>80</v>
      </c>
      <c r="B81" s="2"/>
      <c r="C81" s="12" t="s">
        <v>235</v>
      </c>
      <c r="D81" s="2">
        <f>VLOOKUP(C81,CATALOGO[],2,FALSE)</f>
        <v>42</v>
      </c>
      <c r="E81" s="12" t="str">
        <f>VLOOKUP(DIARIO[[#This Row],[Objeto de Gasto]],CATALOGO[],3,FALSE)</f>
        <v>35620 Diesel</v>
      </c>
      <c r="F81" s="12"/>
      <c r="G81" s="12" t="s">
        <v>30</v>
      </c>
      <c r="H81" s="2"/>
      <c r="I81" s="8"/>
      <c r="J81" s="2"/>
      <c r="K81" s="8"/>
      <c r="L81" s="2"/>
      <c r="M81" s="8"/>
      <c r="N81" s="13">
        <v>100000</v>
      </c>
      <c r="O81" s="13"/>
      <c r="P81" s="14">
        <f t="shared" ref="P81:P82" si="13">N81-O81</f>
        <v>100000</v>
      </c>
      <c r="Q81" s="2" t="s">
        <v>30</v>
      </c>
      <c r="R81" s="38"/>
      <c r="S81" s="12"/>
      <c r="T81" s="13"/>
    </row>
    <row r="82" spans="1:20" s="3" customFormat="1" hidden="1" outlineLevel="1" x14ac:dyDescent="0.25">
      <c r="A82" s="2">
        <f>ROW(DIARIO[[#This Row],[Nombre de Cuenta]])-1</f>
        <v>81</v>
      </c>
      <c r="B82" s="2"/>
      <c r="C82" s="12" t="s">
        <v>411</v>
      </c>
      <c r="D82" s="2">
        <f>VLOOKUP(C82,CATALOGO[],2,FALSE)</f>
        <v>42</v>
      </c>
      <c r="E82" s="12" t="str">
        <f>VLOOKUP(DIARIO[[#This Row],[Objeto de Gasto]],CATALOGO[],3,FALSE)</f>
        <v>35620 Diesel</v>
      </c>
      <c r="F82" s="12"/>
      <c r="G82" s="12" t="s">
        <v>30</v>
      </c>
      <c r="H82" s="2"/>
      <c r="I82" s="8"/>
      <c r="J82" s="2"/>
      <c r="K82" s="8"/>
      <c r="L82" s="2"/>
      <c r="M82" s="8"/>
      <c r="N82" s="13">
        <v>1332973</v>
      </c>
      <c r="O82" s="13"/>
      <c r="P82" s="14">
        <f t="shared" si="13"/>
        <v>1332973</v>
      </c>
      <c r="Q82" s="2" t="s">
        <v>30</v>
      </c>
      <c r="R82" s="38"/>
      <c r="S82" s="12"/>
      <c r="T82" s="13"/>
    </row>
    <row r="83" spans="1:20" s="3" customFormat="1" hidden="1" outlineLevel="1" x14ac:dyDescent="0.25">
      <c r="A83" s="2">
        <f>ROW(DIARIO[[#This Row],[Nombre de Cuenta]])-1</f>
        <v>82</v>
      </c>
      <c r="B83" s="2"/>
      <c r="C83" s="12" t="s">
        <v>236</v>
      </c>
      <c r="D83" s="2">
        <f>VLOOKUP(C83,CATALOGO[],2,FALSE)</f>
        <v>42</v>
      </c>
      <c r="E83" s="12" t="str">
        <f>VLOOKUP(DIARIO[[#This Row],[Objeto de Gasto]],CATALOGO[],3,FALSE)</f>
        <v>35620 Diesel</v>
      </c>
      <c r="F83" s="12"/>
      <c r="G83" s="12" t="s">
        <v>30</v>
      </c>
      <c r="H83" s="2"/>
      <c r="I83" s="8"/>
      <c r="J83" s="2"/>
      <c r="K83" s="8"/>
      <c r="L83" s="2"/>
      <c r="M83" s="8"/>
      <c r="N83" s="13">
        <v>72640</v>
      </c>
      <c r="O83" s="13"/>
      <c r="P83" s="14">
        <f t="shared" ref="P83:P194" si="14">N83-O83</f>
        <v>72640</v>
      </c>
      <c r="Q83" s="2" t="s">
        <v>30</v>
      </c>
      <c r="R83" s="38"/>
      <c r="S83" s="12"/>
      <c r="T83" s="13"/>
    </row>
    <row r="84" spans="1:20" s="3" customFormat="1" hidden="1" outlineLevel="1" x14ac:dyDescent="0.25">
      <c r="A84" s="2">
        <f>ROW(DIARIO[[#This Row],[Nombre de Cuenta]])-1</f>
        <v>83</v>
      </c>
      <c r="B84" s="2"/>
      <c r="C84" s="12" t="s">
        <v>242</v>
      </c>
      <c r="D84" s="2">
        <f>VLOOKUP(C84,CATALOGO[],2,FALSE)</f>
        <v>44</v>
      </c>
      <c r="E84" s="12" t="str">
        <f>VLOOKUP(DIARIO[[#This Row],[Objeto de Gasto]],CATALOGO[],3,FALSE)</f>
        <v>35650 Aceites Y Grasas Lubricantes</v>
      </c>
      <c r="F84" s="12"/>
      <c r="G84" s="12" t="s">
        <v>30</v>
      </c>
      <c r="H84" s="2"/>
      <c r="I84" s="8"/>
      <c r="J84" s="2"/>
      <c r="K84" s="8"/>
      <c r="L84" s="2"/>
      <c r="M84" s="8"/>
      <c r="N84" s="13">
        <v>41220</v>
      </c>
      <c r="O84" s="13"/>
      <c r="P84" s="14">
        <f t="shared" si="14"/>
        <v>41220</v>
      </c>
      <c r="Q84" s="2" t="s">
        <v>30</v>
      </c>
      <c r="R84" s="38"/>
      <c r="S84" s="12"/>
      <c r="T84" s="13"/>
    </row>
    <row r="85" spans="1:20" s="3" customFormat="1" hidden="1" outlineLevel="1" x14ac:dyDescent="0.25">
      <c r="A85" s="2">
        <f>ROW(DIARIO[[#This Row],[Nombre de Cuenta]])-1</f>
        <v>84</v>
      </c>
      <c r="B85" s="2"/>
      <c r="C85" s="12" t="s">
        <v>412</v>
      </c>
      <c r="D85" s="2">
        <f>VLOOKUP(C85,CATALOGO[],2,FALSE)</f>
        <v>44</v>
      </c>
      <c r="E85" s="12" t="str">
        <f>VLOOKUP(DIARIO[[#This Row],[Objeto de Gasto]],CATALOGO[],3,FALSE)</f>
        <v>35650 Aceites Y Grasas Lubricantes</v>
      </c>
      <c r="F85" s="12"/>
      <c r="G85" s="12" t="s">
        <v>30</v>
      </c>
      <c r="H85" s="2"/>
      <c r="I85" s="8"/>
      <c r="J85" s="2"/>
      <c r="K85" s="8"/>
      <c r="L85" s="2"/>
      <c r="M85" s="8"/>
      <c r="N85" s="13">
        <v>900000</v>
      </c>
      <c r="O85" s="13"/>
      <c r="P85" s="14">
        <f t="shared" si="14"/>
        <v>900000</v>
      </c>
      <c r="Q85" s="2" t="s">
        <v>30</v>
      </c>
      <c r="R85" s="38"/>
      <c r="S85" s="12"/>
      <c r="T85" s="13"/>
    </row>
    <row r="86" spans="1:20" s="3" customFormat="1" hidden="1" outlineLevel="1" x14ac:dyDescent="0.25">
      <c r="A86" s="2">
        <f>ROW(DIARIO[[#This Row],[Nombre de Cuenta]])-1</f>
        <v>85</v>
      </c>
      <c r="B86" s="2"/>
      <c r="C86" s="12" t="s">
        <v>246</v>
      </c>
      <c r="D86" s="2">
        <f>VLOOKUP(C86,CATALOGO[],2,FALSE)</f>
        <v>44</v>
      </c>
      <c r="E86" s="12" t="str">
        <f>VLOOKUP(DIARIO[[#This Row],[Objeto de Gasto]],CATALOGO[],3,FALSE)</f>
        <v>35650 Aceites Y Grasas Lubricantes</v>
      </c>
      <c r="F86" s="12"/>
      <c r="G86" s="12" t="s">
        <v>30</v>
      </c>
      <c r="H86" s="2"/>
      <c r="I86" s="8"/>
      <c r="J86" s="2"/>
      <c r="K86" s="8"/>
      <c r="L86" s="2"/>
      <c r="M86" s="8"/>
      <c r="N86" s="13">
        <v>38400</v>
      </c>
      <c r="O86" s="13"/>
      <c r="P86" s="14">
        <f t="shared" si="14"/>
        <v>38400</v>
      </c>
      <c r="Q86" s="2" t="s">
        <v>30</v>
      </c>
      <c r="R86" s="38"/>
      <c r="S86" s="12"/>
      <c r="T86" s="13"/>
    </row>
    <row r="87" spans="1:20" s="3" customFormat="1" hidden="1" outlineLevel="1" x14ac:dyDescent="0.25">
      <c r="A87" s="2">
        <f>ROW(DIARIO[[#This Row],[Nombre de Cuenta]])-1</f>
        <v>86</v>
      </c>
      <c r="B87" s="2"/>
      <c r="C87" s="12" t="s">
        <v>250</v>
      </c>
      <c r="D87" s="2">
        <f>VLOOKUP(C87,CATALOGO[],2,FALSE)</f>
        <v>45</v>
      </c>
      <c r="E87" s="12" t="str">
        <f>VLOOKUP(DIARIO[[#This Row],[Objeto de Gasto]],CATALOGO[],3,FALSE)</f>
        <v xml:space="preserve">35800 Productos De Material Plastico </v>
      </c>
      <c r="F87" s="12"/>
      <c r="G87" s="12" t="s">
        <v>30</v>
      </c>
      <c r="H87" s="2"/>
      <c r="I87" s="8"/>
      <c r="J87" s="2"/>
      <c r="K87" s="8"/>
      <c r="L87" s="2"/>
      <c r="M87" s="8"/>
      <c r="N87" s="13">
        <v>52500</v>
      </c>
      <c r="O87" s="13"/>
      <c r="P87" s="14">
        <f t="shared" si="14"/>
        <v>52500</v>
      </c>
      <c r="Q87" s="2" t="s">
        <v>30</v>
      </c>
      <c r="R87" s="38"/>
      <c r="S87" s="12"/>
      <c r="T87" s="13"/>
    </row>
    <row r="88" spans="1:20" s="3" customFormat="1" hidden="1" outlineLevel="1" x14ac:dyDescent="0.25">
      <c r="A88" s="2">
        <f>ROW(DIARIO[[#This Row],[Nombre de Cuenta]])-1</f>
        <v>87</v>
      </c>
      <c r="B88" s="2"/>
      <c r="C88" s="12" t="s">
        <v>251</v>
      </c>
      <c r="D88" s="2">
        <f>VLOOKUP(C88,CATALOGO[],2,FALSE)</f>
        <v>45</v>
      </c>
      <c r="E88" s="12" t="str">
        <f>VLOOKUP(DIARIO[[#This Row],[Objeto de Gasto]],CATALOGO[],3,FALSE)</f>
        <v xml:space="preserve">35800 Productos De Material Plastico </v>
      </c>
      <c r="F88" s="12"/>
      <c r="G88" s="12" t="s">
        <v>30</v>
      </c>
      <c r="H88" s="2"/>
      <c r="I88" s="8"/>
      <c r="J88" s="2"/>
      <c r="K88" s="8"/>
      <c r="L88" s="2"/>
      <c r="M88" s="8"/>
      <c r="N88" s="13">
        <v>52949</v>
      </c>
      <c r="O88" s="13"/>
      <c r="P88" s="14">
        <f t="shared" si="14"/>
        <v>52949</v>
      </c>
      <c r="Q88" s="2" t="s">
        <v>30</v>
      </c>
      <c r="R88" s="38"/>
      <c r="S88" s="12"/>
      <c r="T88" s="13"/>
    </row>
    <row r="89" spans="1:20" s="3" customFormat="1" hidden="1" outlineLevel="1" x14ac:dyDescent="0.25">
      <c r="A89" s="2">
        <f>ROW(DIARIO[[#This Row],[Nombre de Cuenta]])-1</f>
        <v>88</v>
      </c>
      <c r="B89" s="2"/>
      <c r="C89" s="12" t="s">
        <v>413</v>
      </c>
      <c r="D89" s="2">
        <f>VLOOKUP(C89,CATALOGO[],2,FALSE)</f>
        <v>46</v>
      </c>
      <c r="E89" s="12" t="str">
        <f>VLOOKUP(DIARIO[[#This Row],[Objeto de Gasto]],CATALOGO[],3,FALSE)</f>
        <v>38100 Material De Defensa Y Seguridad</v>
      </c>
      <c r="F89" s="12"/>
      <c r="G89" s="12" t="s">
        <v>30</v>
      </c>
      <c r="H89" s="2"/>
      <c r="I89" s="8"/>
      <c r="J89" s="2"/>
      <c r="K89" s="8"/>
      <c r="L89" s="2"/>
      <c r="M89" s="8"/>
      <c r="N89" s="13">
        <v>100000</v>
      </c>
      <c r="O89" s="13"/>
      <c r="P89" s="14">
        <f t="shared" si="14"/>
        <v>100000</v>
      </c>
      <c r="Q89" s="2" t="s">
        <v>30</v>
      </c>
      <c r="R89" s="38"/>
      <c r="S89" s="12"/>
      <c r="T89" s="13"/>
    </row>
    <row r="90" spans="1:20" s="3" customFormat="1" hidden="1" outlineLevel="1" x14ac:dyDescent="0.25">
      <c r="A90" s="2">
        <f>ROW(DIARIO[[#This Row],[Nombre de Cuenta]])-1</f>
        <v>89</v>
      </c>
      <c r="B90" s="2"/>
      <c r="C90" s="12" t="s">
        <v>260</v>
      </c>
      <c r="D90" s="2">
        <f>VLOOKUP(C90,CATALOGO[],2,FALSE)</f>
        <v>47</v>
      </c>
      <c r="E90" s="12" t="str">
        <f>VLOOKUP(DIARIO[[#This Row],[Objeto de Gasto]],CATALOGO[],3,FALSE)</f>
        <v>39100 Elementos De Limpieza Y Aseo Personal</v>
      </c>
      <c r="F90" s="12"/>
      <c r="G90" s="12" t="s">
        <v>30</v>
      </c>
      <c r="H90" s="2"/>
      <c r="I90" s="8"/>
      <c r="J90" s="2"/>
      <c r="K90" s="8"/>
      <c r="L90" s="2"/>
      <c r="M90" s="8"/>
      <c r="N90" s="13">
        <v>72051</v>
      </c>
      <c r="O90" s="13"/>
      <c r="P90" s="14">
        <f t="shared" si="14"/>
        <v>72051</v>
      </c>
      <c r="Q90" s="2" t="s">
        <v>30</v>
      </c>
      <c r="R90" s="38"/>
      <c r="S90" s="12"/>
      <c r="T90" s="13"/>
    </row>
    <row r="91" spans="1:20" s="3" customFormat="1" hidden="1" outlineLevel="1" x14ac:dyDescent="0.25">
      <c r="A91" s="2">
        <f>ROW(DIARIO[[#This Row],[Nombre de Cuenta]])-1</f>
        <v>90</v>
      </c>
      <c r="B91" s="2"/>
      <c r="C91" s="12" t="s">
        <v>414</v>
      </c>
      <c r="D91" s="2">
        <f>VLOOKUP(C91,CATALOGO[],2,FALSE)</f>
        <v>47</v>
      </c>
      <c r="E91" s="12" t="str">
        <f>VLOOKUP(DIARIO[[#This Row],[Objeto de Gasto]],CATALOGO[],3,FALSE)</f>
        <v>39100 Elementos De Limpieza Y Aseo Personal</v>
      </c>
      <c r="F91" s="12"/>
      <c r="G91" s="12" t="s">
        <v>30</v>
      </c>
      <c r="H91" s="2"/>
      <c r="I91" s="8"/>
      <c r="J91" s="2"/>
      <c r="K91" s="8"/>
      <c r="L91" s="2"/>
      <c r="M91" s="8"/>
      <c r="N91" s="13">
        <v>470316</v>
      </c>
      <c r="O91" s="13"/>
      <c r="P91" s="14">
        <f t="shared" si="14"/>
        <v>470316</v>
      </c>
      <c r="Q91" s="2" t="s">
        <v>30</v>
      </c>
      <c r="R91" s="38"/>
      <c r="S91" s="12"/>
      <c r="T91" s="13"/>
    </row>
    <row r="92" spans="1:20" s="3" customFormat="1" hidden="1" outlineLevel="1" x14ac:dyDescent="0.25">
      <c r="A92" s="2">
        <f>ROW(DIARIO[[#This Row],[Nombre de Cuenta]])-1</f>
        <v>91</v>
      </c>
      <c r="B92" s="2"/>
      <c r="C92" s="12" t="s">
        <v>261</v>
      </c>
      <c r="D92" s="2">
        <f>VLOOKUP(C92,CATALOGO[],2,FALSE)</f>
        <v>47</v>
      </c>
      <c r="E92" s="12" t="str">
        <f>VLOOKUP(DIARIO[[#This Row],[Objeto de Gasto]],CATALOGO[],3,FALSE)</f>
        <v>39100 Elementos De Limpieza Y Aseo Personal</v>
      </c>
      <c r="F92" s="12"/>
      <c r="G92" s="12" t="s">
        <v>30</v>
      </c>
      <c r="H92" s="2"/>
      <c r="I92" s="8"/>
      <c r="J92" s="2"/>
      <c r="K92" s="8"/>
      <c r="L92" s="2"/>
      <c r="M92" s="8"/>
      <c r="N92" s="13">
        <v>5298</v>
      </c>
      <c r="O92" s="13"/>
      <c r="P92" s="14">
        <f t="shared" si="14"/>
        <v>5298</v>
      </c>
      <c r="Q92" s="2" t="s">
        <v>30</v>
      </c>
      <c r="R92" s="38"/>
      <c r="S92" s="12"/>
      <c r="T92" s="13"/>
    </row>
    <row r="93" spans="1:20" s="3" customFormat="1" hidden="1" outlineLevel="1" x14ac:dyDescent="0.25">
      <c r="A93" s="2">
        <f>ROW(DIARIO[[#This Row],[Nombre de Cuenta]])-1</f>
        <v>92</v>
      </c>
      <c r="B93" s="2"/>
      <c r="C93" s="12" t="s">
        <v>262</v>
      </c>
      <c r="D93" s="2">
        <f>VLOOKUP(C93,CATALOGO[],2,FALSE)</f>
        <v>48</v>
      </c>
      <c r="E93" s="12" t="str">
        <f>VLOOKUP(DIARIO[[#This Row],[Objeto de Gasto]],CATALOGO[],3,FALSE)</f>
        <v>39200 Utiles De Esritorio, Oficina  Y Enseñanza</v>
      </c>
      <c r="F93" s="12"/>
      <c r="G93" s="12" t="s">
        <v>30</v>
      </c>
      <c r="H93" s="2"/>
      <c r="I93" s="8"/>
      <c r="J93" s="2"/>
      <c r="K93" s="8"/>
      <c r="L93" s="2"/>
      <c r="M93" s="8"/>
      <c r="N93" s="13">
        <v>100000</v>
      </c>
      <c r="O93" s="13"/>
      <c r="P93" s="14">
        <f t="shared" si="14"/>
        <v>100000</v>
      </c>
      <c r="Q93" s="2" t="s">
        <v>30</v>
      </c>
      <c r="R93" s="38"/>
      <c r="S93" s="12"/>
      <c r="T93" s="13"/>
    </row>
    <row r="94" spans="1:20" s="3" customFormat="1" hidden="1" outlineLevel="1" x14ac:dyDescent="0.25">
      <c r="A94" s="2">
        <f>ROW(DIARIO[[#This Row],[Nombre de Cuenta]])-1</f>
        <v>93</v>
      </c>
      <c r="B94" s="2"/>
      <c r="C94" s="12" t="s">
        <v>265</v>
      </c>
      <c r="D94" s="2">
        <f>VLOOKUP(C94,CATALOGO[],2,FALSE)</f>
        <v>48</v>
      </c>
      <c r="E94" s="12" t="str">
        <f>VLOOKUP(DIARIO[[#This Row],[Objeto de Gasto]],CATALOGO[],3,FALSE)</f>
        <v>39200 Utiles De Esritorio, Oficina  Y Enseñanza</v>
      </c>
      <c r="F94" s="12"/>
      <c r="G94" s="12" t="s">
        <v>30</v>
      </c>
      <c r="H94" s="2"/>
      <c r="I94" s="8"/>
      <c r="J94" s="2"/>
      <c r="K94" s="8"/>
      <c r="L94" s="2"/>
      <c r="M94" s="8"/>
      <c r="N94" s="13">
        <v>780000</v>
      </c>
      <c r="O94" s="13"/>
      <c r="P94" s="14">
        <f t="shared" si="14"/>
        <v>780000</v>
      </c>
      <c r="Q94" s="2" t="s">
        <v>30</v>
      </c>
      <c r="R94" s="38"/>
      <c r="S94" s="12"/>
      <c r="T94" s="13"/>
    </row>
    <row r="95" spans="1:20" s="3" customFormat="1" hidden="1" outlineLevel="1" x14ac:dyDescent="0.25">
      <c r="A95" s="2">
        <f>ROW(DIARIO[[#This Row],[Nombre de Cuenta]])-1</f>
        <v>94</v>
      </c>
      <c r="B95" s="2"/>
      <c r="C95" s="12" t="s">
        <v>415</v>
      </c>
      <c r="D95" s="2">
        <f>VLOOKUP(C95,CATALOGO[],2,FALSE)</f>
        <v>48</v>
      </c>
      <c r="E95" s="12" t="str">
        <f>VLOOKUP(DIARIO[[#This Row],[Objeto de Gasto]],CATALOGO[],3,FALSE)</f>
        <v>39200 Utiles De Esritorio, Oficina  Y Enseñanza</v>
      </c>
      <c r="F95" s="12"/>
      <c r="G95" s="12" t="s">
        <v>30</v>
      </c>
      <c r="H95" s="2"/>
      <c r="I95" s="8"/>
      <c r="J95" s="2"/>
      <c r="K95" s="8"/>
      <c r="L95" s="2"/>
      <c r="M95" s="8"/>
      <c r="N95" s="13">
        <v>691300</v>
      </c>
      <c r="O95" s="13"/>
      <c r="P95" s="14">
        <f t="shared" si="14"/>
        <v>691300</v>
      </c>
      <c r="Q95" s="2" t="s">
        <v>30</v>
      </c>
      <c r="R95" s="38"/>
      <c r="S95" s="12"/>
      <c r="T95" s="13"/>
    </row>
    <row r="96" spans="1:20" s="3" customFormat="1" hidden="1" outlineLevel="1" x14ac:dyDescent="0.25">
      <c r="A96" s="2">
        <f>ROW(DIARIO[[#This Row],[Nombre de Cuenta]])-1</f>
        <v>95</v>
      </c>
      <c r="B96" s="2"/>
      <c r="C96" s="12" t="s">
        <v>266</v>
      </c>
      <c r="D96" s="2">
        <f>VLOOKUP(C96,CATALOGO[],2,FALSE)</f>
        <v>48</v>
      </c>
      <c r="E96" s="12" t="str">
        <f>VLOOKUP(DIARIO[[#This Row],[Objeto de Gasto]],CATALOGO[],3,FALSE)</f>
        <v>39200 Utiles De Esritorio, Oficina  Y Enseñanza</v>
      </c>
      <c r="F96" s="12"/>
      <c r="G96" s="12" t="s">
        <v>30</v>
      </c>
      <c r="H96" s="2"/>
      <c r="I96" s="8"/>
      <c r="J96" s="2"/>
      <c r="K96" s="8"/>
      <c r="L96" s="2"/>
      <c r="M96" s="8"/>
      <c r="N96" s="13">
        <v>150000</v>
      </c>
      <c r="O96" s="13"/>
      <c r="P96" s="14">
        <f t="shared" si="14"/>
        <v>150000</v>
      </c>
      <c r="Q96" s="2" t="s">
        <v>30</v>
      </c>
      <c r="R96" s="38"/>
      <c r="S96" s="12"/>
      <c r="T96" s="13"/>
    </row>
    <row r="97" spans="1:20" s="3" customFormat="1" hidden="1" outlineLevel="1" x14ac:dyDescent="0.25">
      <c r="A97" s="2">
        <f>ROW(DIARIO[[#This Row],[Nombre de Cuenta]])-1</f>
        <v>96</v>
      </c>
      <c r="B97" s="2"/>
      <c r="C97" s="12" t="s">
        <v>369</v>
      </c>
      <c r="D97" s="2">
        <f>VLOOKUP(C97,CATALOGO[],2,FALSE)</f>
        <v>67</v>
      </c>
      <c r="E97" s="12" t="str">
        <f>VLOOKUP(DIARIO[[#This Row],[Objeto de Gasto]],CATALOGO[],3,FALSE)</f>
        <v>39300 Utiles Y Materiales Eléctricos</v>
      </c>
      <c r="F97" s="12"/>
      <c r="G97" s="12" t="s">
        <v>30</v>
      </c>
      <c r="H97" s="2"/>
      <c r="I97" s="8"/>
      <c r="J97" s="2"/>
      <c r="K97" s="8"/>
      <c r="L97" s="2"/>
      <c r="M97" s="8"/>
      <c r="N97" s="13">
        <v>10000</v>
      </c>
      <c r="O97" s="13"/>
      <c r="P97" s="14">
        <f t="shared" si="14"/>
        <v>10000</v>
      </c>
      <c r="Q97" s="2" t="s">
        <v>30</v>
      </c>
      <c r="R97" s="38"/>
      <c r="S97" s="12"/>
      <c r="T97" s="13"/>
    </row>
    <row r="98" spans="1:20" s="3" customFormat="1" hidden="1" outlineLevel="1" x14ac:dyDescent="0.25">
      <c r="A98" s="2">
        <f>ROW(DIARIO[[#This Row],[Nombre de Cuenta]])-1</f>
        <v>97</v>
      </c>
      <c r="B98" s="2"/>
      <c r="C98" s="12" t="s">
        <v>270</v>
      </c>
      <c r="D98" s="2">
        <f>VLOOKUP(C98,CATALOGO[],2,FALSE)</f>
        <v>49</v>
      </c>
      <c r="E98" s="12" t="str">
        <f>VLOOKUP(DIARIO[[#This Row],[Objeto de Gasto]],CATALOGO[],3,FALSE)</f>
        <v xml:space="preserve">39520 Intrumental Y Material Para Laboratorio </v>
      </c>
      <c r="F98" s="12"/>
      <c r="G98" s="12" t="s">
        <v>30</v>
      </c>
      <c r="H98" s="2"/>
      <c r="I98" s="8"/>
      <c r="J98" s="2"/>
      <c r="K98" s="8"/>
      <c r="L98" s="2"/>
      <c r="M98" s="8"/>
      <c r="N98" s="13">
        <v>4029405</v>
      </c>
      <c r="O98" s="13"/>
      <c r="P98" s="14">
        <f t="shared" si="14"/>
        <v>4029405</v>
      </c>
      <c r="Q98" s="2" t="s">
        <v>30</v>
      </c>
      <c r="R98" s="38"/>
      <c r="S98" s="12"/>
      <c r="T98" s="13"/>
    </row>
    <row r="99" spans="1:20" s="3" customFormat="1" hidden="1" outlineLevel="1" x14ac:dyDescent="0.25">
      <c r="A99" s="2">
        <f>ROW(DIARIO[[#This Row],[Nombre de Cuenta]])-1</f>
        <v>98</v>
      </c>
      <c r="B99" s="2"/>
      <c r="C99" s="12" t="s">
        <v>416</v>
      </c>
      <c r="D99" s="2">
        <f>VLOOKUP(C99,CATALOGO[],2,FALSE)</f>
        <v>49</v>
      </c>
      <c r="E99" s="12" t="str">
        <f>VLOOKUP(DIARIO[[#This Row],[Objeto de Gasto]],CATALOGO[],3,FALSE)</f>
        <v xml:space="preserve">39520 Intrumental Y Material Para Laboratorio </v>
      </c>
      <c r="F99" s="12"/>
      <c r="G99" s="12" t="s">
        <v>30</v>
      </c>
      <c r="H99" s="2"/>
      <c r="I99" s="8"/>
      <c r="J99" s="2"/>
      <c r="K99" s="8"/>
      <c r="L99" s="2"/>
      <c r="M99" s="8"/>
      <c r="N99" s="13">
        <v>4304794</v>
      </c>
      <c r="O99" s="13"/>
      <c r="P99" s="14">
        <f t="shared" si="14"/>
        <v>4304794</v>
      </c>
      <c r="Q99" s="2" t="s">
        <v>30</v>
      </c>
      <c r="R99" s="38"/>
      <c r="S99" s="12"/>
      <c r="T99" s="13"/>
    </row>
    <row r="100" spans="1:20" s="3" customFormat="1" hidden="1" outlineLevel="1" x14ac:dyDescent="0.25">
      <c r="A100" s="2">
        <f>ROW(DIARIO[[#This Row],[Nombre de Cuenta]])-1</f>
        <v>99</v>
      </c>
      <c r="B100" s="2"/>
      <c r="C100" s="12" t="s">
        <v>271</v>
      </c>
      <c r="D100" s="2">
        <f>VLOOKUP(C100,CATALOGO[],2,FALSE)</f>
        <v>49</v>
      </c>
      <c r="E100" s="12" t="str">
        <f>VLOOKUP(DIARIO[[#This Row],[Objeto de Gasto]],CATALOGO[],3,FALSE)</f>
        <v xml:space="preserve">39520 Intrumental Y Material Para Laboratorio </v>
      </c>
      <c r="F100" s="12"/>
      <c r="G100" s="12" t="s">
        <v>30</v>
      </c>
      <c r="H100" s="2"/>
      <c r="I100" s="8"/>
      <c r="J100" s="2"/>
      <c r="K100" s="8"/>
      <c r="L100" s="2"/>
      <c r="M100" s="8"/>
      <c r="N100" s="13">
        <v>3285675</v>
      </c>
      <c r="O100" s="13"/>
      <c r="P100" s="14">
        <f t="shared" si="14"/>
        <v>3285675</v>
      </c>
      <c r="Q100" s="2" t="s">
        <v>30</v>
      </c>
      <c r="R100" s="38"/>
      <c r="S100" s="12"/>
      <c r="T100" s="13"/>
    </row>
    <row r="101" spans="1:20" s="3" customFormat="1" hidden="1" outlineLevel="1" x14ac:dyDescent="0.25">
      <c r="A101" s="2">
        <f>ROW(DIARIO[[#This Row],[Nombre de Cuenta]])-1</f>
        <v>100</v>
      </c>
      <c r="B101" s="2"/>
      <c r="C101" s="12" t="s">
        <v>275</v>
      </c>
      <c r="D101" s="2">
        <f>VLOOKUP(C101,CATALOGO[],2,FALSE)</f>
        <v>50</v>
      </c>
      <c r="E101" s="12" t="str">
        <f>VLOOKUP(DIARIO[[#This Row],[Objeto de Gasto]],CATALOGO[],3,FALSE)</f>
        <v>39530 Material Medico Quirurgico Menor</v>
      </c>
      <c r="F101" s="12"/>
      <c r="G101" s="12" t="s">
        <v>30</v>
      </c>
      <c r="H101" s="2"/>
      <c r="I101" s="8"/>
      <c r="J101" s="2"/>
      <c r="K101" s="8"/>
      <c r="L101" s="2"/>
      <c r="M101" s="8"/>
      <c r="N101" s="13">
        <v>48000</v>
      </c>
      <c r="O101" s="13"/>
      <c r="P101" s="14">
        <f t="shared" si="14"/>
        <v>48000</v>
      </c>
      <c r="Q101" s="2" t="s">
        <v>30</v>
      </c>
      <c r="R101" s="38"/>
      <c r="S101" s="12"/>
      <c r="T101" s="13"/>
    </row>
    <row r="102" spans="1:20" s="3" customFormat="1" ht="30" hidden="1" outlineLevel="1" x14ac:dyDescent="0.25">
      <c r="A102" s="2">
        <f>ROW(DIARIO[[#This Row],[Nombre de Cuenta]])-1</f>
        <v>101</v>
      </c>
      <c r="B102" s="2"/>
      <c r="C102" s="12" t="s">
        <v>280</v>
      </c>
      <c r="D102" s="2">
        <f>VLOOKUP(C102,CATALOGO[],2,FALSE)</f>
        <v>51</v>
      </c>
      <c r="E102" s="12" t="str">
        <f>VLOOKUP(DIARIO[[#This Row],[Objeto de Gasto]],CATALOGO[],3,FALSE)</f>
        <v>39540 Otro Instrumental, Accesorios Y Material Medico</v>
      </c>
      <c r="F102" s="12"/>
      <c r="G102" s="12" t="s">
        <v>30</v>
      </c>
      <c r="H102" s="2"/>
      <c r="I102" s="8"/>
      <c r="J102" s="2"/>
      <c r="K102" s="8"/>
      <c r="L102" s="2"/>
      <c r="M102" s="8"/>
      <c r="N102" s="13">
        <v>1758888</v>
      </c>
      <c r="O102" s="13"/>
      <c r="P102" s="14">
        <f t="shared" si="14"/>
        <v>1758888</v>
      </c>
      <c r="Q102" s="2" t="s">
        <v>30</v>
      </c>
      <c r="R102" s="38"/>
      <c r="S102" s="12"/>
      <c r="T102" s="13"/>
    </row>
    <row r="103" spans="1:20" s="3" customFormat="1" ht="30" hidden="1" outlineLevel="1" x14ac:dyDescent="0.25">
      <c r="A103" s="2">
        <f>ROW(DIARIO[[#This Row],[Nombre de Cuenta]])-1</f>
        <v>102</v>
      </c>
      <c r="B103" s="2"/>
      <c r="C103" s="12" t="s">
        <v>417</v>
      </c>
      <c r="D103" s="2">
        <f>VLOOKUP(C103,CATALOGO[],2,FALSE)</f>
        <v>51</v>
      </c>
      <c r="E103" s="12" t="str">
        <f>VLOOKUP(DIARIO[[#This Row],[Objeto de Gasto]],CATALOGO[],3,FALSE)</f>
        <v>39540 Otro Instrumental, Accesorios Y Material Medico</v>
      </c>
      <c r="F103" s="12"/>
      <c r="G103" s="12" t="s">
        <v>30</v>
      </c>
      <c r="H103" s="2"/>
      <c r="I103" s="8"/>
      <c r="J103" s="2"/>
      <c r="K103" s="8"/>
      <c r="L103" s="2"/>
      <c r="M103" s="8"/>
      <c r="N103" s="13">
        <v>3834551</v>
      </c>
      <c r="O103" s="13"/>
      <c r="P103" s="14">
        <f t="shared" si="14"/>
        <v>3834551</v>
      </c>
      <c r="Q103" s="2" t="s">
        <v>30</v>
      </c>
      <c r="R103" s="38"/>
      <c r="S103" s="12"/>
      <c r="T103" s="13"/>
    </row>
    <row r="104" spans="1:20" s="3" customFormat="1" ht="30" hidden="1" outlineLevel="1" x14ac:dyDescent="0.25">
      <c r="A104" s="2">
        <f>ROW(DIARIO[[#This Row],[Nombre de Cuenta]])-1</f>
        <v>103</v>
      </c>
      <c r="B104" s="2"/>
      <c r="C104" s="12" t="s">
        <v>281</v>
      </c>
      <c r="D104" s="2">
        <f>VLOOKUP(C104,CATALOGO[],2,FALSE)</f>
        <v>51</v>
      </c>
      <c r="E104" s="12" t="str">
        <f>VLOOKUP(DIARIO[[#This Row],[Objeto de Gasto]],CATALOGO[],3,FALSE)</f>
        <v>39540 Otro Instrumental, Accesorios Y Material Medico</v>
      </c>
      <c r="F104" s="12"/>
      <c r="G104" s="12" t="s">
        <v>30</v>
      </c>
      <c r="H104" s="2"/>
      <c r="I104" s="8"/>
      <c r="J104" s="2"/>
      <c r="K104" s="8"/>
      <c r="L104" s="2"/>
      <c r="M104" s="8"/>
      <c r="N104" s="13">
        <v>291750</v>
      </c>
      <c r="O104" s="13"/>
      <c r="P104" s="14">
        <f t="shared" si="14"/>
        <v>291750</v>
      </c>
      <c r="Q104" s="2" t="s">
        <v>30</v>
      </c>
      <c r="R104" s="38"/>
      <c r="S104" s="12"/>
      <c r="T104" s="13"/>
    </row>
    <row r="105" spans="1:20" s="3" customFormat="1" hidden="1" outlineLevel="1" x14ac:dyDescent="0.25">
      <c r="A105" s="2">
        <f>ROW(DIARIO[[#This Row],[Nombre de Cuenta]])-1</f>
        <v>104</v>
      </c>
      <c r="B105" s="2"/>
      <c r="C105" s="12" t="s">
        <v>282</v>
      </c>
      <c r="D105" s="2">
        <f>VLOOKUP(C105,CATALOGO[],2,FALSE)</f>
        <v>52</v>
      </c>
      <c r="E105" s="12" t="str">
        <f>VLOOKUP(DIARIO[[#This Row],[Objeto de Gasto]],CATALOGO[],3,FALSE)</f>
        <v>39600 Otros Repuestos Y Accesorios Menores</v>
      </c>
      <c r="F105" s="12"/>
      <c r="G105" s="12" t="s">
        <v>30</v>
      </c>
      <c r="H105" s="2"/>
      <c r="I105" s="8"/>
      <c r="J105" s="2"/>
      <c r="K105" s="8"/>
      <c r="L105" s="2"/>
      <c r="M105" s="8"/>
      <c r="N105" s="13">
        <v>65000</v>
      </c>
      <c r="O105" s="13"/>
      <c r="P105" s="14">
        <f t="shared" si="14"/>
        <v>65000</v>
      </c>
      <c r="Q105" s="2" t="s">
        <v>30</v>
      </c>
      <c r="R105" s="38"/>
      <c r="S105" s="12"/>
      <c r="T105" s="13"/>
    </row>
    <row r="106" spans="1:20" s="3" customFormat="1" hidden="1" outlineLevel="1" x14ac:dyDescent="0.25">
      <c r="A106" s="2">
        <f>ROW(DIARIO[[#This Row],[Nombre de Cuenta]])-1</f>
        <v>105</v>
      </c>
      <c r="B106" s="2"/>
      <c r="C106" s="12" t="s">
        <v>285</v>
      </c>
      <c r="D106" s="2">
        <f>VLOOKUP(C106,CATALOGO[],2,FALSE)</f>
        <v>52</v>
      </c>
      <c r="E106" s="12" t="str">
        <f>VLOOKUP(DIARIO[[#This Row],[Objeto de Gasto]],CATALOGO[],3,FALSE)</f>
        <v>39600 Otros Repuestos Y Accesorios Menores</v>
      </c>
      <c r="F106" s="12"/>
      <c r="G106" s="12" t="s">
        <v>30</v>
      </c>
      <c r="H106" s="2"/>
      <c r="I106" s="8"/>
      <c r="J106" s="2"/>
      <c r="K106" s="8"/>
      <c r="L106" s="2"/>
      <c r="M106" s="8"/>
      <c r="N106" s="13">
        <v>287680</v>
      </c>
      <c r="O106" s="13"/>
      <c r="P106" s="14">
        <f t="shared" si="14"/>
        <v>287680</v>
      </c>
      <c r="Q106" s="2" t="s">
        <v>30</v>
      </c>
      <c r="R106" s="38"/>
      <c r="S106" s="12"/>
      <c r="T106" s="13"/>
    </row>
    <row r="107" spans="1:20" s="3" customFormat="1" hidden="1" outlineLevel="1" x14ac:dyDescent="0.25">
      <c r="A107" s="2">
        <f>ROW(DIARIO[[#This Row],[Nombre de Cuenta]])-1</f>
        <v>106</v>
      </c>
      <c r="B107" s="2"/>
      <c r="C107" s="12" t="s">
        <v>418</v>
      </c>
      <c r="D107" s="2">
        <f>VLOOKUP(C107,CATALOGO[],2,FALSE)</f>
        <v>52</v>
      </c>
      <c r="E107" s="12" t="str">
        <f>VLOOKUP(DIARIO[[#This Row],[Objeto de Gasto]],CATALOGO[],3,FALSE)</f>
        <v>39600 Otros Repuestos Y Accesorios Menores</v>
      </c>
      <c r="F107" s="12"/>
      <c r="G107" s="12" t="s">
        <v>30</v>
      </c>
      <c r="H107" s="2"/>
      <c r="I107" s="8"/>
      <c r="J107" s="2"/>
      <c r="K107" s="8"/>
      <c r="L107" s="2"/>
      <c r="M107" s="8"/>
      <c r="N107" s="13">
        <v>319596</v>
      </c>
      <c r="O107" s="13"/>
      <c r="P107" s="14">
        <f t="shared" si="14"/>
        <v>319596</v>
      </c>
      <c r="Q107" s="2" t="s">
        <v>30</v>
      </c>
      <c r="R107" s="38"/>
      <c r="S107" s="12"/>
      <c r="T107" s="13"/>
    </row>
    <row r="108" spans="1:20" s="3" customFormat="1" hidden="1" outlineLevel="1" x14ac:dyDescent="0.25">
      <c r="A108" s="2">
        <f>ROW(DIARIO[[#This Row],[Nombre de Cuenta]])-1</f>
        <v>107</v>
      </c>
      <c r="B108" s="2"/>
      <c r="C108" s="12" t="s">
        <v>286</v>
      </c>
      <c r="D108" s="2">
        <f>VLOOKUP(C108,CATALOGO[],2,FALSE)</f>
        <v>52</v>
      </c>
      <c r="E108" s="12" t="str">
        <f>VLOOKUP(DIARIO[[#This Row],[Objeto de Gasto]],CATALOGO[],3,FALSE)</f>
        <v>39600 Otros Repuestos Y Accesorios Menores</v>
      </c>
      <c r="F108" s="12"/>
      <c r="G108" s="12" t="s">
        <v>30</v>
      </c>
      <c r="H108" s="2"/>
      <c r="I108" s="8"/>
      <c r="J108" s="2"/>
      <c r="K108" s="8"/>
      <c r="L108" s="2"/>
      <c r="M108" s="8"/>
      <c r="N108" s="13">
        <v>159220</v>
      </c>
      <c r="O108" s="13"/>
      <c r="P108" s="14">
        <f t="shared" si="14"/>
        <v>159220</v>
      </c>
      <c r="Q108" s="2" t="s">
        <v>30</v>
      </c>
      <c r="R108" s="38"/>
      <c r="S108" s="12"/>
      <c r="T108" s="13"/>
    </row>
    <row r="109" spans="1:20" s="3" customFormat="1" hidden="1" outlineLevel="1" x14ac:dyDescent="0.25">
      <c r="A109" s="2">
        <f>ROW(DIARIO[[#This Row],[Nombre de Cuenta]])-1</f>
        <v>108</v>
      </c>
      <c r="B109" s="2"/>
      <c r="C109" s="12" t="s">
        <v>419</v>
      </c>
      <c r="D109" s="2">
        <f>VLOOKUP(C109,CATALOGO[],2,FALSE)</f>
        <v>54</v>
      </c>
      <c r="E109" s="12" t="str">
        <f>VLOOKUP(DIARIO[[#This Row],[Objeto de Gasto]],CATALOGO[],3,FALSE)</f>
        <v>42110 Muebles Varios De Oficina</v>
      </c>
      <c r="F109" s="12"/>
      <c r="G109" s="12" t="s">
        <v>30</v>
      </c>
      <c r="H109" s="2"/>
      <c r="I109" s="8"/>
      <c r="J109" s="2"/>
      <c r="K109" s="8"/>
      <c r="L109" s="2"/>
      <c r="M109" s="8"/>
      <c r="N109" s="13">
        <v>200000</v>
      </c>
      <c r="O109" s="13"/>
      <c r="P109" s="14">
        <f t="shared" si="14"/>
        <v>200000</v>
      </c>
      <c r="Q109" s="2" t="s">
        <v>30</v>
      </c>
      <c r="R109" s="38"/>
      <c r="S109" s="12"/>
      <c r="T109" s="13"/>
    </row>
    <row r="110" spans="1:20" s="3" customFormat="1" hidden="1" outlineLevel="1" x14ac:dyDescent="0.25">
      <c r="A110" s="2">
        <f>ROW(DIARIO[[#This Row],[Nombre de Cuenta]])-1</f>
        <v>109</v>
      </c>
      <c r="B110" s="2"/>
      <c r="C110" s="12" t="s">
        <v>297</v>
      </c>
      <c r="D110" s="2">
        <f>VLOOKUP(C110,CATALOGO[],2,FALSE)</f>
        <v>54</v>
      </c>
      <c r="E110" s="12" t="str">
        <f>VLOOKUP(DIARIO[[#This Row],[Objeto de Gasto]],CATALOGO[],3,FALSE)</f>
        <v>42110 Muebles Varios De Oficina</v>
      </c>
      <c r="F110" s="12"/>
      <c r="G110" s="12" t="s">
        <v>30</v>
      </c>
      <c r="H110" s="2"/>
      <c r="I110" s="8"/>
      <c r="J110" s="2"/>
      <c r="K110" s="8"/>
      <c r="L110" s="2"/>
      <c r="M110" s="8"/>
      <c r="N110" s="13">
        <v>100000</v>
      </c>
      <c r="O110" s="13"/>
      <c r="P110" s="14">
        <f t="shared" si="14"/>
        <v>100000</v>
      </c>
      <c r="Q110" s="2" t="s">
        <v>30</v>
      </c>
      <c r="R110" s="38"/>
      <c r="S110" s="12"/>
      <c r="T110" s="13"/>
    </row>
    <row r="111" spans="1:20" s="3" customFormat="1" hidden="1" outlineLevel="1" x14ac:dyDescent="0.25">
      <c r="A111" s="2">
        <f>ROW(DIARIO[[#This Row],[Nombre de Cuenta]])-1</f>
        <v>110</v>
      </c>
      <c r="B111" s="2"/>
      <c r="C111" s="12" t="s">
        <v>301</v>
      </c>
      <c r="D111" s="2">
        <f>VLOOKUP(C111,CATALOGO[],2,FALSE)</f>
        <v>55</v>
      </c>
      <c r="E111" s="12" t="str">
        <f>VLOOKUP(DIARIO[[#This Row],[Objeto de Gasto]],CATALOGO[],3,FALSE)</f>
        <v>42120 Equipos Varios De Oficina</v>
      </c>
      <c r="F111" s="12"/>
      <c r="G111" s="12" t="s">
        <v>30</v>
      </c>
      <c r="H111" s="2"/>
      <c r="I111" s="8"/>
      <c r="J111" s="2"/>
      <c r="K111" s="8"/>
      <c r="L111" s="2"/>
      <c r="M111" s="8"/>
      <c r="N111" s="13">
        <v>100000</v>
      </c>
      <c r="O111" s="13"/>
      <c r="P111" s="14">
        <f t="shared" si="14"/>
        <v>100000</v>
      </c>
      <c r="Q111" s="2" t="s">
        <v>30</v>
      </c>
      <c r="R111" s="38"/>
      <c r="S111" s="12"/>
      <c r="T111" s="13"/>
    </row>
    <row r="112" spans="1:20" s="3" customFormat="1" hidden="1" outlineLevel="1" x14ac:dyDescent="0.25">
      <c r="A112" s="2">
        <f>ROW(DIARIO[[#This Row],[Nombre de Cuenta]])-1</f>
        <v>111</v>
      </c>
      <c r="B112" s="2"/>
      <c r="C112" s="12" t="s">
        <v>420</v>
      </c>
      <c r="D112" s="2">
        <f>VLOOKUP(C112,CATALOGO[],2,FALSE)</f>
        <v>55</v>
      </c>
      <c r="E112" s="12" t="str">
        <f>VLOOKUP(DIARIO[[#This Row],[Objeto de Gasto]],CATALOGO[],3,FALSE)</f>
        <v>42120 Equipos Varios De Oficina</v>
      </c>
      <c r="F112" s="12"/>
      <c r="G112" s="12" t="s">
        <v>30</v>
      </c>
      <c r="H112" s="2"/>
      <c r="I112" s="8"/>
      <c r="J112" s="2"/>
      <c r="K112" s="8"/>
      <c r="L112" s="2"/>
      <c r="M112" s="8"/>
      <c r="N112" s="13">
        <v>896998</v>
      </c>
      <c r="O112" s="13"/>
      <c r="P112" s="14">
        <f t="shared" si="14"/>
        <v>896998</v>
      </c>
      <c r="Q112" s="2" t="s">
        <v>30</v>
      </c>
      <c r="R112" s="38"/>
      <c r="S112" s="12"/>
      <c r="T112" s="13"/>
    </row>
    <row r="113" spans="1:20" s="3" customFormat="1" hidden="1" outlineLevel="1" x14ac:dyDescent="0.25">
      <c r="A113" s="2">
        <f>ROW(DIARIO[[#This Row],[Nombre de Cuenta]])-1</f>
        <v>112</v>
      </c>
      <c r="B113" s="2"/>
      <c r="C113" s="12" t="s">
        <v>302</v>
      </c>
      <c r="D113" s="2">
        <f>VLOOKUP(C113,CATALOGO[],2,FALSE)</f>
        <v>55</v>
      </c>
      <c r="E113" s="12" t="str">
        <f>VLOOKUP(DIARIO[[#This Row],[Objeto de Gasto]],CATALOGO[],3,FALSE)</f>
        <v>42120 Equipos Varios De Oficina</v>
      </c>
      <c r="F113" s="12"/>
      <c r="G113" s="12" t="s">
        <v>30</v>
      </c>
      <c r="H113" s="2"/>
      <c r="I113" s="8"/>
      <c r="J113" s="2"/>
      <c r="K113" s="8"/>
      <c r="L113" s="2"/>
      <c r="M113" s="8"/>
      <c r="N113" s="13">
        <v>100000</v>
      </c>
      <c r="O113" s="13"/>
      <c r="P113" s="14">
        <f t="shared" si="14"/>
        <v>100000</v>
      </c>
      <c r="Q113" s="2" t="s">
        <v>30</v>
      </c>
      <c r="R113" s="38"/>
      <c r="S113" s="12"/>
      <c r="T113" s="13"/>
    </row>
    <row r="114" spans="1:20" s="3" customFormat="1" ht="30" hidden="1" outlineLevel="1" x14ac:dyDescent="0.25">
      <c r="A114" s="2">
        <f>ROW(DIARIO[[#This Row],[Nombre de Cuenta]])-1</f>
        <v>113</v>
      </c>
      <c r="B114" s="2"/>
      <c r="C114" s="12" t="s">
        <v>421</v>
      </c>
      <c r="D114" s="2">
        <f>VLOOKUP(C114,CATALOGO[],2,FALSE)</f>
        <v>57</v>
      </c>
      <c r="E114" s="12" t="str">
        <f>VLOOKUP(DIARIO[[#This Row],[Objeto de Gasto]],CATALOGO[],3,FALSE)</f>
        <v>42220 Maquinaria Y Equipo De Producción Agropecuaria Y Forestal</v>
      </c>
      <c r="F114" s="12"/>
      <c r="G114" s="12" t="s">
        <v>30</v>
      </c>
      <c r="H114" s="2"/>
      <c r="I114" s="8"/>
      <c r="J114" s="2"/>
      <c r="K114" s="8"/>
      <c r="L114" s="2"/>
      <c r="M114" s="8"/>
      <c r="N114" s="13">
        <v>1500000</v>
      </c>
      <c r="O114" s="13"/>
      <c r="P114" s="14">
        <f>N114-O114</f>
        <v>1500000</v>
      </c>
      <c r="Q114" s="2" t="s">
        <v>30</v>
      </c>
      <c r="R114" s="38"/>
      <c r="S114" s="12"/>
      <c r="T114" s="13"/>
    </row>
    <row r="115" spans="1:20" s="3" customFormat="1" ht="30" hidden="1" outlineLevel="1" x14ac:dyDescent="0.25">
      <c r="A115" s="2">
        <f>ROW(DIARIO[[#This Row],[Nombre de Cuenta]])-1</f>
        <v>114</v>
      </c>
      <c r="B115" s="2"/>
      <c r="C115" s="12" t="s">
        <v>422</v>
      </c>
      <c r="D115" s="2">
        <f>VLOOKUP(C115,CATALOGO[],2,FALSE)</f>
        <v>61</v>
      </c>
      <c r="E115" s="12" t="str">
        <f>VLOOKUP(DIARIO[[#This Row],[Objeto de Gasto]],CATALOGO[],3,FALSE)</f>
        <v>42310 Equipo De Transporte Terrestre Para Personas</v>
      </c>
      <c r="F115" s="12"/>
      <c r="G115" s="12" t="s">
        <v>30</v>
      </c>
      <c r="H115" s="2"/>
      <c r="I115" s="8"/>
      <c r="J115" s="2"/>
      <c r="K115" s="8"/>
      <c r="L115" s="2"/>
      <c r="M115" s="8"/>
      <c r="N115" s="13">
        <v>800000</v>
      </c>
      <c r="O115" s="13"/>
      <c r="P115" s="14">
        <f t="shared" si="14"/>
        <v>800000</v>
      </c>
      <c r="Q115" s="2" t="s">
        <v>30</v>
      </c>
      <c r="R115" s="38"/>
      <c r="S115" s="12"/>
      <c r="T115" s="13"/>
    </row>
    <row r="116" spans="1:20" s="3" customFormat="1" hidden="1" outlineLevel="1" x14ac:dyDescent="0.25">
      <c r="A116" s="2">
        <f>ROW(DIARIO[[#This Row],[Nombre de Cuenta]])-1</f>
        <v>115</v>
      </c>
      <c r="B116" s="2"/>
      <c r="C116" s="12" t="s">
        <v>316</v>
      </c>
      <c r="D116" s="2">
        <f>VLOOKUP(C116,CATALOGO[],2,FALSE)</f>
        <v>58</v>
      </c>
      <c r="E116" s="12" t="str">
        <f>VLOOKUP(DIARIO[[#This Row],[Objeto de Gasto]],CATALOGO[],3,FALSE)</f>
        <v>42420 Equipo De Laboratorio Medico</v>
      </c>
      <c r="F116" s="12"/>
      <c r="G116" s="12" t="s">
        <v>30</v>
      </c>
      <c r="H116" s="2"/>
      <c r="I116" s="8"/>
      <c r="J116" s="2"/>
      <c r="K116" s="8"/>
      <c r="L116" s="2"/>
      <c r="M116" s="8"/>
      <c r="N116" s="13">
        <v>8278941</v>
      </c>
      <c r="O116" s="13"/>
      <c r="P116" s="14">
        <f t="shared" si="14"/>
        <v>8278941</v>
      </c>
      <c r="Q116" s="2" t="s">
        <v>30</v>
      </c>
      <c r="R116" s="38"/>
      <c r="S116" s="12"/>
      <c r="T116" s="13"/>
    </row>
    <row r="117" spans="1:20" s="3" customFormat="1" hidden="1" outlineLevel="1" x14ac:dyDescent="0.25">
      <c r="A117" s="2">
        <f>ROW(DIARIO[[#This Row],[Nombre de Cuenta]])-1</f>
        <v>116</v>
      </c>
      <c r="B117" s="2"/>
      <c r="C117" s="12" t="s">
        <v>423</v>
      </c>
      <c r="D117" s="2">
        <f>VLOOKUP(C117,CATALOGO[],2,FALSE)</f>
        <v>58</v>
      </c>
      <c r="E117" s="12" t="str">
        <f>VLOOKUP(DIARIO[[#This Row],[Objeto de Gasto]],CATALOGO[],3,FALSE)</f>
        <v>42420 Equipo De Laboratorio Medico</v>
      </c>
      <c r="F117" s="12"/>
      <c r="G117" s="12" t="s">
        <v>30</v>
      </c>
      <c r="H117" s="2"/>
      <c r="I117" s="8"/>
      <c r="J117" s="2"/>
      <c r="K117" s="8"/>
      <c r="L117" s="2"/>
      <c r="M117" s="8"/>
      <c r="N117" s="13">
        <v>2497107</v>
      </c>
      <c r="O117" s="13"/>
      <c r="P117" s="14">
        <f t="shared" si="14"/>
        <v>2497107</v>
      </c>
      <c r="Q117" s="2" t="s">
        <v>30</v>
      </c>
      <c r="R117" s="38"/>
      <c r="S117" s="12"/>
      <c r="T117" s="13"/>
    </row>
    <row r="118" spans="1:20" s="3" customFormat="1" hidden="1" outlineLevel="1" x14ac:dyDescent="0.25">
      <c r="A118" s="2">
        <f>ROW(DIARIO[[#This Row],[Nombre de Cuenta]])-1</f>
        <v>117</v>
      </c>
      <c r="B118" s="2"/>
      <c r="C118" s="12" t="s">
        <v>317</v>
      </c>
      <c r="D118" s="2">
        <f>VLOOKUP(C118,CATALOGO[],2,FALSE)</f>
        <v>58</v>
      </c>
      <c r="E118" s="12" t="str">
        <f>VLOOKUP(DIARIO[[#This Row],[Objeto de Gasto]],CATALOGO[],3,FALSE)</f>
        <v>42420 Equipo De Laboratorio Medico</v>
      </c>
      <c r="F118" s="12"/>
      <c r="G118" s="12" t="s">
        <v>30</v>
      </c>
      <c r="H118" s="2"/>
      <c r="I118" s="8"/>
      <c r="J118" s="2"/>
      <c r="K118" s="8"/>
      <c r="L118" s="2"/>
      <c r="M118" s="8"/>
      <c r="N118" s="13">
        <v>4000000</v>
      </c>
      <c r="O118" s="13"/>
      <c r="P118" s="14">
        <f t="shared" si="14"/>
        <v>4000000</v>
      </c>
      <c r="Q118" s="2" t="s">
        <v>30</v>
      </c>
      <c r="R118" s="38"/>
      <c r="S118" s="12"/>
      <c r="T118" s="13"/>
    </row>
    <row r="119" spans="1:20" s="3" customFormat="1" hidden="1" outlineLevel="1" x14ac:dyDescent="0.25">
      <c r="A119" s="2">
        <f>ROW(DIARIO[[#This Row],[Nombre de Cuenta]])-1</f>
        <v>118</v>
      </c>
      <c r="B119" s="2"/>
      <c r="C119" s="12" t="s">
        <v>318</v>
      </c>
      <c r="D119" s="2">
        <f>VLOOKUP(C119,CATALOGO[],2,FALSE)</f>
        <v>59</v>
      </c>
      <c r="E119" s="12" t="str">
        <f>VLOOKUP(DIARIO[[#This Row],[Objeto de Gasto]],CATALOGO[],3,FALSE)</f>
        <v>42600 Equipo Para Computacion</v>
      </c>
      <c r="F119" s="12"/>
      <c r="G119" s="12" t="s">
        <v>30</v>
      </c>
      <c r="H119" s="2"/>
      <c r="I119" s="8"/>
      <c r="J119" s="2"/>
      <c r="K119" s="8"/>
      <c r="L119" s="2"/>
      <c r="M119" s="8"/>
      <c r="N119" s="13">
        <v>30000</v>
      </c>
      <c r="O119" s="13"/>
      <c r="P119" s="14">
        <f t="shared" si="14"/>
        <v>30000</v>
      </c>
      <c r="Q119" s="2" t="s">
        <v>30</v>
      </c>
      <c r="R119" s="38"/>
      <c r="S119" s="12"/>
      <c r="T119" s="13"/>
    </row>
    <row r="120" spans="1:20" s="3" customFormat="1" hidden="1" outlineLevel="1" x14ac:dyDescent="0.25">
      <c r="A120" s="2">
        <f>ROW(DIARIO[[#This Row],[Nombre de Cuenta]])-1</f>
        <v>119</v>
      </c>
      <c r="B120" s="2"/>
      <c r="C120" s="12" t="s">
        <v>321</v>
      </c>
      <c r="D120" s="2">
        <f>VLOOKUP(C120,CATALOGO[],2,FALSE)</f>
        <v>59</v>
      </c>
      <c r="E120" s="12" t="str">
        <f>VLOOKUP(DIARIO[[#This Row],[Objeto de Gasto]],CATALOGO[],3,FALSE)</f>
        <v>42600 Equipo Para Computacion</v>
      </c>
      <c r="F120" s="12"/>
      <c r="G120" s="12" t="s">
        <v>30</v>
      </c>
      <c r="H120" s="2"/>
      <c r="I120" s="8"/>
      <c r="J120" s="2"/>
      <c r="K120" s="8"/>
      <c r="L120" s="2"/>
      <c r="M120" s="8"/>
      <c r="N120" s="13">
        <v>2674631</v>
      </c>
      <c r="O120" s="13"/>
      <c r="P120" s="14">
        <f t="shared" si="14"/>
        <v>2674631</v>
      </c>
      <c r="Q120" s="2" t="s">
        <v>30</v>
      </c>
      <c r="R120" s="38"/>
      <c r="S120" s="12"/>
      <c r="T120" s="13"/>
    </row>
    <row r="121" spans="1:20" s="3" customFormat="1" hidden="1" outlineLevel="1" x14ac:dyDescent="0.25">
      <c r="A121" s="2">
        <f>ROW(DIARIO[[#This Row],[Nombre de Cuenta]])-1</f>
        <v>120</v>
      </c>
      <c r="B121" s="2"/>
      <c r="C121" s="12" t="s">
        <v>424</v>
      </c>
      <c r="D121" s="2">
        <f>VLOOKUP(C121,CATALOGO[],2,FALSE)</f>
        <v>59</v>
      </c>
      <c r="E121" s="12" t="str">
        <f>VLOOKUP(DIARIO[[#This Row],[Objeto de Gasto]],CATALOGO[],3,FALSE)</f>
        <v>42600 Equipo Para Computacion</v>
      </c>
      <c r="F121" s="12"/>
      <c r="G121" s="12" t="s">
        <v>30</v>
      </c>
      <c r="H121" s="2"/>
      <c r="I121" s="8"/>
      <c r="J121" s="2"/>
      <c r="K121" s="8"/>
      <c r="L121" s="2"/>
      <c r="M121" s="8"/>
      <c r="N121" s="13">
        <v>393985</v>
      </c>
      <c r="O121" s="13"/>
      <c r="P121" s="14">
        <f t="shared" si="14"/>
        <v>393985</v>
      </c>
      <c r="Q121" s="2" t="s">
        <v>30</v>
      </c>
      <c r="R121" s="38"/>
      <c r="S121" s="12"/>
      <c r="T121" s="13"/>
    </row>
    <row r="122" spans="1:20" s="3" customFormat="1" hidden="1" outlineLevel="1" x14ac:dyDescent="0.25">
      <c r="A122" s="2">
        <f>ROW(DIARIO[[#This Row],[Nombre de Cuenta]])-1</f>
        <v>121</v>
      </c>
      <c r="B122" s="2"/>
      <c r="C122" s="12" t="s">
        <v>322</v>
      </c>
      <c r="D122" s="2">
        <f>VLOOKUP(C122,CATALOGO[],2,FALSE)</f>
        <v>59</v>
      </c>
      <c r="E122" s="12" t="str">
        <f>VLOOKUP(DIARIO[[#This Row],[Objeto de Gasto]],CATALOGO[],3,FALSE)</f>
        <v>42600 Equipo Para Computacion</v>
      </c>
      <c r="F122" s="12"/>
      <c r="G122" s="12" t="s">
        <v>30</v>
      </c>
      <c r="H122" s="2"/>
      <c r="I122" s="8"/>
      <c r="J122" s="2"/>
      <c r="K122" s="8"/>
      <c r="L122" s="2"/>
      <c r="M122" s="8"/>
      <c r="N122" s="13">
        <v>296000</v>
      </c>
      <c r="O122" s="13"/>
      <c r="P122" s="14">
        <f t="shared" si="14"/>
        <v>296000</v>
      </c>
      <c r="Q122" s="2" t="s">
        <v>30</v>
      </c>
      <c r="R122" s="38"/>
      <c r="S122" s="12"/>
      <c r="T122" s="13"/>
    </row>
    <row r="123" spans="1:20" s="3" customFormat="1" hidden="1" outlineLevel="1" x14ac:dyDescent="0.25">
      <c r="A123" s="2">
        <f>ROW(DIARIO[[#This Row],[Nombre de Cuenta]])-1</f>
        <v>122</v>
      </c>
      <c r="B123" s="2"/>
      <c r="C123" s="12" t="s">
        <v>326</v>
      </c>
      <c r="D123" s="2">
        <f>VLOOKUP(C123,CATALOGO[],2,FALSE)</f>
        <v>60</v>
      </c>
      <c r="E123" s="12" t="str">
        <f>VLOOKUP(DIARIO[[#This Row],[Objeto de Gasto]],CATALOGO[],3,FALSE)</f>
        <v>45100 Aplicaciones Informaticas</v>
      </c>
      <c r="F123" s="12"/>
      <c r="G123" s="12" t="s">
        <v>30</v>
      </c>
      <c r="H123" s="2"/>
      <c r="I123" s="8"/>
      <c r="J123" s="2"/>
      <c r="K123" s="8"/>
      <c r="L123" s="2"/>
      <c r="M123" s="8"/>
      <c r="N123" s="13">
        <v>200000</v>
      </c>
      <c r="O123" s="13"/>
      <c r="P123" s="14">
        <f t="shared" si="14"/>
        <v>200000</v>
      </c>
      <c r="Q123" s="2" t="s">
        <v>30</v>
      </c>
      <c r="R123" s="38"/>
      <c r="S123" s="12"/>
      <c r="T123" s="13"/>
    </row>
    <row r="124" spans="1:20" s="3" customFormat="1" hidden="1" outlineLevel="1" x14ac:dyDescent="0.25">
      <c r="A124" s="2">
        <f>ROW(DIARIO[[#This Row],[Nombre de Cuenta]])-1</f>
        <v>123</v>
      </c>
      <c r="B124" s="2"/>
      <c r="C124" s="12" t="s">
        <v>425</v>
      </c>
      <c r="D124" s="2">
        <f>VLOOKUP(C124,CATALOGO[],2,FALSE)</f>
        <v>60</v>
      </c>
      <c r="E124" s="12" t="str">
        <f>VLOOKUP(DIARIO[[#This Row],[Objeto de Gasto]],CATALOGO[],3,FALSE)</f>
        <v>45100 Aplicaciones Informaticas</v>
      </c>
      <c r="F124" s="12"/>
      <c r="G124" s="12" t="s">
        <v>30</v>
      </c>
      <c r="H124" s="2"/>
      <c r="I124" s="8"/>
      <c r="J124" s="2"/>
      <c r="K124" s="8"/>
      <c r="L124" s="2"/>
      <c r="M124" s="8"/>
      <c r="N124" s="13">
        <v>200000</v>
      </c>
      <c r="O124" s="13"/>
      <c r="P124" s="14">
        <f t="shared" si="14"/>
        <v>200000</v>
      </c>
      <c r="Q124" s="2" t="s">
        <v>30</v>
      </c>
      <c r="R124" s="38"/>
      <c r="S124" s="12"/>
      <c r="T124" s="13"/>
    </row>
    <row r="125" spans="1:20" s="3" customFormat="1" hidden="1" outlineLevel="1" x14ac:dyDescent="0.25">
      <c r="A125" s="2">
        <f>ROW(DIARIO[[#This Row],[Nombre de Cuenta]])-1</f>
        <v>124</v>
      </c>
      <c r="B125" s="2"/>
      <c r="C125" s="12" t="s">
        <v>327</v>
      </c>
      <c r="D125" s="2">
        <f>VLOOKUP(C125,CATALOGO[],2,FALSE)</f>
        <v>60</v>
      </c>
      <c r="E125" s="12" t="str">
        <f>VLOOKUP(DIARIO[[#This Row],[Objeto de Gasto]],CATALOGO[],3,FALSE)</f>
        <v>45100 Aplicaciones Informaticas</v>
      </c>
      <c r="F125" s="12"/>
      <c r="G125" s="12" t="s">
        <v>30</v>
      </c>
      <c r="H125" s="2"/>
      <c r="I125" s="8"/>
      <c r="J125" s="2"/>
      <c r="K125" s="8"/>
      <c r="L125" s="2"/>
      <c r="M125" s="8"/>
      <c r="N125" s="13">
        <v>110047</v>
      </c>
      <c r="O125" s="13"/>
      <c r="P125" s="14">
        <f t="shared" si="14"/>
        <v>110047</v>
      </c>
      <c r="Q125" s="2" t="s">
        <v>30</v>
      </c>
      <c r="R125" s="38"/>
      <c r="S125" s="12"/>
      <c r="T125" s="13"/>
    </row>
    <row r="126" spans="1:20" s="3" customFormat="1" hidden="1" outlineLevel="1" x14ac:dyDescent="0.25">
      <c r="A126" s="2">
        <f>ROW(DIARIO[[#This Row],[Nombre de Cuenta]])-1</f>
        <v>125</v>
      </c>
      <c r="B126" s="2"/>
      <c r="C126" s="12" t="s">
        <v>346</v>
      </c>
      <c r="D126" s="2">
        <f>VLOOKUP(C126,CATALOGO[],2,FALSE)</f>
        <v>62</v>
      </c>
      <c r="E126" s="12" t="str">
        <f>VLOOKUP(DIARIO[[#This Row],[Objeto de Gasto]],CATALOGO[],3,FALSE)</f>
        <v>51240 Beneficios Especiales</v>
      </c>
      <c r="F126" s="12"/>
      <c r="G126" s="12" t="s">
        <v>30</v>
      </c>
      <c r="H126" s="2"/>
      <c r="I126" s="8"/>
      <c r="J126" s="2"/>
      <c r="K126" s="8"/>
      <c r="L126" s="2"/>
      <c r="M126" s="8"/>
      <c r="N126" s="13">
        <v>1800</v>
      </c>
      <c r="O126" s="13"/>
      <c r="P126" s="14">
        <f t="shared" si="14"/>
        <v>1800</v>
      </c>
      <c r="Q126" s="2" t="s">
        <v>30</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426</v>
      </c>
      <c r="H127" s="2"/>
      <c r="I127" s="8"/>
      <c r="J127" s="2"/>
      <c r="K127" s="8"/>
      <c r="L127" s="2"/>
      <c r="M127" s="8"/>
      <c r="N127" s="13"/>
      <c r="O127" s="13">
        <v>44545640.859999999</v>
      </c>
      <c r="P127" s="14">
        <f t="shared" ref="P127:P177" si="15">N127-O127</f>
        <v>-44545640.859999999</v>
      </c>
      <c r="Q127" s="15" t="s">
        <v>18</v>
      </c>
      <c r="R127" s="38"/>
      <c r="S127" s="12"/>
      <c r="T127" s="13">
        <v>44545640.859999999</v>
      </c>
    </row>
    <row r="128" spans="1:20" s="3" customFormat="1" hidden="1" outlineLevel="1" x14ac:dyDescent="0.25">
      <c r="A128" s="2">
        <f>ROW(DIARIO[[#This Row],[Nombre de Cuenta]])-1</f>
        <v>127</v>
      </c>
      <c r="B128" s="2"/>
      <c r="C128" s="12" t="s">
        <v>38</v>
      </c>
      <c r="D128" s="2">
        <f>VLOOKUP(C128,CATALOGO[],2,FALSE)</f>
        <v>3</v>
      </c>
      <c r="E128" s="12" t="str">
        <f>VLOOKUP(DIARIO[[#This Row],[Objeto de Gasto]],CATALOGO[],3,FALSE)</f>
        <v>11400 Adicionales</v>
      </c>
      <c r="F128" s="12"/>
      <c r="G128" s="12" t="s">
        <v>426</v>
      </c>
      <c r="H128" s="2"/>
      <c r="I128" s="8"/>
      <c r="J128" s="2"/>
      <c r="K128" s="8"/>
      <c r="L128" s="2"/>
      <c r="M128" s="8"/>
      <c r="N128" s="13"/>
      <c r="O128" s="13">
        <v>40019.177896300382</v>
      </c>
      <c r="P128" s="14">
        <f t="shared" si="15"/>
        <v>-40019.177896300382</v>
      </c>
      <c r="Q128" s="15" t="s">
        <v>18</v>
      </c>
      <c r="R128" s="38"/>
      <c r="S128" s="12"/>
      <c r="T128" s="13">
        <v>40019.177896300382</v>
      </c>
    </row>
    <row r="129" spans="1:20" s="3" customFormat="1" hidden="1" outlineLevel="1" x14ac:dyDescent="0.25">
      <c r="A129" s="2">
        <f>ROW(DIARIO[[#This Row],[Nombre de Cuenta]])-1</f>
        <v>128</v>
      </c>
      <c r="B129" s="2"/>
      <c r="C129" s="12" t="s">
        <v>390</v>
      </c>
      <c r="D129" s="2">
        <f>VLOOKUP(C129,CATALOGO[],2,FALSE)</f>
        <v>3</v>
      </c>
      <c r="E129" s="12" t="str">
        <f>VLOOKUP(DIARIO[[#This Row],[Objeto de Gasto]],CATALOGO[],3,FALSE)</f>
        <v>11400 Adicionales</v>
      </c>
      <c r="F129" s="12"/>
      <c r="G129" s="12" t="s">
        <v>426</v>
      </c>
      <c r="H129" s="2"/>
      <c r="I129" s="8"/>
      <c r="J129" s="2"/>
      <c r="K129" s="8"/>
      <c r="L129" s="2"/>
      <c r="M129" s="8"/>
      <c r="N129" s="13"/>
      <c r="O129" s="13">
        <v>67879.729659883116</v>
      </c>
      <c r="P129" s="14">
        <f t="shared" si="15"/>
        <v>-67879.729659883116</v>
      </c>
      <c r="Q129" s="15" t="s">
        <v>18</v>
      </c>
      <c r="R129" s="38"/>
      <c r="S129" s="12"/>
      <c r="T129" s="13">
        <v>67879.729659883116</v>
      </c>
    </row>
    <row r="130" spans="1:20" s="3" customFormat="1" hidden="1" outlineLevel="1" x14ac:dyDescent="0.25">
      <c r="A130" s="2">
        <f>ROW(DIARIO[[#This Row],[Nombre de Cuenta]])-1</f>
        <v>129</v>
      </c>
      <c r="B130" s="2"/>
      <c r="C130" s="12" t="s">
        <v>35</v>
      </c>
      <c r="D130" s="2">
        <f>VLOOKUP(C130,CATALOGO[],2,FALSE)</f>
        <v>3</v>
      </c>
      <c r="E130" s="12" t="str">
        <f>VLOOKUP(DIARIO[[#This Row],[Objeto de Gasto]],CATALOGO[],3,FALSE)</f>
        <v>11400 Adicionales</v>
      </c>
      <c r="F130" s="12"/>
      <c r="G130" s="12" t="s">
        <v>426</v>
      </c>
      <c r="H130" s="2"/>
      <c r="I130" s="8"/>
      <c r="J130" s="2"/>
      <c r="K130" s="8"/>
      <c r="L130" s="2"/>
      <c r="M130" s="8"/>
      <c r="N130" s="13"/>
      <c r="O130" s="13">
        <v>186167.42244381653</v>
      </c>
      <c r="P130" s="14">
        <f t="shared" si="15"/>
        <v>-186167.42244381653</v>
      </c>
      <c r="Q130" s="15" t="s">
        <v>18</v>
      </c>
      <c r="R130" s="38"/>
      <c r="S130" s="12"/>
      <c r="T130" s="13">
        <v>186167.42244381653</v>
      </c>
    </row>
    <row r="131" spans="1:20" s="3" customFormat="1" hidden="1" outlineLevel="1" x14ac:dyDescent="0.25">
      <c r="A131" s="2">
        <f>ROW(DIARIO[[#This Row],[Nombre de Cuenta]])-1</f>
        <v>130</v>
      </c>
      <c r="B131" s="2"/>
      <c r="C131" s="12" t="s">
        <v>45</v>
      </c>
      <c r="D131" s="2">
        <f>VLOOKUP(C131,CATALOGO[],2,FALSE)</f>
        <v>5</v>
      </c>
      <c r="E131" s="12" t="str">
        <f>VLOOKUP(DIARIO[[#This Row],[Objeto de Gasto]],CATALOGO[],3,FALSE)</f>
        <v>11520 Decimocuarto Mes</v>
      </c>
      <c r="F131" s="12"/>
      <c r="G131" s="12" t="s">
        <v>426</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hidden="1" outlineLevel="1" x14ac:dyDescent="0.25">
      <c r="A132" s="2">
        <f>ROW(DIARIO[[#This Row],[Nombre de Cuenta]])-1</f>
        <v>131</v>
      </c>
      <c r="B132" s="2"/>
      <c r="C132" s="12" t="s">
        <v>50</v>
      </c>
      <c r="D132" s="2">
        <f>VLOOKUP(C132,CATALOGO[],2,FALSE)</f>
        <v>6</v>
      </c>
      <c r="E132" s="12" t="str">
        <f>VLOOKUP(DIARIO[[#This Row],[Objeto de Gasto]],CATALOGO[],3,FALSE)</f>
        <v>11600 Complementos</v>
      </c>
      <c r="F132" s="12"/>
      <c r="G132" s="12" t="s">
        <v>426</v>
      </c>
      <c r="H132" s="2"/>
      <c r="I132" s="8"/>
      <c r="J132" s="2"/>
      <c r="K132" s="8"/>
      <c r="L132" s="2"/>
      <c r="M132" s="8"/>
      <c r="N132" s="13"/>
      <c r="O132" s="13">
        <v>3855900.66</v>
      </c>
      <c r="P132" s="14">
        <f t="shared" si="15"/>
        <v>-3855900.66</v>
      </c>
      <c r="Q132" s="15" t="s">
        <v>18</v>
      </c>
      <c r="R132" s="38"/>
      <c r="S132" s="12"/>
      <c r="T132" s="13">
        <v>3855900.66</v>
      </c>
    </row>
    <row r="133" spans="1:20" s="3" customFormat="1" hidden="1" outlineLevel="1" x14ac:dyDescent="0.25">
      <c r="A133" s="2">
        <f>ROW(DIARIO[[#This Row],[Nombre de Cuenta]])-1</f>
        <v>132</v>
      </c>
      <c r="B133" s="2"/>
      <c r="C133" s="12" t="s">
        <v>55</v>
      </c>
      <c r="D133" s="2">
        <f>VLOOKUP(C133,CATALOGO[],2,FALSE)</f>
        <v>7</v>
      </c>
      <c r="E133" s="12" t="str">
        <f>VLOOKUP(DIARIO[[#This Row],[Objeto de Gasto]],CATALOGO[],3,FALSE)</f>
        <v>11710 Contribuciones Al Injupemp</v>
      </c>
      <c r="F133" s="12"/>
      <c r="G133" s="12" t="s">
        <v>426</v>
      </c>
      <c r="H133" s="2"/>
      <c r="I133" s="8"/>
      <c r="J133" s="2"/>
      <c r="K133" s="8"/>
      <c r="L133" s="2"/>
      <c r="M133" s="8"/>
      <c r="N133" s="13"/>
      <c r="O133" s="13">
        <v>6343709.8899999997</v>
      </c>
      <c r="P133" s="14">
        <f t="shared" si="15"/>
        <v>-6343709.8899999997</v>
      </c>
      <c r="Q133" s="15" t="s">
        <v>18</v>
      </c>
      <c r="R133" s="38"/>
      <c r="S133" s="12"/>
      <c r="T133" s="13"/>
    </row>
    <row r="134" spans="1:20" s="3" customFormat="1" hidden="1" outlineLevel="1" x14ac:dyDescent="0.25">
      <c r="A134" s="2">
        <f>ROW(DIARIO[[#This Row],[Nombre de Cuenta]])-1</f>
        <v>133</v>
      </c>
      <c r="B134" s="2"/>
      <c r="C134" s="12" t="s">
        <v>60</v>
      </c>
      <c r="D134" s="2">
        <f>VLOOKUP(C134,CATALOGO[],2,FALSE)</f>
        <v>8</v>
      </c>
      <c r="E134" s="12" t="str">
        <f>VLOOKUP(DIARIO[[#This Row],[Objeto de Gasto]],CATALOGO[],3,FALSE)</f>
        <v>11750 Contribuciones Para El Seguro Social</v>
      </c>
      <c r="F134" s="12"/>
      <c r="G134" s="12" t="s">
        <v>426</v>
      </c>
      <c r="H134" s="2"/>
      <c r="I134" s="8"/>
      <c r="J134" s="2"/>
      <c r="K134" s="8"/>
      <c r="L134" s="2"/>
      <c r="M134" s="8"/>
      <c r="N134" s="13"/>
      <c r="O134" s="13">
        <v>660822.77</v>
      </c>
      <c r="P134" s="14">
        <f t="shared" si="15"/>
        <v>-660822.77</v>
      </c>
      <c r="Q134" s="15" t="s">
        <v>18</v>
      </c>
      <c r="R134" s="38"/>
      <c r="S134" s="12"/>
      <c r="T134" s="13">
        <v>660822.77</v>
      </c>
    </row>
    <row r="135" spans="1:20" s="3" customFormat="1" hidden="1" outlineLevel="1" x14ac:dyDescent="0.25">
      <c r="A135" s="2">
        <f>ROW(DIARIO[[#This Row],[Nombre de Cuenta]])-1</f>
        <v>134</v>
      </c>
      <c r="B135" s="2"/>
      <c r="C135" s="12" t="s">
        <v>68</v>
      </c>
      <c r="D135" s="2">
        <f>VLOOKUP(C135,CATALOGO[],2,FALSE)</f>
        <v>9</v>
      </c>
      <c r="E135" s="12" t="str">
        <f>VLOOKUP(DIARIO[[#This Row],[Objeto de Gasto]],CATALOGO[],3,FALSE)</f>
        <v>12100 Sueldos Basicos</v>
      </c>
      <c r="F135" s="12"/>
      <c r="G135" s="12" t="s">
        <v>426</v>
      </c>
      <c r="H135" s="2"/>
      <c r="I135" s="8"/>
      <c r="J135" s="2"/>
      <c r="K135" s="8"/>
      <c r="L135" s="2"/>
      <c r="M135" s="8"/>
      <c r="N135" s="13"/>
      <c r="O135" s="13">
        <v>10659086.655121563</v>
      </c>
      <c r="P135" s="14">
        <f t="shared" ref="P135:P145" si="16">N135-O135</f>
        <v>-10659086.655121563</v>
      </c>
      <c r="Q135" s="15" t="s">
        <v>18</v>
      </c>
      <c r="R135" s="38"/>
      <c r="S135" s="12"/>
      <c r="T135" s="13">
        <v>10659086.655121563</v>
      </c>
    </row>
    <row r="136" spans="1:20" s="3" customFormat="1" hidden="1" outlineLevel="1" x14ac:dyDescent="0.25">
      <c r="A136" s="2">
        <f>ROW(DIARIO[[#This Row],[Nombre de Cuenta]])-1</f>
        <v>135</v>
      </c>
      <c r="B136" s="2"/>
      <c r="C136" s="12" t="s">
        <v>391</v>
      </c>
      <c r="D136" s="2">
        <f>VLOOKUP(C136,CATALOGO[],2,FALSE)</f>
        <v>9</v>
      </c>
      <c r="E136" s="12" t="str">
        <f>VLOOKUP(DIARIO[[#This Row],[Objeto de Gasto]],CATALOGO[],3,FALSE)</f>
        <v>12100 Sueldos Basicos</v>
      </c>
      <c r="F136" s="12"/>
      <c r="G136" s="12" t="s">
        <v>426</v>
      </c>
      <c r="H136" s="2"/>
      <c r="I136" s="8"/>
      <c r="J136" s="2"/>
      <c r="K136" s="8"/>
      <c r="L136" s="2"/>
      <c r="M136" s="8"/>
      <c r="N136" s="13"/>
      <c r="O136" s="13">
        <v>7168849.8839231944</v>
      </c>
      <c r="P136" s="14">
        <f t="shared" si="16"/>
        <v>-7168849.8839231944</v>
      </c>
      <c r="Q136" s="15" t="s">
        <v>18</v>
      </c>
      <c r="R136" s="38"/>
      <c r="S136" s="12"/>
      <c r="T136" s="13">
        <v>7168849.8839231944</v>
      </c>
    </row>
    <row r="137" spans="1:20" s="3" customFormat="1" hidden="1" outlineLevel="1" x14ac:dyDescent="0.25">
      <c r="A137" s="2">
        <f>ROW(DIARIO[[#This Row],[Nombre de Cuenta]])-1</f>
        <v>136</v>
      </c>
      <c r="B137" s="2"/>
      <c r="C137" s="12" t="s">
        <v>69</v>
      </c>
      <c r="D137" s="2">
        <f>VLOOKUP(C137,CATALOGO[],2,FALSE)</f>
        <v>9</v>
      </c>
      <c r="E137" s="12" t="str">
        <f>VLOOKUP(DIARIO[[#This Row],[Objeto de Gasto]],CATALOGO[],3,FALSE)</f>
        <v>12100 Sueldos Basicos</v>
      </c>
      <c r="F137" s="12"/>
      <c r="G137" s="12" t="s">
        <v>426</v>
      </c>
      <c r="H137" s="2"/>
      <c r="I137" s="8"/>
      <c r="J137" s="2"/>
      <c r="K137" s="8"/>
      <c r="L137" s="2"/>
      <c r="M137" s="8"/>
      <c r="N137" s="13"/>
      <c r="O137" s="13">
        <v>7135004.9112153826</v>
      </c>
      <c r="P137" s="14">
        <f t="shared" si="16"/>
        <v>-7135004.9112153826</v>
      </c>
      <c r="Q137" s="15" t="s">
        <v>18</v>
      </c>
      <c r="R137" s="38"/>
      <c r="S137" s="12"/>
      <c r="T137" s="13">
        <v>7135004.9112153826</v>
      </c>
    </row>
    <row r="138" spans="1:20" s="3" customFormat="1" hidden="1" outlineLevel="1" x14ac:dyDescent="0.25">
      <c r="A138" s="2">
        <f>ROW(DIARIO[[#This Row],[Nombre de Cuenta]])-1</f>
        <v>137</v>
      </c>
      <c r="B138" s="2"/>
      <c r="C138" s="12" t="s">
        <v>65</v>
      </c>
      <c r="D138" s="2">
        <f>VLOOKUP(C138,CATALOGO[],2,FALSE)</f>
        <v>9</v>
      </c>
      <c r="E138" s="12" t="str">
        <f>VLOOKUP(DIARIO[[#This Row],[Objeto de Gasto]],CATALOGO[],3,FALSE)</f>
        <v>12100 Sueldos Basicos</v>
      </c>
      <c r="F138" s="12"/>
      <c r="G138" s="12" t="s">
        <v>426</v>
      </c>
      <c r="H138" s="2"/>
      <c r="I138" s="8"/>
      <c r="J138" s="2"/>
      <c r="K138" s="8"/>
      <c r="L138" s="2"/>
      <c r="M138" s="8"/>
      <c r="N138" s="13"/>
      <c r="O138" s="13">
        <v>7206304.9397398606</v>
      </c>
      <c r="P138" s="14">
        <f t="shared" si="16"/>
        <v>-7206304.9397398606</v>
      </c>
      <c r="Q138" s="15" t="s">
        <v>18</v>
      </c>
      <c r="R138" s="38"/>
      <c r="S138" s="12"/>
      <c r="T138" s="13">
        <v>7206304.9397398606</v>
      </c>
    </row>
    <row r="139" spans="1:20" s="3" customFormat="1" hidden="1" outlineLevel="1" x14ac:dyDescent="0.25">
      <c r="A139" s="2">
        <f>ROW(DIARIO[[#This Row],[Nombre de Cuenta]])-1</f>
        <v>138</v>
      </c>
      <c r="B139" s="2"/>
      <c r="C139" s="12" t="s">
        <v>78</v>
      </c>
      <c r="D139" s="2">
        <f>VLOOKUP(C139,CATALOGO[],2,FALSE)</f>
        <v>11</v>
      </c>
      <c r="E139" s="12" t="str">
        <f>VLOOKUP(DIARIO[[#This Row],[Objeto de Gasto]],CATALOGO[],3,FALSE)</f>
        <v>12420 Decimocuarto Mes</v>
      </c>
      <c r="F139" s="12"/>
      <c r="G139" s="12" t="s">
        <v>426</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hidden="1" outlineLevel="1" x14ac:dyDescent="0.25">
      <c r="A140" s="2">
        <f>ROW(DIARIO[[#This Row],[Nombre de Cuenta]])-1</f>
        <v>139</v>
      </c>
      <c r="B140" s="2"/>
      <c r="C140" s="12" t="s">
        <v>393</v>
      </c>
      <c r="D140" s="2">
        <f>VLOOKUP(C140,CATALOGO[],2,FALSE)</f>
        <v>11</v>
      </c>
      <c r="E140" s="12" t="str">
        <f>VLOOKUP(DIARIO[[#This Row],[Objeto de Gasto]],CATALOGO[],3,FALSE)</f>
        <v>12420 Decimocuarto Mes</v>
      </c>
      <c r="F140" s="12"/>
      <c r="G140" s="12" t="s">
        <v>426</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hidden="1" outlineLevel="1" x14ac:dyDescent="0.25">
      <c r="A141" s="2">
        <f>ROW(DIARIO[[#This Row],[Nombre de Cuenta]])-1</f>
        <v>140</v>
      </c>
      <c r="B141" s="2"/>
      <c r="C141" s="12" t="s">
        <v>79</v>
      </c>
      <c r="D141" s="2">
        <f>VLOOKUP(C141,CATALOGO[],2,FALSE)</f>
        <v>11</v>
      </c>
      <c r="E141" s="12" t="str">
        <f>VLOOKUP(DIARIO[[#This Row],[Objeto de Gasto]],CATALOGO[],3,FALSE)</f>
        <v>12420 Decimocuarto Mes</v>
      </c>
      <c r="F141" s="12"/>
      <c r="G141" s="12" t="s">
        <v>426</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hidden="1" outlineLevel="1" x14ac:dyDescent="0.25">
      <c r="A142" s="2">
        <f>ROW(DIARIO[[#This Row],[Nombre de Cuenta]])-1</f>
        <v>141</v>
      </c>
      <c r="B142" s="2"/>
      <c r="C142" s="12" t="s">
        <v>75</v>
      </c>
      <c r="D142" s="2">
        <f>VLOOKUP(C142,CATALOGO[],2,FALSE)</f>
        <v>11</v>
      </c>
      <c r="E142" s="12" t="str">
        <f>VLOOKUP(DIARIO[[#This Row],[Objeto de Gasto]],CATALOGO[],3,FALSE)</f>
        <v>12420 Decimocuarto Mes</v>
      </c>
      <c r="F142" s="12"/>
      <c r="G142" s="12" t="s">
        <v>426</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hidden="1" outlineLevel="1" x14ac:dyDescent="0.25">
      <c r="A143" s="2">
        <f>ROW(DIARIO[[#This Row],[Nombre de Cuenta]])-1</f>
        <v>142</v>
      </c>
      <c r="B143" s="2"/>
      <c r="C143" s="12" t="s">
        <v>83</v>
      </c>
      <c r="D143" s="2">
        <f>VLOOKUP(C143,CATALOGO[],2,FALSE)</f>
        <v>12</v>
      </c>
      <c r="E143" s="12" t="str">
        <f>VLOOKUP(DIARIO[[#This Row],[Objeto de Gasto]],CATALOGO[],3,FALSE)</f>
        <v>12550 Contribuciones Para El Seguro Social</v>
      </c>
      <c r="F143" s="12"/>
      <c r="G143" s="12" t="s">
        <v>426</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hidden="1" outlineLevel="1" x14ac:dyDescent="0.25">
      <c r="A144" s="2">
        <f>ROW(DIARIO[[#This Row],[Nombre de Cuenta]])-1</f>
        <v>143</v>
      </c>
      <c r="B144" s="2"/>
      <c r="C144" s="12" t="s">
        <v>394</v>
      </c>
      <c r="D144" s="2">
        <f>VLOOKUP(C144,CATALOGO[],2,FALSE)</f>
        <v>12</v>
      </c>
      <c r="E144" s="12" t="str">
        <f>VLOOKUP(DIARIO[[#This Row],[Objeto de Gasto]],CATALOGO[],3,FALSE)</f>
        <v>12550 Contribuciones Para El Seguro Social</v>
      </c>
      <c r="F144" s="12"/>
      <c r="G144" s="12" t="s">
        <v>426</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hidden="1" outlineLevel="1" x14ac:dyDescent="0.25">
      <c r="A145" s="2">
        <f>ROW(DIARIO[[#This Row],[Nombre de Cuenta]])-1</f>
        <v>144</v>
      </c>
      <c r="B145" s="2"/>
      <c r="C145" s="12" t="s">
        <v>80</v>
      </c>
      <c r="D145" s="2">
        <f>VLOOKUP(C145,CATALOGO[],2,FALSE)</f>
        <v>12</v>
      </c>
      <c r="E145" s="12" t="str">
        <f>VLOOKUP(DIARIO[[#This Row],[Objeto de Gasto]],CATALOGO[],3,FALSE)</f>
        <v>12550 Contribuciones Para El Seguro Social</v>
      </c>
      <c r="F145" s="12"/>
      <c r="G145" s="12" t="s">
        <v>426</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hidden="1" outlineLevel="1" x14ac:dyDescent="0.25">
      <c r="A146" s="2">
        <f>ROW(DIARIO[[#This Row],[Nombre de Cuenta]])-1</f>
        <v>145</v>
      </c>
      <c r="B146" s="2"/>
      <c r="C146" s="12" t="s">
        <v>351</v>
      </c>
      <c r="D146" s="2">
        <f>VLOOKUP(C146,CATALOGO[],2,FALSE)</f>
        <v>63</v>
      </c>
      <c r="E146" s="12" t="str">
        <f>VLOOKUP(DIARIO[[#This Row],[Objeto de Gasto]],CATALOGO[],3,FALSE)</f>
        <v>14100 Horas Extraordinarias</v>
      </c>
      <c r="F146" s="12"/>
      <c r="G146" s="12" t="s">
        <v>426</v>
      </c>
      <c r="H146" s="2"/>
      <c r="I146" s="8"/>
      <c r="J146" s="2"/>
      <c r="K146" s="8"/>
      <c r="L146" s="2"/>
      <c r="M146" s="8"/>
      <c r="N146" s="13"/>
      <c r="O146" s="13">
        <v>293085.44</v>
      </c>
      <c r="P146" s="14">
        <f t="shared" si="15"/>
        <v>-293085.44</v>
      </c>
      <c r="Q146" s="15"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766</v>
      </c>
      <c r="H147" s="2"/>
      <c r="I147" s="8"/>
      <c r="J147" s="2"/>
      <c r="K147" s="8"/>
      <c r="L147" s="2"/>
      <c r="M147" s="8"/>
      <c r="N147" s="13">
        <v>3782189</v>
      </c>
      <c r="O147" s="13"/>
      <c r="P147" s="14">
        <f t="shared" ref="P147:P155" si="17">N147-O147</f>
        <v>3782189</v>
      </c>
      <c r="Q147" s="15" t="s">
        <v>32</v>
      </c>
      <c r="R147" s="38"/>
      <c r="S147" s="12"/>
      <c r="T147" s="13"/>
    </row>
    <row r="148" spans="1:20" s="3" customFormat="1" ht="30" hidden="1" outlineLevel="1" x14ac:dyDescent="0.25">
      <c r="A148" s="2">
        <f>ROW(DIARIO[[#This Row],[Nombre de Cuenta]])-1</f>
        <v>147</v>
      </c>
      <c r="B148" s="2"/>
      <c r="C148" s="12" t="s">
        <v>38</v>
      </c>
      <c r="D148" s="2">
        <f>VLOOKUP(C148,CATALOGO[],2,FALSE)</f>
        <v>3</v>
      </c>
      <c r="E148" s="12" t="str">
        <f>VLOOKUP(DIARIO[[#This Row],[Objeto de Gasto]],CATALOGO[],3,FALSE)</f>
        <v>11400 Adicionales</v>
      </c>
      <c r="F148" s="12"/>
      <c r="G148" s="12" t="s">
        <v>765</v>
      </c>
      <c r="H148" s="2"/>
      <c r="I148" s="8"/>
      <c r="J148" s="2"/>
      <c r="K148" s="8"/>
      <c r="L148" s="2"/>
      <c r="M148" s="8"/>
      <c r="N148" s="13"/>
      <c r="O148" s="13">
        <v>943096.41916965332</v>
      </c>
      <c r="P148" s="14">
        <f t="shared" si="17"/>
        <v>-943096.41916965332</v>
      </c>
      <c r="Q148" s="15" t="s">
        <v>32</v>
      </c>
      <c r="R148" s="38"/>
      <c r="S148" s="12"/>
      <c r="T148" s="13"/>
    </row>
    <row r="149" spans="1:20" s="3" customFormat="1" ht="30" hidden="1" outlineLevel="1" x14ac:dyDescent="0.25">
      <c r="A149" s="2">
        <f>ROW(DIARIO[[#This Row],[Nombre de Cuenta]])-1</f>
        <v>148</v>
      </c>
      <c r="B149" s="2"/>
      <c r="C149" s="12" t="s">
        <v>390</v>
      </c>
      <c r="D149" s="2">
        <f>VLOOKUP(C149,CATALOGO[],2,FALSE)</f>
        <v>3</v>
      </c>
      <c r="E149" s="12" t="str">
        <f>VLOOKUP(DIARIO[[#This Row],[Objeto de Gasto]],CATALOGO[],3,FALSE)</f>
        <v>11400 Adicionales</v>
      </c>
      <c r="F149" s="12"/>
      <c r="G149" s="12" t="s">
        <v>765</v>
      </c>
      <c r="H149" s="2"/>
      <c r="I149" s="8"/>
      <c r="J149" s="2"/>
      <c r="K149" s="8"/>
      <c r="L149" s="2"/>
      <c r="M149" s="8"/>
      <c r="N149" s="13"/>
      <c r="O149" s="13">
        <v>1599661.2959497606</v>
      </c>
      <c r="P149" s="14">
        <f t="shared" si="17"/>
        <v>-1599661.2959497606</v>
      </c>
      <c r="Q149" s="15" t="s">
        <v>32</v>
      </c>
      <c r="R149" s="38"/>
      <c r="S149" s="12"/>
      <c r="T149" s="13"/>
    </row>
    <row r="150" spans="1:20" s="3" customFormat="1" ht="30" hidden="1" outlineLevel="1" x14ac:dyDescent="0.25">
      <c r="A150" s="2">
        <f>ROW(DIARIO[[#This Row],[Nombre de Cuenta]])-1</f>
        <v>149</v>
      </c>
      <c r="B150" s="2"/>
      <c r="C150" s="12" t="s">
        <v>35</v>
      </c>
      <c r="D150" s="2">
        <f>VLOOKUP(C150,CATALOGO[],2,FALSE)</f>
        <v>3</v>
      </c>
      <c r="E150" s="12" t="str">
        <f>VLOOKUP(DIARIO[[#This Row],[Objeto de Gasto]],CATALOGO[],3,FALSE)</f>
        <v>11400 Adicionales</v>
      </c>
      <c r="F150" s="12"/>
      <c r="G150" s="12" t="s">
        <v>765</v>
      </c>
      <c r="H150" s="2"/>
      <c r="I150" s="8"/>
      <c r="J150" s="2"/>
      <c r="K150" s="8"/>
      <c r="L150" s="2"/>
      <c r="M150" s="8"/>
      <c r="N150" s="13"/>
      <c r="O150" s="13">
        <v>4387242.284880586</v>
      </c>
      <c r="P150" s="14">
        <f t="shared" si="17"/>
        <v>-4387242.284880586</v>
      </c>
      <c r="Q150" s="15" t="s">
        <v>32</v>
      </c>
      <c r="R150" s="38"/>
      <c r="S150" s="12"/>
      <c r="T150" s="13"/>
    </row>
    <row r="151" spans="1:20" s="3" customFormat="1" ht="30" hidden="1" outlineLevel="1" x14ac:dyDescent="0.25">
      <c r="A151" s="2">
        <f>ROW(DIARIO[[#This Row],[Nombre de Cuenta]])-1</f>
        <v>150</v>
      </c>
      <c r="B151" s="2"/>
      <c r="C151" s="12" t="s">
        <v>40</v>
      </c>
      <c r="D151" s="2">
        <f>VLOOKUP(C151,CATALOGO[],2,FALSE)</f>
        <v>4</v>
      </c>
      <c r="E151" s="12" t="str">
        <f>VLOOKUP(DIARIO[[#This Row],[Objeto de Gasto]],CATALOGO[],3,FALSE)</f>
        <v>11510 Decimotercer Mes</v>
      </c>
      <c r="F151" s="12"/>
      <c r="G151" s="12" t="s">
        <v>766</v>
      </c>
      <c r="H151" s="2"/>
      <c r="I151" s="8"/>
      <c r="J151" s="2"/>
      <c r="K151" s="8"/>
      <c r="L151" s="2"/>
      <c r="M151" s="8"/>
      <c r="N151" s="13">
        <v>315183</v>
      </c>
      <c r="O151" s="13"/>
      <c r="P151" s="14">
        <f t="shared" si="17"/>
        <v>315183</v>
      </c>
      <c r="Q151" s="15" t="s">
        <v>32</v>
      </c>
      <c r="R151" s="38"/>
      <c r="S151" s="12"/>
      <c r="T151" s="13"/>
    </row>
    <row r="152" spans="1:20" s="3" customFormat="1" ht="30" hidden="1" outlineLevel="1" x14ac:dyDescent="0.25">
      <c r="A152" s="2">
        <f>ROW(DIARIO[[#This Row],[Nombre de Cuenta]])-1</f>
        <v>151</v>
      </c>
      <c r="B152" s="2"/>
      <c r="C152" s="12" t="s">
        <v>45</v>
      </c>
      <c r="D152" s="2">
        <f>VLOOKUP(C152,CATALOGO[],2,FALSE)</f>
        <v>5</v>
      </c>
      <c r="E152" s="12" t="str">
        <f>VLOOKUP(DIARIO[[#This Row],[Objeto de Gasto]],CATALOGO[],3,FALSE)</f>
        <v>11520 Decimocuarto Mes</v>
      </c>
      <c r="F152" s="12"/>
      <c r="G152" s="12" t="s">
        <v>766</v>
      </c>
      <c r="H152" s="2"/>
      <c r="I152" s="8"/>
      <c r="J152" s="2"/>
      <c r="K152" s="8"/>
      <c r="L152" s="2"/>
      <c r="M152" s="8"/>
      <c r="N152" s="13">
        <v>315183</v>
      </c>
      <c r="O152" s="13"/>
      <c r="P152" s="14">
        <f t="shared" si="17"/>
        <v>315183</v>
      </c>
      <c r="Q152" s="15" t="s">
        <v>32</v>
      </c>
      <c r="R152" s="38"/>
      <c r="S152" s="12"/>
      <c r="T152" s="13"/>
    </row>
    <row r="153" spans="1:20" s="3" customFormat="1" ht="30" hidden="1" outlineLevel="1" x14ac:dyDescent="0.25">
      <c r="A153" s="2">
        <f>ROW(DIARIO[[#This Row],[Nombre de Cuenta]])-1</f>
        <v>152</v>
      </c>
      <c r="B153" s="2"/>
      <c r="C153" s="12" t="s">
        <v>50</v>
      </c>
      <c r="D153" s="2">
        <f>VLOOKUP(C153,CATALOGO[],2,FALSE)</f>
        <v>6</v>
      </c>
      <c r="E153" s="12" t="str">
        <f>VLOOKUP(DIARIO[[#This Row],[Objeto de Gasto]],CATALOGO[],3,FALSE)</f>
        <v>11600 Complementos</v>
      </c>
      <c r="F153" s="12"/>
      <c r="G153" s="12" t="s">
        <v>766</v>
      </c>
      <c r="H153" s="2"/>
      <c r="I153" s="8"/>
      <c r="J153" s="2"/>
      <c r="K153" s="8"/>
      <c r="L153" s="2"/>
      <c r="M153" s="8"/>
      <c r="N153" s="13">
        <v>315183</v>
      </c>
      <c r="O153" s="13"/>
      <c r="P153" s="14">
        <f t="shared" si="17"/>
        <v>315183</v>
      </c>
      <c r="Q153" s="15" t="s">
        <v>32</v>
      </c>
      <c r="R153" s="38"/>
      <c r="S153" s="12"/>
      <c r="T153" s="13"/>
    </row>
    <row r="154" spans="1:20" s="3" customFormat="1" ht="30" hidden="1" outlineLevel="1" x14ac:dyDescent="0.25">
      <c r="A154" s="2">
        <f>ROW(DIARIO[[#This Row],[Nombre de Cuenta]])-1</f>
        <v>153</v>
      </c>
      <c r="B154" s="2"/>
      <c r="C154" s="12" t="s">
        <v>55</v>
      </c>
      <c r="D154" s="2">
        <f>VLOOKUP(C154,CATALOGO[],2,FALSE)</f>
        <v>7</v>
      </c>
      <c r="E154" s="12" t="str">
        <f>VLOOKUP(DIARIO[[#This Row],[Objeto de Gasto]],CATALOGO[],3,FALSE)</f>
        <v>11710 Contribuciones Al Injupemp</v>
      </c>
      <c r="F154" s="12"/>
      <c r="G154" s="12" t="s">
        <v>766</v>
      </c>
      <c r="H154" s="2"/>
      <c r="I154" s="8"/>
      <c r="J154" s="2"/>
      <c r="K154" s="8"/>
      <c r="L154" s="2"/>
      <c r="M154" s="8"/>
      <c r="N154" s="13">
        <v>548418</v>
      </c>
      <c r="O154" s="13"/>
      <c r="P154" s="14">
        <f t="shared" si="17"/>
        <v>548418</v>
      </c>
      <c r="Q154" s="15" t="s">
        <v>32</v>
      </c>
      <c r="R154" s="38"/>
      <c r="S154" s="12"/>
      <c r="T154" s="13"/>
    </row>
    <row r="155" spans="1:20" s="3" customFormat="1" ht="30" hidden="1" outlineLevel="1" x14ac:dyDescent="0.25">
      <c r="A155" s="2">
        <f>ROW(DIARIO[[#This Row],[Nombre de Cuenta]])-1</f>
        <v>154</v>
      </c>
      <c r="B155" s="2"/>
      <c r="C155" s="12" t="s">
        <v>351</v>
      </c>
      <c r="D155" s="2">
        <f>VLOOKUP(C155,CATALOGO[],2,FALSE)</f>
        <v>63</v>
      </c>
      <c r="E155" s="12" t="str">
        <f>VLOOKUP(DIARIO[[#This Row],[Objeto de Gasto]],CATALOGO[],3,FALSE)</f>
        <v>14100 Horas Extraordinarias</v>
      </c>
      <c r="F155" s="12"/>
      <c r="G155" s="12" t="s">
        <v>766</v>
      </c>
      <c r="H155" s="2"/>
      <c r="I155" s="8"/>
      <c r="J155" s="2"/>
      <c r="K155" s="8"/>
      <c r="L155" s="2"/>
      <c r="M155" s="8"/>
      <c r="N155" s="13">
        <v>1014081</v>
      </c>
      <c r="O155" s="13"/>
      <c r="P155" s="14">
        <f t="shared" si="17"/>
        <v>1014081</v>
      </c>
      <c r="Q155" s="15" t="s">
        <v>32</v>
      </c>
      <c r="R155" s="38"/>
      <c r="S155" s="12"/>
      <c r="T155" s="13"/>
    </row>
    <row r="156" spans="1:20" s="3" customFormat="1" ht="45" hidden="1" outlineLevel="1" x14ac:dyDescent="0.25">
      <c r="A156" s="44">
        <f>ROW(DIARIO[[#This Row],[Nombre de Cuenta]])-1</f>
        <v>155</v>
      </c>
      <c r="B156" s="46"/>
      <c r="C156" s="47" t="s">
        <v>396</v>
      </c>
      <c r="D156" s="48">
        <f>VLOOKUP(C156,CATALOGO[],2,FALSE)</f>
        <v>15</v>
      </c>
      <c r="E156" s="49" t="str">
        <f>VLOOKUP(DIARIO[[#This Row],[Objeto de Gasto]],CATALOGO[],3,FALSE)</f>
        <v>23200 Mantenimiento Y Reparacion De Equipos Y Medios De Transporte Terrestre</v>
      </c>
      <c r="F156" s="50"/>
      <c r="G156" s="53" t="s">
        <v>427</v>
      </c>
      <c r="H156" s="50"/>
      <c r="I156" s="51"/>
      <c r="J156" s="50"/>
      <c r="K156" s="51"/>
      <c r="L156" s="50"/>
      <c r="M156" s="51"/>
      <c r="N156" s="52"/>
      <c r="O156" s="13">
        <v>660000</v>
      </c>
      <c r="P156" s="52">
        <f t="shared" ref="P156:P166" si="18">N156-O156</f>
        <v>-660000</v>
      </c>
      <c r="Q156" s="23" t="s">
        <v>32</v>
      </c>
      <c r="R156" s="39"/>
      <c r="S156" s="53"/>
      <c r="T156" s="52"/>
    </row>
    <row r="157" spans="1:20" s="3" customFormat="1" ht="30" hidden="1" outlineLevel="1" x14ac:dyDescent="0.25">
      <c r="A157" s="44">
        <f>ROW(DIARIO[[#This Row],[Nombre de Cuenta]])-1</f>
        <v>156</v>
      </c>
      <c r="B157" s="46"/>
      <c r="C157" s="47" t="s">
        <v>154</v>
      </c>
      <c r="D157" s="48">
        <f>VLOOKUP(C157,CATALOGO[],2,FALSE)</f>
        <v>26</v>
      </c>
      <c r="E157" s="49" t="str">
        <f>VLOOKUP(DIARIO[[#This Row],[Objeto de Gasto]],CATALOGO[],3,FALSE)</f>
        <v>27210 Tasas</v>
      </c>
      <c r="F157" s="50"/>
      <c r="G157" s="53" t="s">
        <v>764</v>
      </c>
      <c r="H157" s="50"/>
      <c r="I157" s="51"/>
      <c r="J157" s="50"/>
      <c r="K157" s="51"/>
      <c r="L157" s="50"/>
      <c r="M157" s="51"/>
      <c r="N157" s="52">
        <v>100000</v>
      </c>
      <c r="O157" s="13"/>
      <c r="P157" s="52">
        <f t="shared" si="18"/>
        <v>100000</v>
      </c>
      <c r="Q157" s="23" t="s">
        <v>32</v>
      </c>
      <c r="R157" s="39"/>
      <c r="S157" s="53"/>
      <c r="T157" s="52"/>
    </row>
    <row r="158" spans="1:20" s="3" customFormat="1" ht="30" hidden="1" outlineLevel="1" x14ac:dyDescent="0.25">
      <c r="A158" s="44">
        <f>ROW(DIARIO[[#This Row],[Nombre de Cuenta]])-1</f>
        <v>157</v>
      </c>
      <c r="B158" s="46"/>
      <c r="C158" s="47" t="s">
        <v>153</v>
      </c>
      <c r="D158" s="48">
        <f>VLOOKUP(C158,CATALOGO[],2,FALSE)</f>
        <v>26</v>
      </c>
      <c r="E158" s="49" t="str">
        <f>VLOOKUP(DIARIO[[#This Row],[Objeto de Gasto]],CATALOGO[],3,FALSE)</f>
        <v>27210 Tasas</v>
      </c>
      <c r="F158" s="50"/>
      <c r="G158" s="53" t="s">
        <v>764</v>
      </c>
      <c r="H158" s="50"/>
      <c r="I158" s="51"/>
      <c r="J158" s="50"/>
      <c r="K158" s="51"/>
      <c r="L158" s="50"/>
      <c r="M158" s="51"/>
      <c r="N158" s="52">
        <v>100000</v>
      </c>
      <c r="O158" s="13"/>
      <c r="P158" s="52">
        <f>N158-O158</f>
        <v>100000</v>
      </c>
      <c r="Q158" s="23" t="s">
        <v>32</v>
      </c>
      <c r="R158" s="39"/>
      <c r="S158" s="53"/>
      <c r="T158" s="52"/>
    </row>
    <row r="159" spans="1:20" s="3" customFormat="1" ht="30" hidden="1" outlineLevel="1" x14ac:dyDescent="0.25">
      <c r="A159" s="44">
        <f>ROW(DIARIO[[#This Row],[Nombre de Cuenta]])-1</f>
        <v>158</v>
      </c>
      <c r="B159" s="46"/>
      <c r="C159" s="47" t="s">
        <v>155</v>
      </c>
      <c r="D159" s="48">
        <f>VLOOKUP(C159,CATALOGO[],2,FALSE)</f>
        <v>26</v>
      </c>
      <c r="E159" s="49" t="str">
        <f>VLOOKUP(DIARIO[[#This Row],[Objeto de Gasto]],CATALOGO[],3,FALSE)</f>
        <v>27210 Tasas</v>
      </c>
      <c r="F159" s="50"/>
      <c r="G159" s="53" t="s">
        <v>764</v>
      </c>
      <c r="H159" s="50"/>
      <c r="I159" s="51"/>
      <c r="J159" s="50"/>
      <c r="K159" s="51"/>
      <c r="L159" s="50"/>
      <c r="M159" s="51"/>
      <c r="N159" s="52">
        <v>100000</v>
      </c>
      <c r="O159" s="13"/>
      <c r="P159" s="52">
        <f>N159-O159</f>
        <v>100000</v>
      </c>
      <c r="Q159" s="23" t="s">
        <v>32</v>
      </c>
      <c r="R159" s="39"/>
      <c r="S159" s="53"/>
      <c r="T159" s="52"/>
    </row>
    <row r="160" spans="1:20" s="3" customFormat="1" ht="45" hidden="1" outlineLevel="1" x14ac:dyDescent="0.25">
      <c r="A160" s="44">
        <f>ROW(DIARIO[[#This Row],[Nombre de Cuenta]])-1</f>
        <v>159</v>
      </c>
      <c r="B160" s="46"/>
      <c r="C160" s="47" t="s">
        <v>410</v>
      </c>
      <c r="D160" s="48">
        <f>VLOOKUP(C160,CATALOGO[],2,FALSE)</f>
        <v>66</v>
      </c>
      <c r="E160" s="49" t="str">
        <f>VLOOKUP(DIARIO[[#This Row],[Objeto de Gasto]],CATALOGO[],3,FALSE)</f>
        <v>35610 Gasolina</v>
      </c>
      <c r="F160" s="50"/>
      <c r="G160" s="53" t="s">
        <v>699</v>
      </c>
      <c r="H160" s="50"/>
      <c r="I160" s="51"/>
      <c r="J160" s="50"/>
      <c r="K160" s="51"/>
      <c r="L160" s="50"/>
      <c r="M160" s="51"/>
      <c r="N160" s="52"/>
      <c r="O160" s="13">
        <v>428212</v>
      </c>
      <c r="P160" s="52">
        <f t="shared" si="18"/>
        <v>-428212</v>
      </c>
      <c r="Q160" s="23" t="s">
        <v>32</v>
      </c>
      <c r="R160" s="39"/>
      <c r="S160" s="53"/>
      <c r="T160" s="52"/>
    </row>
    <row r="161" spans="1:20" s="3" customFormat="1" ht="45" hidden="1" outlineLevel="1" x14ac:dyDescent="0.25">
      <c r="A161" s="44">
        <f>ROW(DIARIO[[#This Row],[Nombre de Cuenta]])-1</f>
        <v>160</v>
      </c>
      <c r="B161" s="46"/>
      <c r="C161" s="47" t="s">
        <v>411</v>
      </c>
      <c r="D161" s="48">
        <f>VLOOKUP(C161,CATALOGO[],2,FALSE)</f>
        <v>42</v>
      </c>
      <c r="E161" s="49" t="str">
        <f>VLOOKUP(DIARIO[[#This Row],[Objeto de Gasto]],CATALOGO[],3,FALSE)</f>
        <v>35620 Diesel</v>
      </c>
      <c r="F161" s="50"/>
      <c r="G161" s="53" t="s">
        <v>699</v>
      </c>
      <c r="H161" s="50"/>
      <c r="I161" s="51"/>
      <c r="J161" s="50"/>
      <c r="K161" s="51"/>
      <c r="L161" s="50"/>
      <c r="M161" s="51"/>
      <c r="N161" s="52"/>
      <c r="O161" s="13">
        <v>308901</v>
      </c>
      <c r="P161" s="52">
        <f t="shared" si="18"/>
        <v>-308901</v>
      </c>
      <c r="Q161" s="23" t="s">
        <v>32</v>
      </c>
      <c r="R161" s="39"/>
      <c r="S161" s="53"/>
      <c r="T161" s="52"/>
    </row>
    <row r="162" spans="1:20" s="3" customFormat="1" ht="45" hidden="1" outlineLevel="1" x14ac:dyDescent="0.25">
      <c r="A162" s="44">
        <f>ROW(DIARIO[[#This Row],[Nombre de Cuenta]])-1</f>
        <v>161</v>
      </c>
      <c r="B162" s="46"/>
      <c r="C162" s="47" t="s">
        <v>412</v>
      </c>
      <c r="D162" s="48">
        <f>VLOOKUP(C162,CATALOGO[],2,FALSE)</f>
        <v>44</v>
      </c>
      <c r="E162" s="49" t="str">
        <f>VLOOKUP(DIARIO[[#This Row],[Objeto de Gasto]],CATALOGO[],3,FALSE)</f>
        <v>35650 Aceites Y Grasas Lubricantes</v>
      </c>
      <c r="F162" s="50"/>
      <c r="G162" s="53" t="s">
        <v>699</v>
      </c>
      <c r="H162" s="50"/>
      <c r="I162" s="51"/>
      <c r="J162" s="50"/>
      <c r="K162" s="51"/>
      <c r="L162" s="50"/>
      <c r="M162" s="51"/>
      <c r="N162" s="52"/>
      <c r="O162" s="13">
        <v>200000</v>
      </c>
      <c r="P162" s="52">
        <f t="shared" si="18"/>
        <v>-200000</v>
      </c>
      <c r="Q162" s="23" t="s">
        <v>32</v>
      </c>
      <c r="R162" s="39"/>
      <c r="S162" s="53"/>
      <c r="T162" s="52"/>
    </row>
    <row r="163" spans="1:20" s="3" customFormat="1" ht="45" hidden="1" outlineLevel="1" x14ac:dyDescent="0.25">
      <c r="A163" s="44">
        <f>ROW(DIARIO[[#This Row],[Nombre de Cuenta]])-1</f>
        <v>162</v>
      </c>
      <c r="B163" s="46"/>
      <c r="C163" s="47" t="s">
        <v>422</v>
      </c>
      <c r="D163" s="48">
        <f>VLOOKUP(C163,CATALOGO[],2,FALSE)</f>
        <v>61</v>
      </c>
      <c r="E163" s="49" t="str">
        <f>VLOOKUP(DIARIO[[#This Row],[Objeto de Gasto]],CATALOGO[],3,FALSE)</f>
        <v>42310 Equipo De Transporte Terrestre Para Personas</v>
      </c>
      <c r="F163" s="50"/>
      <c r="G163" s="53" t="s">
        <v>699</v>
      </c>
      <c r="H163" s="50"/>
      <c r="I163" s="51"/>
      <c r="J163" s="50"/>
      <c r="K163" s="51"/>
      <c r="L163" s="50"/>
      <c r="M163" s="51"/>
      <c r="N163" s="52">
        <v>937113</v>
      </c>
      <c r="O163" s="13"/>
      <c r="P163" s="52">
        <f t="shared" si="18"/>
        <v>937113</v>
      </c>
      <c r="Q163" s="23" t="s">
        <v>32</v>
      </c>
      <c r="R163" s="39"/>
      <c r="S163" s="53"/>
      <c r="T163" s="52"/>
    </row>
    <row r="164" spans="1:20" s="3" customFormat="1" ht="45" hidden="1" outlineLevel="1" x14ac:dyDescent="0.25">
      <c r="A164" s="44">
        <f>ROW(DIARIO[[#This Row],[Nombre de Cuenta]])-1</f>
        <v>163</v>
      </c>
      <c r="B164" s="46"/>
      <c r="C164" s="47" t="s">
        <v>270</v>
      </c>
      <c r="D164" s="48">
        <f>VLOOKUP(C164,CATALOGO[],2,FALSE)</f>
        <v>49</v>
      </c>
      <c r="E164" s="49" t="str">
        <f>VLOOKUP(DIARIO[[#This Row],[Objeto de Gasto]],CATALOGO[],3,FALSE)</f>
        <v xml:space="preserve">39520 Intrumental Y Material Para Laboratorio </v>
      </c>
      <c r="F164" s="50"/>
      <c r="G164" s="53" t="s">
        <v>702</v>
      </c>
      <c r="H164" s="50"/>
      <c r="I164" s="51"/>
      <c r="J164" s="50"/>
      <c r="K164" s="51"/>
      <c r="L164" s="50"/>
      <c r="M164" s="51"/>
      <c r="N164" s="52">
        <v>819101.61422576534</v>
      </c>
      <c r="O164" s="13"/>
      <c r="P164" s="52">
        <f t="shared" si="18"/>
        <v>819101.61422576534</v>
      </c>
      <c r="Q164" s="23" t="s">
        <v>32</v>
      </c>
      <c r="R164" s="39"/>
      <c r="S164" s="53"/>
      <c r="T164" s="52"/>
    </row>
    <row r="165" spans="1:20" s="3" customFormat="1" ht="45" hidden="1" outlineLevel="1" x14ac:dyDescent="0.25">
      <c r="A165" s="44">
        <f>ROW(DIARIO[[#This Row],[Nombre de Cuenta]])-1</f>
        <v>164</v>
      </c>
      <c r="B165" s="46"/>
      <c r="C165" s="47" t="s">
        <v>416</v>
      </c>
      <c r="D165" s="48">
        <f>VLOOKUP(C165,CATALOGO[],2,FALSE)</f>
        <v>49</v>
      </c>
      <c r="E165" s="49" t="str">
        <f>VLOOKUP(DIARIO[[#This Row],[Objeto de Gasto]],CATALOGO[],3,FALSE)</f>
        <v xml:space="preserve">39520 Intrumental Y Material Para Laboratorio </v>
      </c>
      <c r="F165" s="50"/>
      <c r="G165" s="53" t="s">
        <v>702</v>
      </c>
      <c r="H165" s="50"/>
      <c r="I165" s="51"/>
      <c r="J165" s="50"/>
      <c r="K165" s="51"/>
      <c r="L165" s="50"/>
      <c r="M165" s="51"/>
      <c r="N165" s="52">
        <v>875082.97485841927</v>
      </c>
      <c r="O165" s="13"/>
      <c r="P165" s="52">
        <f t="shared" si="18"/>
        <v>875082.97485841927</v>
      </c>
      <c r="Q165" s="23" t="s">
        <v>32</v>
      </c>
      <c r="R165" s="39"/>
      <c r="S165" s="53"/>
      <c r="T165" s="52"/>
    </row>
    <row r="166" spans="1:20" s="3" customFormat="1" ht="45" hidden="1" outlineLevel="1" x14ac:dyDescent="0.25">
      <c r="A166" s="44">
        <f>ROW(DIARIO[[#This Row],[Nombre de Cuenta]])-1</f>
        <v>165</v>
      </c>
      <c r="B166" s="46"/>
      <c r="C166" s="47" t="s">
        <v>271</v>
      </c>
      <c r="D166" s="48">
        <f>VLOOKUP(C166,CATALOGO[],2,FALSE)</f>
        <v>49</v>
      </c>
      <c r="E166" s="49" t="str">
        <f>VLOOKUP(DIARIO[[#This Row],[Objeto de Gasto]],CATALOGO[],3,FALSE)</f>
        <v xml:space="preserve">39520 Intrumental Y Material Para Laboratorio </v>
      </c>
      <c r="F166" s="50"/>
      <c r="G166" s="53" t="s">
        <v>702</v>
      </c>
      <c r="H166" s="50"/>
      <c r="I166" s="51"/>
      <c r="J166" s="50"/>
      <c r="K166" s="51"/>
      <c r="L166" s="50"/>
      <c r="M166" s="51"/>
      <c r="N166" s="52">
        <v>667915.4109158155</v>
      </c>
      <c r="O166" s="13"/>
      <c r="P166" s="52">
        <f t="shared" si="18"/>
        <v>667915.4109158155</v>
      </c>
      <c r="Q166" s="23" t="s">
        <v>32</v>
      </c>
      <c r="R166" s="39"/>
      <c r="S166" s="53"/>
      <c r="T166" s="52"/>
    </row>
    <row r="167" spans="1:20" s="3" customFormat="1" ht="30" hidden="1" outlineLevel="1" x14ac:dyDescent="0.25">
      <c r="A167" s="44">
        <f>ROW(DIARIO[[#This Row],[Nombre de Cuenta]])-1</f>
        <v>166</v>
      </c>
      <c r="B167" s="46"/>
      <c r="C167" s="47" t="s">
        <v>714</v>
      </c>
      <c r="D167" s="48">
        <f>VLOOKUP(C167,CATALOGO[],2,FALSE)</f>
        <v>68</v>
      </c>
      <c r="E167" s="49" t="str">
        <f>VLOOKUP(DIARIO[[#This Row],[Objeto de Gasto]],CATALOGO[],3,FALSE)</f>
        <v>42510 Equipo de Comunicación</v>
      </c>
      <c r="F167" s="50"/>
      <c r="G167" s="53" t="s">
        <v>715</v>
      </c>
      <c r="H167" s="50"/>
      <c r="I167" s="51"/>
      <c r="J167" s="50"/>
      <c r="K167" s="51"/>
      <c r="L167" s="50"/>
      <c r="M167" s="51"/>
      <c r="N167" s="52">
        <v>300000</v>
      </c>
      <c r="O167" s="13"/>
      <c r="P167" s="52">
        <f t="shared" ref="P167:P174" si="19">N167-O167</f>
        <v>300000</v>
      </c>
      <c r="Q167" s="23" t="s">
        <v>32</v>
      </c>
      <c r="R167" s="39"/>
      <c r="S167" s="53"/>
      <c r="T167" s="52"/>
    </row>
    <row r="168" spans="1:20" s="3" customFormat="1" ht="30" hidden="1" outlineLevel="1" x14ac:dyDescent="0.25">
      <c r="A168" s="44">
        <f>ROW(DIARIO[[#This Row],[Nombre de Cuenta]])-1</f>
        <v>167</v>
      </c>
      <c r="B168" s="46"/>
      <c r="C168" s="47" t="s">
        <v>412</v>
      </c>
      <c r="D168" s="48">
        <f>VLOOKUP(C168,CATALOGO[],2,FALSE)</f>
        <v>44</v>
      </c>
      <c r="E168" s="49" t="str">
        <f>VLOOKUP(DIARIO[[#This Row],[Objeto de Gasto]],CATALOGO[],3,FALSE)</f>
        <v>35650 Aceites Y Grasas Lubricantes</v>
      </c>
      <c r="F168" s="50"/>
      <c r="G168" s="53" t="s">
        <v>715</v>
      </c>
      <c r="H168" s="50"/>
      <c r="I168" s="51"/>
      <c r="J168" s="50"/>
      <c r="K168" s="51"/>
      <c r="L168" s="50"/>
      <c r="M168" s="51"/>
      <c r="N168" s="52"/>
      <c r="O168" s="13">
        <v>300000</v>
      </c>
      <c r="P168" s="52">
        <f t="shared" si="19"/>
        <v>-300000</v>
      </c>
      <c r="Q168" s="23" t="s">
        <v>32</v>
      </c>
      <c r="R168" s="39"/>
      <c r="S168" s="53"/>
      <c r="T168" s="52"/>
    </row>
    <row r="169" spans="1:20" s="3" customFormat="1" hidden="1" outlineLevel="1" x14ac:dyDescent="0.25">
      <c r="A169" s="44">
        <f>ROW(DIARIO[[#This Row],[Nombre de Cuenta]])-1</f>
        <v>168</v>
      </c>
      <c r="B169" s="46"/>
      <c r="C169" s="47" t="s">
        <v>369</v>
      </c>
      <c r="D169" s="48">
        <f>VLOOKUP(C169,CATALOGO[],2,FALSE)</f>
        <v>67</v>
      </c>
      <c r="E169" s="49" t="str">
        <f>VLOOKUP(DIARIO[[#This Row],[Objeto de Gasto]],CATALOGO[],3,FALSE)</f>
        <v>39300 Utiles Y Materiales Eléctricos</v>
      </c>
      <c r="F169" s="50"/>
      <c r="G169" s="53" t="s">
        <v>766</v>
      </c>
      <c r="H169" s="50"/>
      <c r="I169" s="51"/>
      <c r="J169" s="50"/>
      <c r="K169" s="51"/>
      <c r="L169" s="50"/>
      <c r="M169" s="51"/>
      <c r="N169" s="52">
        <v>2478</v>
      </c>
      <c r="O169" s="13"/>
      <c r="P169" s="52">
        <f>N169-O169</f>
        <v>2478</v>
      </c>
      <c r="Q169" s="23" t="s">
        <v>32</v>
      </c>
      <c r="R169" s="39"/>
      <c r="S169" s="53"/>
      <c r="T169" s="52"/>
    </row>
    <row r="170" spans="1:20" s="3" customFormat="1" ht="45" hidden="1" outlineLevel="1" x14ac:dyDescent="0.25">
      <c r="A170" s="44">
        <f>ROW(DIARIO[[#This Row],[Nombre de Cuenta]])-1</f>
        <v>169</v>
      </c>
      <c r="B170" s="46"/>
      <c r="C170" s="47" t="s">
        <v>146</v>
      </c>
      <c r="D170" s="48">
        <f>VLOOKUP(C170,CATALOGO[],2,FALSE)</f>
        <v>25</v>
      </c>
      <c r="E170" s="49" t="str">
        <f>VLOOKUP(DIARIO[[#This Row],[Objeto de Gasto]],CATALOGO[],3,FALSE)</f>
        <v>26210 Viaticos Nacionales</v>
      </c>
      <c r="F170" s="50"/>
      <c r="G170" s="53" t="s">
        <v>752</v>
      </c>
      <c r="H170" s="50"/>
      <c r="I170" s="51"/>
      <c r="J170" s="50"/>
      <c r="K170" s="51"/>
      <c r="L170" s="50"/>
      <c r="M170" s="51"/>
      <c r="N170" s="52"/>
      <c r="O170" s="13">
        <v>159343.76999999999</v>
      </c>
      <c r="P170" s="52">
        <f t="shared" si="19"/>
        <v>-159343.76999999999</v>
      </c>
      <c r="Q170" s="23" t="s">
        <v>18</v>
      </c>
      <c r="R170" s="39"/>
      <c r="S170" s="53"/>
      <c r="T170" s="52">
        <v>159343.76999999999</v>
      </c>
    </row>
    <row r="171" spans="1:20" s="3" customFormat="1" ht="45" hidden="1" outlineLevel="1" x14ac:dyDescent="0.25">
      <c r="A171" s="44">
        <f>ROW(DIARIO[[#This Row],[Nombre de Cuenta]])-1</f>
        <v>170</v>
      </c>
      <c r="B171" s="46"/>
      <c r="C171" s="47" t="s">
        <v>361</v>
      </c>
      <c r="D171" s="48">
        <f>VLOOKUP(C171,CATALOGO[],2,FALSE)</f>
        <v>65</v>
      </c>
      <c r="E171" s="49" t="str">
        <f>VLOOKUP(DIARIO[[#This Row],[Objeto de Gasto]],CATALOGO[],3,FALSE)</f>
        <v>26220 Viáticos Al Exterior</v>
      </c>
      <c r="F171" s="50"/>
      <c r="G171" s="53" t="s">
        <v>753</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hidden="1" outlineLevel="1" x14ac:dyDescent="0.25">
      <c r="A172" s="44">
        <f>ROW(DIARIO[[#This Row],[Nombre de Cuenta]])-1</f>
        <v>171</v>
      </c>
      <c r="B172" s="46"/>
      <c r="C172" s="47" t="s">
        <v>154</v>
      </c>
      <c r="D172" s="48">
        <f>VLOOKUP(C172,CATALOGO[],2,FALSE)</f>
        <v>26</v>
      </c>
      <c r="E172" s="49" t="str">
        <f>VLOOKUP(DIARIO[[#This Row],[Objeto de Gasto]],CATALOGO[],3,FALSE)</f>
        <v>27210 Tasas</v>
      </c>
      <c r="F172" s="50"/>
      <c r="G172" s="53" t="s">
        <v>918</v>
      </c>
      <c r="H172" s="50"/>
      <c r="I172" s="51"/>
      <c r="J172" s="50"/>
      <c r="K172" s="51"/>
      <c r="L172" s="50"/>
      <c r="M172" s="51"/>
      <c r="N172" s="52"/>
      <c r="O172" s="13">
        <f>293235.38/3</f>
        <v>97745.126666666663</v>
      </c>
      <c r="P172" s="52">
        <f t="shared" si="19"/>
        <v>-97745.126666666663</v>
      </c>
      <c r="Q172" s="23" t="s">
        <v>18</v>
      </c>
      <c r="R172" s="39" t="s">
        <v>959</v>
      </c>
      <c r="S172" s="53"/>
      <c r="T172" s="13">
        <f>293235.38/3</f>
        <v>97745.126666666663</v>
      </c>
    </row>
    <row r="173" spans="1:20" s="3" customFormat="1" hidden="1" outlineLevel="1" x14ac:dyDescent="0.25">
      <c r="A173" s="44">
        <f>ROW(DIARIO[[#This Row],[Nombre de Cuenta]])-1</f>
        <v>172</v>
      </c>
      <c r="B173" s="46"/>
      <c r="C173" s="47" t="s">
        <v>153</v>
      </c>
      <c r="D173" s="48">
        <f>VLOOKUP(C173,CATALOGO[],2,FALSE)</f>
        <v>26</v>
      </c>
      <c r="E173" s="49" t="str">
        <f>VLOOKUP(DIARIO[[#This Row],[Objeto de Gasto]],CATALOGO[],3,FALSE)</f>
        <v>27210 Tasas</v>
      </c>
      <c r="F173" s="50"/>
      <c r="G173" s="53" t="s">
        <v>918</v>
      </c>
      <c r="H173" s="50"/>
      <c r="I173" s="51"/>
      <c r="J173" s="50"/>
      <c r="K173" s="51"/>
      <c r="L173" s="50"/>
      <c r="M173" s="51"/>
      <c r="N173" s="52"/>
      <c r="O173" s="13">
        <f t="shared" ref="O173:O174" si="20">293235.38/3</f>
        <v>97745.126666666663</v>
      </c>
      <c r="P173" s="52">
        <f t="shared" si="19"/>
        <v>-97745.126666666663</v>
      </c>
      <c r="Q173" s="23" t="s">
        <v>18</v>
      </c>
      <c r="R173" s="39" t="s">
        <v>959</v>
      </c>
      <c r="S173" s="53"/>
      <c r="T173" s="13">
        <f t="shared" ref="T173:T174" si="21">293235.38/3</f>
        <v>97745.126666666663</v>
      </c>
    </row>
    <row r="174" spans="1:20" s="3" customFormat="1" hidden="1" outlineLevel="1" x14ac:dyDescent="0.25">
      <c r="A174" s="44">
        <f>ROW(DIARIO[[#This Row],[Nombre de Cuenta]])-1</f>
        <v>173</v>
      </c>
      <c r="B174" s="46"/>
      <c r="C174" s="47" t="s">
        <v>155</v>
      </c>
      <c r="D174" s="48">
        <f>VLOOKUP(C174,CATALOGO[],2,FALSE)</f>
        <v>26</v>
      </c>
      <c r="E174" s="49" t="str">
        <f>VLOOKUP(DIARIO[[#This Row],[Objeto de Gasto]],CATALOGO[],3,FALSE)</f>
        <v>27210 Tasas</v>
      </c>
      <c r="F174" s="50"/>
      <c r="G174" s="53" t="s">
        <v>918</v>
      </c>
      <c r="H174" s="50"/>
      <c r="I174" s="51"/>
      <c r="J174" s="50"/>
      <c r="K174" s="51"/>
      <c r="L174" s="50"/>
      <c r="M174" s="51"/>
      <c r="N174" s="52"/>
      <c r="O174" s="13">
        <f t="shared" si="20"/>
        <v>97745.126666666663</v>
      </c>
      <c r="P174" s="52">
        <f t="shared" si="19"/>
        <v>-97745.126666666663</v>
      </c>
      <c r="Q174" s="23" t="s">
        <v>18</v>
      </c>
      <c r="R174" s="39" t="s">
        <v>959</v>
      </c>
      <c r="S174" s="53"/>
      <c r="T174" s="13">
        <f t="shared" si="21"/>
        <v>97745.126666666663</v>
      </c>
    </row>
    <row r="175" spans="1:20" s="3" customFormat="1" ht="60" hidden="1" outlineLevel="1" x14ac:dyDescent="0.25">
      <c r="A175" s="44">
        <f>ROW(DIARIO[[#This Row],[Nombre de Cuenta]])-1</f>
        <v>174</v>
      </c>
      <c r="B175" s="46" t="s">
        <v>25</v>
      </c>
      <c r="C175" s="47" t="s">
        <v>407</v>
      </c>
      <c r="D175" s="48">
        <f>VLOOKUP(C175,CATALOGO[],2,FALSE)</f>
        <v>39</v>
      </c>
      <c r="E175" s="49" t="str">
        <f>VLOOKUP(DIARIO[[#This Row],[Objeto de Gasto]],CATALOGO[],3,FALSE)</f>
        <v>35210 Productos Farmaceuticos Y Medicinales</v>
      </c>
      <c r="F175" s="50"/>
      <c r="G175" s="53" t="s">
        <v>925</v>
      </c>
      <c r="H175" s="50" t="s">
        <v>921</v>
      </c>
      <c r="I175" s="51">
        <v>45327</v>
      </c>
      <c r="J175" s="50"/>
      <c r="K175" s="51"/>
      <c r="L175" s="50"/>
      <c r="M175" s="51"/>
      <c r="N175" s="52"/>
      <c r="O175" s="13">
        <v>89000</v>
      </c>
      <c r="P175" s="52">
        <f>N175-O175</f>
        <v>-89000</v>
      </c>
      <c r="Q175" s="23" t="s">
        <v>18</v>
      </c>
      <c r="R175" s="39"/>
      <c r="S175" s="53" t="s">
        <v>922</v>
      </c>
      <c r="T175" s="13">
        <v>89000</v>
      </c>
    </row>
    <row r="176" spans="1:20" s="3" customFormat="1" ht="60" hidden="1" outlineLevel="1" x14ac:dyDescent="0.25">
      <c r="A176" s="44">
        <f>ROW(DIARIO[[#This Row],[Nombre de Cuenta]])-1</f>
        <v>175</v>
      </c>
      <c r="B176" s="46" t="s">
        <v>25</v>
      </c>
      <c r="C176" s="47" t="s">
        <v>220</v>
      </c>
      <c r="D176" s="48">
        <f>VLOOKUP(C176,CATALOGO[],2,FALSE)</f>
        <v>39</v>
      </c>
      <c r="E176" s="49" t="str">
        <f>VLOOKUP(DIARIO[[#This Row],[Objeto de Gasto]],CATALOGO[],3,FALSE)</f>
        <v>35210 Productos Farmaceuticos Y Medicinales</v>
      </c>
      <c r="F176" s="50"/>
      <c r="G176" s="53" t="s">
        <v>925</v>
      </c>
      <c r="H176" s="50" t="s">
        <v>920</v>
      </c>
      <c r="I176" s="51">
        <v>45328</v>
      </c>
      <c r="J176" s="50"/>
      <c r="K176" s="51"/>
      <c r="L176" s="50"/>
      <c r="M176" s="51"/>
      <c r="N176" s="52"/>
      <c r="O176" s="13">
        <f>2061760.18-89000+59742.57+601.32</f>
        <v>2033104.07</v>
      </c>
      <c r="P176" s="52">
        <f>N176-O176</f>
        <v>-2033104.07</v>
      </c>
      <c r="Q176" s="23" t="s">
        <v>18</v>
      </c>
      <c r="R176" s="39"/>
      <c r="S176" s="53" t="s">
        <v>955</v>
      </c>
      <c r="T176" s="13">
        <v>2033104.07</v>
      </c>
    </row>
    <row r="177" spans="1:25" s="3" customFormat="1" hidden="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hidden="1" collapsed="1" x14ac:dyDescent="0.25">
      <c r="A178" s="2">
        <f>ROW(DIARIO[[#This Row],[Nombre de Cuenta]])-$A$177-1</f>
        <v>1</v>
      </c>
      <c r="B178" s="15" t="s">
        <v>21</v>
      </c>
      <c r="C178" s="16" t="s">
        <v>225</v>
      </c>
      <c r="D178" s="15">
        <f>VLOOKUP(C178,CATALOGO[],2,FALSE)</f>
        <v>40</v>
      </c>
      <c r="E178" s="36" t="str">
        <f>VLOOKUP(DIARIO[[#This Row],[Objeto de Gasto]],CATALOGO[],3,FALSE)</f>
        <v>35252 Reactivo (VIH)</v>
      </c>
      <c r="F178" s="1" t="s">
        <v>11</v>
      </c>
      <c r="G178" s="16" t="s">
        <v>428</v>
      </c>
      <c r="H178" s="15" t="s">
        <v>429</v>
      </c>
      <c r="I178" s="17">
        <v>45117</v>
      </c>
      <c r="J178" s="15" t="s">
        <v>430</v>
      </c>
      <c r="K178" s="17">
        <v>45152</v>
      </c>
      <c r="L178" s="15" t="s">
        <v>431</v>
      </c>
      <c r="M178" s="17">
        <v>45146</v>
      </c>
      <c r="N178" s="18"/>
      <c r="O178" s="18">
        <v>23605072.5</v>
      </c>
      <c r="P178" s="14">
        <f t="shared" ref="P178:P188" si="22">N178-O178</f>
        <v>-23605072.5</v>
      </c>
      <c r="Q178" s="15" t="s">
        <v>18</v>
      </c>
      <c r="R178" s="38" t="s">
        <v>432</v>
      </c>
      <c r="S178" s="16" t="s">
        <v>433</v>
      </c>
      <c r="T178" s="13">
        <v>23605072.5</v>
      </c>
    </row>
    <row r="179" spans="1:25" s="3" customFormat="1" hidden="1" x14ac:dyDescent="0.25">
      <c r="A179" s="2">
        <f>ROW(DIARIO[[#This Row],[Nombre de Cuenta]])-$A$177-1</f>
        <v>2</v>
      </c>
      <c r="B179" s="15" t="s">
        <v>21</v>
      </c>
      <c r="C179" s="16" t="s">
        <v>269</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923</v>
      </c>
      <c r="S179" s="16"/>
      <c r="T179" s="13">
        <v>67979.385922791829</v>
      </c>
    </row>
    <row r="180" spans="1:25" s="3" customFormat="1" hidden="1" x14ac:dyDescent="0.25">
      <c r="A180" s="2">
        <f>ROW(DIARIO[[#This Row],[Nombre de Cuenta]])-$A$177-1</f>
        <v>3</v>
      </c>
      <c r="B180" s="15" t="s">
        <v>21</v>
      </c>
      <c r="C180" s="16" t="s">
        <v>270</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923</v>
      </c>
      <c r="S180" s="16"/>
      <c r="T180" s="13">
        <v>71983.529817512579</v>
      </c>
    </row>
    <row r="181" spans="1:25" s="3" customFormat="1" hidden="1" x14ac:dyDescent="0.25">
      <c r="A181" s="2">
        <f>ROW(DIARIO[[#This Row],[Nombre de Cuenta]])-$A$177-1</f>
        <v>4</v>
      </c>
      <c r="B181" s="15" t="s">
        <v>21</v>
      </c>
      <c r="C181" s="16" t="s">
        <v>271</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923</v>
      </c>
      <c r="S181" s="16"/>
      <c r="T181" s="13">
        <v>57137.314259695617</v>
      </c>
      <c r="Y181" s="135"/>
    </row>
    <row r="182" spans="1:25" s="3" customFormat="1" ht="45" hidden="1" x14ac:dyDescent="0.25">
      <c r="A182" s="2">
        <f>ROW(DIARIO[[#This Row],[Nombre de Cuenta]])-$A$177-1</f>
        <v>5</v>
      </c>
      <c r="B182" s="15" t="s">
        <v>21</v>
      </c>
      <c r="C182" s="16" t="s">
        <v>269</v>
      </c>
      <c r="D182" s="15">
        <f>VLOOKUP(C182,CATALOGO[],2,FALSE)</f>
        <v>49</v>
      </c>
      <c r="E182" s="36" t="str">
        <f>VLOOKUP(DIARIO[[#This Row],[Objeto de Gasto]],CATALOGO[],3,FALSE)</f>
        <v xml:space="preserve">39520 Intrumental Y Material Para Laboratorio </v>
      </c>
      <c r="F182" s="1" t="s">
        <v>11</v>
      </c>
      <c r="G182" s="16" t="s">
        <v>434</v>
      </c>
      <c r="H182" s="15" t="s">
        <v>435</v>
      </c>
      <c r="I182" s="17">
        <v>45065</v>
      </c>
      <c r="J182" s="15" t="s">
        <v>436</v>
      </c>
      <c r="K182" s="17">
        <v>45078</v>
      </c>
      <c r="L182" s="15"/>
      <c r="M182" s="17"/>
      <c r="N182" s="18"/>
      <c r="O182" s="18">
        <v>741424.83</v>
      </c>
      <c r="P182" s="14">
        <f t="shared" si="22"/>
        <v>-741424.83</v>
      </c>
      <c r="Q182" s="15" t="s">
        <v>18</v>
      </c>
      <c r="R182" s="38" t="s">
        <v>437</v>
      </c>
      <c r="S182" s="16" t="s">
        <v>924</v>
      </c>
      <c r="T182" s="13">
        <v>714090.91971011111</v>
      </c>
      <c r="X182" s="79"/>
      <c r="Y182" s="135"/>
    </row>
    <row r="183" spans="1:25" s="3" customFormat="1" ht="45" hidden="1" x14ac:dyDescent="0.25">
      <c r="A183" s="2">
        <f>ROW(DIARIO[[#This Row],[Nombre de Cuenta]])-$A$177-1</f>
        <v>6</v>
      </c>
      <c r="B183" s="15" t="s">
        <v>21</v>
      </c>
      <c r="C183" s="16" t="s">
        <v>270</v>
      </c>
      <c r="D183" s="15">
        <f>VLOOKUP(C183,CATALOGO[],2,FALSE)</f>
        <v>49</v>
      </c>
      <c r="E183" s="36" t="str">
        <f>VLOOKUP(DIARIO[[#This Row],[Objeto de Gasto]],CATALOGO[],3,FALSE)</f>
        <v xml:space="preserve">39520 Intrumental Y Material Para Laboratorio </v>
      </c>
      <c r="F183" s="1" t="s">
        <v>11</v>
      </c>
      <c r="G183" s="16" t="s">
        <v>434</v>
      </c>
      <c r="H183" s="15" t="s">
        <v>435</v>
      </c>
      <c r="I183" s="17">
        <v>45065</v>
      </c>
      <c r="J183" s="15" t="s">
        <v>436</v>
      </c>
      <c r="K183" s="17">
        <v>45078</v>
      </c>
      <c r="L183" s="15"/>
      <c r="M183" s="17"/>
      <c r="N183" s="18"/>
      <c r="O183" s="18">
        <v>785096.47</v>
      </c>
      <c r="P183" s="14">
        <f t="shared" si="22"/>
        <v>-785096.47</v>
      </c>
      <c r="Q183" s="15" t="s">
        <v>18</v>
      </c>
      <c r="R183" s="38" t="s">
        <v>437</v>
      </c>
      <c r="S183" s="16" t="s">
        <v>924</v>
      </c>
      <c r="T183" s="13">
        <v>756152.53526633675</v>
      </c>
      <c r="X183" s="79"/>
      <c r="Y183" s="135"/>
    </row>
    <row r="184" spans="1:25" s="3" customFormat="1" ht="45" hidden="1" x14ac:dyDescent="0.25">
      <c r="A184" s="2">
        <f>ROW(DIARIO[[#This Row],[Nombre de Cuenta]])-$A$177-1</f>
        <v>7</v>
      </c>
      <c r="B184" s="15" t="s">
        <v>21</v>
      </c>
      <c r="C184" s="16" t="s">
        <v>271</v>
      </c>
      <c r="D184" s="15">
        <f>VLOOKUP(C184,CATALOGO[],2,FALSE)</f>
        <v>49</v>
      </c>
      <c r="E184" s="36" t="str">
        <f>VLOOKUP(DIARIO[[#This Row],[Objeto de Gasto]],CATALOGO[],3,FALSE)</f>
        <v xml:space="preserve">39520 Intrumental Y Material Para Laboratorio </v>
      </c>
      <c r="F184" s="1" t="s">
        <v>11</v>
      </c>
      <c r="G184" s="16" t="s">
        <v>434</v>
      </c>
      <c r="H184" s="15" t="s">
        <v>435</v>
      </c>
      <c r="I184" s="17">
        <v>45065</v>
      </c>
      <c r="J184" s="15" t="s">
        <v>436</v>
      </c>
      <c r="K184" s="17">
        <v>45078</v>
      </c>
      <c r="L184" s="15"/>
      <c r="M184" s="17"/>
      <c r="N184" s="18"/>
      <c r="O184" s="18">
        <v>623174.55000000005</v>
      </c>
      <c r="P184" s="14">
        <f t="shared" si="22"/>
        <v>-623174.55000000005</v>
      </c>
      <c r="Q184" s="15" t="s">
        <v>18</v>
      </c>
      <c r="R184" s="38" t="s">
        <v>437</v>
      </c>
      <c r="S184" s="16" t="s">
        <v>924</v>
      </c>
      <c r="T184" s="13">
        <v>600200.14502355235</v>
      </c>
      <c r="X184" s="79"/>
      <c r="Y184" s="135"/>
    </row>
    <row r="185" spans="1:25" s="3" customFormat="1" ht="30" hidden="1" x14ac:dyDescent="0.25">
      <c r="A185" s="2">
        <f>ROW(DIARIO[[#This Row],[Nombre de Cuenta]])-$A$177-1</f>
        <v>8</v>
      </c>
      <c r="B185" s="15" t="s">
        <v>21</v>
      </c>
      <c r="C185" s="16" t="s">
        <v>315</v>
      </c>
      <c r="D185" s="15">
        <f>VLOOKUP(C185,CATALOGO[],2,FALSE)</f>
        <v>58</v>
      </c>
      <c r="E185" s="36" t="str">
        <f>VLOOKUP(DIARIO[[#This Row],[Objeto de Gasto]],CATALOGO[],3,FALSE)</f>
        <v>42420 Equipo De Laboratorio Medico</v>
      </c>
      <c r="F185" s="1" t="s">
        <v>11</v>
      </c>
      <c r="G185" s="16" t="s">
        <v>438</v>
      </c>
      <c r="H185" s="15" t="s">
        <v>439</v>
      </c>
      <c r="I185" s="17">
        <v>45065</v>
      </c>
      <c r="J185" s="15" t="s">
        <v>440</v>
      </c>
      <c r="K185" s="17">
        <v>45078</v>
      </c>
      <c r="L185" s="15"/>
      <c r="M185" s="17"/>
      <c r="N185" s="18"/>
      <c r="O185" s="18">
        <v>6025770.7636850812</v>
      </c>
      <c r="P185" s="14">
        <f t="shared" si="22"/>
        <v>-6025770.7636850812</v>
      </c>
      <c r="Q185" s="15" t="s">
        <v>18</v>
      </c>
      <c r="R185" s="38" t="s">
        <v>441</v>
      </c>
      <c r="S185" s="16" t="s">
        <v>442</v>
      </c>
      <c r="T185" s="13">
        <v>767589.89619481331</v>
      </c>
      <c r="Y185" s="79"/>
    </row>
    <row r="186" spans="1:25" s="3" customFormat="1" ht="30" hidden="1" x14ac:dyDescent="0.25">
      <c r="A186" s="2">
        <f>ROW(DIARIO[[#This Row],[Nombre de Cuenta]])-$A$177-1</f>
        <v>9</v>
      </c>
      <c r="B186" s="15" t="s">
        <v>21</v>
      </c>
      <c r="C186" s="16" t="s">
        <v>317</v>
      </c>
      <c r="D186" s="15">
        <f>VLOOKUP(C186,CATALOGO[],2,FALSE)</f>
        <v>58</v>
      </c>
      <c r="E186" s="36" t="str">
        <f>VLOOKUP(DIARIO[[#This Row],[Objeto de Gasto]],CATALOGO[],3,FALSE)</f>
        <v>42420 Equipo De Laboratorio Medico</v>
      </c>
      <c r="F186" s="1" t="s">
        <v>11</v>
      </c>
      <c r="G186" s="16" t="s">
        <v>438</v>
      </c>
      <c r="H186" s="15" t="s">
        <v>439</v>
      </c>
      <c r="I186" s="17">
        <v>45065</v>
      </c>
      <c r="J186" s="15" t="s">
        <v>440</v>
      </c>
      <c r="K186" s="17">
        <v>45078</v>
      </c>
      <c r="L186" s="15"/>
      <c r="M186" s="17"/>
      <c r="N186" s="18"/>
      <c r="O186" s="18">
        <v>4580463.6959707029</v>
      </c>
      <c r="P186" s="14">
        <f t="shared" si="22"/>
        <v>-4580463.6959707029</v>
      </c>
      <c r="Q186" s="15" t="s">
        <v>18</v>
      </c>
      <c r="R186" s="38" t="s">
        <v>441</v>
      </c>
      <c r="S186" s="16" t="s">
        <v>442</v>
      </c>
      <c r="T186" s="13">
        <v>583480.15395861014</v>
      </c>
      <c r="Y186" s="79"/>
    </row>
    <row r="187" spans="1:25" s="3" customFormat="1" ht="30" hidden="1" x14ac:dyDescent="0.25">
      <c r="A187" s="2">
        <f>ROW(DIARIO[[#This Row],[Nombre de Cuenta]])-$A$177-1</f>
        <v>10</v>
      </c>
      <c r="B187" s="15" t="s">
        <v>21</v>
      </c>
      <c r="C187" s="16" t="s">
        <v>316</v>
      </c>
      <c r="D187" s="15">
        <f>VLOOKUP(C187,CATALOGO[],2,FALSE)</f>
        <v>58</v>
      </c>
      <c r="E187" s="36" t="str">
        <f>VLOOKUP(DIARIO[[#This Row],[Objeto de Gasto]],CATALOGO[],3,FALSE)</f>
        <v>42420 Equipo De Laboratorio Medico</v>
      </c>
      <c r="F187" s="1" t="s">
        <v>11</v>
      </c>
      <c r="G187" s="16" t="s">
        <v>438</v>
      </c>
      <c r="H187" s="15" t="s">
        <v>439</v>
      </c>
      <c r="I187" s="17">
        <v>45065</v>
      </c>
      <c r="J187" s="15" t="s">
        <v>440</v>
      </c>
      <c r="K187" s="17">
        <v>45078</v>
      </c>
      <c r="L187" s="15"/>
      <c r="M187" s="17"/>
      <c r="N187" s="18"/>
      <c r="O187" s="18">
        <v>8243780.15034422</v>
      </c>
      <c r="P187" s="14">
        <f t="shared" si="22"/>
        <v>-8243780.15034422</v>
      </c>
      <c r="Q187" s="15" t="s">
        <v>18</v>
      </c>
      <c r="R187" s="38" t="s">
        <v>441</v>
      </c>
      <c r="S187" s="16" t="s">
        <v>442</v>
      </c>
      <c r="T187" s="13">
        <v>1050129.9498465767</v>
      </c>
      <c r="Y187" s="79"/>
    </row>
    <row r="188" spans="1:25" s="3" customFormat="1" ht="60" hidden="1" x14ac:dyDescent="0.25">
      <c r="A188" s="2">
        <f>ROW(DIARIO[[#This Row],[Nombre de Cuenta]])-$A$177-1</f>
        <v>11</v>
      </c>
      <c r="B188" s="15" t="s">
        <v>21</v>
      </c>
      <c r="C188" s="16" t="s">
        <v>408</v>
      </c>
      <c r="D188" s="15">
        <f>VLOOKUP(C188,CATALOGO[],2,FALSE)</f>
        <v>37</v>
      </c>
      <c r="E188" s="36" t="str">
        <f>VLOOKUP(DIARIO[[#This Row],[Objeto de Gasto]],CATALOGO[],3,FALSE)</f>
        <v>35251 Reactivos</v>
      </c>
      <c r="F188" s="1" t="s">
        <v>11</v>
      </c>
      <c r="G188" s="16" t="s">
        <v>443</v>
      </c>
      <c r="H188" s="15" t="s">
        <v>444</v>
      </c>
      <c r="I188" s="17">
        <v>45154</v>
      </c>
      <c r="J188" s="15" t="s">
        <v>445</v>
      </c>
      <c r="K188" s="17"/>
      <c r="L188" s="15" t="s">
        <v>446</v>
      </c>
      <c r="M188" s="17">
        <v>45159</v>
      </c>
      <c r="N188" s="18"/>
      <c r="O188" s="18">
        <v>389530</v>
      </c>
      <c r="P188" s="14">
        <f t="shared" si="22"/>
        <v>-389530</v>
      </c>
      <c r="Q188" s="15" t="s">
        <v>18</v>
      </c>
      <c r="R188" s="38" t="s">
        <v>447</v>
      </c>
      <c r="S188" s="16" t="s">
        <v>448</v>
      </c>
      <c r="T188" s="13"/>
    </row>
    <row r="189" spans="1:25" s="3" customFormat="1" ht="30" hidden="1" x14ac:dyDescent="0.25">
      <c r="A189" s="2">
        <f>ROW(DIARIO[[#This Row],[Nombre de Cuenta]])-$A$177-1</f>
        <v>12</v>
      </c>
      <c r="B189" s="15" t="s">
        <v>21</v>
      </c>
      <c r="C189" s="16" t="s">
        <v>280</v>
      </c>
      <c r="D189" s="15">
        <f>VLOOKUP(C189,CATALOGO[],2,FALSE)</f>
        <v>51</v>
      </c>
      <c r="E189" s="36" t="str">
        <f>VLOOKUP(DIARIO[[#This Row],[Objeto de Gasto]],CATALOGO[],3,FALSE)</f>
        <v>39540 Otro Instrumental, Accesorios Y Material Medico</v>
      </c>
      <c r="F189" s="1" t="s">
        <v>11</v>
      </c>
      <c r="G189" s="16" t="s">
        <v>449</v>
      </c>
      <c r="H189" s="15" t="s">
        <v>450</v>
      </c>
      <c r="I189" s="17">
        <v>45065</v>
      </c>
      <c r="J189" s="15" t="s">
        <v>451</v>
      </c>
      <c r="K189" s="17">
        <v>45078</v>
      </c>
      <c r="L189" s="15"/>
      <c r="M189" s="17"/>
      <c r="N189" s="18"/>
      <c r="O189" s="18">
        <v>83069.899326067505</v>
      </c>
      <c r="P189" s="14">
        <f>N189-O189</f>
        <v>-83069.899326067505</v>
      </c>
      <c r="Q189" s="15" t="s">
        <v>18</v>
      </c>
      <c r="R189" s="38" t="s">
        <v>452</v>
      </c>
      <c r="S189" s="16" t="s">
        <v>453</v>
      </c>
      <c r="T189" s="13">
        <v>48814.484342566844</v>
      </c>
      <c r="X189" s="79"/>
    </row>
    <row r="190" spans="1:25" s="3" customFormat="1" ht="30" hidden="1" x14ac:dyDescent="0.25">
      <c r="A190" s="2">
        <f>ROW(DIARIO[[#This Row],[Nombre de Cuenta]])-$A$177-1</f>
        <v>13</v>
      </c>
      <c r="B190" s="15" t="s">
        <v>21</v>
      </c>
      <c r="C190" s="16" t="s">
        <v>281</v>
      </c>
      <c r="D190" s="15">
        <f>VLOOKUP(C190,CATALOGO[],2,FALSE)</f>
        <v>51</v>
      </c>
      <c r="E190" s="36" t="str">
        <f>VLOOKUP(DIARIO[[#This Row],[Objeto de Gasto]],CATALOGO[],3,FALSE)</f>
        <v>39540 Otro Instrumental, Accesorios Y Material Medico</v>
      </c>
      <c r="F190" s="1" t="s">
        <v>11</v>
      </c>
      <c r="G190" s="16" t="s">
        <v>449</v>
      </c>
      <c r="H190" s="15" t="s">
        <v>450</v>
      </c>
      <c r="I190" s="17">
        <v>45065</v>
      </c>
      <c r="J190" s="15" t="s">
        <v>451</v>
      </c>
      <c r="K190" s="17">
        <v>45078</v>
      </c>
      <c r="L190" s="15"/>
      <c r="M190" s="17"/>
      <c r="N190" s="18"/>
      <c r="O190" s="18">
        <v>13778.957573410133</v>
      </c>
      <c r="P190" s="14">
        <f>N190-O190</f>
        <v>-13778.957573410133</v>
      </c>
      <c r="Q190" s="15" t="s">
        <v>18</v>
      </c>
      <c r="R190" s="38" t="s">
        <v>452</v>
      </c>
      <c r="S190" s="16" t="s">
        <v>453</v>
      </c>
      <c r="T190" s="13">
        <v>8096.9486442251473</v>
      </c>
      <c r="X190" s="79"/>
    </row>
    <row r="191" spans="1:25" ht="60" hidden="1" x14ac:dyDescent="0.25">
      <c r="A191" s="2">
        <f>ROW(DIARIO[[#This Row],[Nombre de Cuenta]])-$A$177-1</f>
        <v>14</v>
      </c>
      <c r="B191" s="15" t="s">
        <v>21</v>
      </c>
      <c r="C191" s="16" t="s">
        <v>279</v>
      </c>
      <c r="D191" s="15">
        <f>VLOOKUP(C191,CATALOGO[],2,FALSE)</f>
        <v>51</v>
      </c>
      <c r="E191" s="36" t="str">
        <f>VLOOKUP(DIARIO[[#This Row],[Objeto de Gasto]],CATALOGO[],3,FALSE)</f>
        <v>39540 Otro Instrumental, Accesorios Y Material Medico</v>
      </c>
      <c r="F191" s="1" t="s">
        <v>11</v>
      </c>
      <c r="G191" s="16" t="s">
        <v>449</v>
      </c>
      <c r="H191" s="15" t="s">
        <v>450</v>
      </c>
      <c r="I191" s="17">
        <v>45065</v>
      </c>
      <c r="J191" s="15" t="s">
        <v>451</v>
      </c>
      <c r="K191" s="17">
        <v>45078</v>
      </c>
      <c r="L191" s="15"/>
      <c r="M191" s="17"/>
      <c r="N191" s="18"/>
      <c r="O191" s="18">
        <v>143625.0031005221</v>
      </c>
      <c r="P191" s="14">
        <f>N191-O191</f>
        <v>-143625.0031005221</v>
      </c>
      <c r="Q191" s="15" t="s">
        <v>18</v>
      </c>
      <c r="R191" s="38" t="s">
        <v>452</v>
      </c>
      <c r="S191" s="16" t="s">
        <v>454</v>
      </c>
      <c r="T191" s="13">
        <v>84398.567013207998</v>
      </c>
      <c r="X191" s="114"/>
      <c r="Y191" s="3"/>
    </row>
    <row r="192" spans="1:25" ht="45" hidden="1" x14ac:dyDescent="0.25">
      <c r="A192" s="2">
        <f>ROW(DIARIO[[#This Row],[Nombre de Cuenta]])-$A$177-1</f>
        <v>15</v>
      </c>
      <c r="B192" s="23" t="s">
        <v>17</v>
      </c>
      <c r="C192" s="34" t="s">
        <v>229</v>
      </c>
      <c r="D192" s="7">
        <f>VLOOKUP(C192,CATALOGO[],2,FALSE)</f>
        <v>41</v>
      </c>
      <c r="E192" s="36" t="str">
        <f>VLOOKUP(DIARIO[[#This Row],[Objeto de Gasto]],CATALOGO[],3,FALSE)</f>
        <v>35400 Insecticidas, Fumigantes Y Otros</v>
      </c>
      <c r="F192" s="1" t="s">
        <v>11</v>
      </c>
      <c r="G192" s="6" t="s">
        <v>455</v>
      </c>
      <c r="H192" s="1" t="s">
        <v>456</v>
      </c>
      <c r="I192" s="9">
        <v>45180</v>
      </c>
      <c r="J192" s="1" t="s">
        <v>457</v>
      </c>
      <c r="K192" s="9">
        <v>45208</v>
      </c>
      <c r="L192" s="1"/>
      <c r="M192" s="9"/>
      <c r="N192" s="19"/>
      <c r="O192" s="21">
        <v>12000000</v>
      </c>
      <c r="P192" s="4">
        <f t="shared" si="14"/>
        <v>-12000000</v>
      </c>
      <c r="Q192" s="23" t="s">
        <v>26</v>
      </c>
      <c r="R192" s="39"/>
      <c r="S192" s="6" t="s">
        <v>458</v>
      </c>
    </row>
    <row r="193" spans="1:23" ht="30" hidden="1" x14ac:dyDescent="0.25">
      <c r="A193" s="2">
        <f>ROW(DIARIO[[#This Row],[Nombre de Cuenta]])-$A$177-1</f>
        <v>16</v>
      </c>
      <c r="B193" s="23" t="s">
        <v>17</v>
      </c>
      <c r="C193" s="34" t="s">
        <v>225</v>
      </c>
      <c r="D193" s="7">
        <f>VLOOKUP(C193,CATALOGO[],2,FALSE)</f>
        <v>40</v>
      </c>
      <c r="E193" s="36" t="str">
        <f>VLOOKUP(DIARIO[[#This Row],[Objeto de Gasto]],CATALOGO[],3,FALSE)</f>
        <v>35252 Reactivo (VIH)</v>
      </c>
      <c r="F193" s="1" t="s">
        <v>11</v>
      </c>
      <c r="G193" s="6" t="s">
        <v>428</v>
      </c>
      <c r="H193" s="1" t="s">
        <v>459</v>
      </c>
      <c r="I193" s="9">
        <v>45189</v>
      </c>
      <c r="J193" s="1" t="s">
        <v>460</v>
      </c>
      <c r="K193" s="9">
        <v>45210</v>
      </c>
      <c r="L193" s="1"/>
      <c r="M193" s="9"/>
      <c r="N193" s="19"/>
      <c r="O193" s="21">
        <v>45215293.5</v>
      </c>
      <c r="P193" s="4">
        <f t="shared" si="14"/>
        <v>-45215293.5</v>
      </c>
      <c r="Q193" s="23" t="s">
        <v>10</v>
      </c>
      <c r="R193" s="39"/>
      <c r="S193" s="6" t="s">
        <v>461</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462</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954</v>
      </c>
      <c r="C195" s="34" t="s">
        <v>326</v>
      </c>
      <c r="D195" s="7">
        <f>VLOOKUP(C195,CATALOGO[],2,FALSE)</f>
        <v>60</v>
      </c>
      <c r="E195" s="36" t="str">
        <f>VLOOKUP(DIARIO[[#This Row],[Objeto de Gasto]],CATALOGO[],3,FALSE)</f>
        <v>45100 Aplicaciones Informaticas</v>
      </c>
      <c r="F195" s="1" t="s">
        <v>19</v>
      </c>
      <c r="G195" s="6" t="s">
        <v>463</v>
      </c>
      <c r="H195" s="1" t="s">
        <v>464</v>
      </c>
      <c r="I195" s="9">
        <v>45314</v>
      </c>
      <c r="J195" s="1" t="s">
        <v>465</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180</v>
      </c>
      <c r="D196" s="28">
        <f>VLOOKUP(C196,CATALOGO[],2,FALSE)</f>
        <v>31</v>
      </c>
      <c r="E196" s="37" t="str">
        <f>VLOOKUP(DIARIO[[#This Row],[Objeto de Gasto]],CATALOGO[],3,FALSE)</f>
        <v>32310 Prendas De Vestir</v>
      </c>
      <c r="F196" s="27" t="s">
        <v>11</v>
      </c>
      <c r="G196" s="29" t="s">
        <v>466</v>
      </c>
      <c r="H196" s="27" t="s">
        <v>467</v>
      </c>
      <c r="I196" s="30">
        <v>45315</v>
      </c>
      <c r="J196" s="27"/>
      <c r="K196" s="30"/>
      <c r="L196" s="27"/>
      <c r="M196" s="30"/>
      <c r="N196" s="31"/>
      <c r="O196" s="32">
        <v>2657500</v>
      </c>
      <c r="P196" s="31">
        <f t="shared" si="23"/>
        <v>-2657500</v>
      </c>
      <c r="Q196" s="33" t="s">
        <v>10</v>
      </c>
      <c r="R196" s="40"/>
      <c r="S196" s="29" t="s">
        <v>657</v>
      </c>
      <c r="T196" s="31"/>
    </row>
    <row r="197" spans="1:23" ht="90" hidden="1" x14ac:dyDescent="0.25">
      <c r="A197" s="2">
        <f>ROW(DIARIO[[#This Row],[Nombre de Cuenta]])-$A$177-1</f>
        <v>20</v>
      </c>
      <c r="B197" s="23" t="s">
        <v>21</v>
      </c>
      <c r="C197" s="34" t="s">
        <v>409</v>
      </c>
      <c r="D197" s="7">
        <f>VLOOKUP(C197,CATALOGO[],2,FALSE)</f>
        <v>41</v>
      </c>
      <c r="E197" s="36" t="str">
        <f>VLOOKUP(DIARIO[[#This Row],[Objeto de Gasto]],CATALOGO[],3,FALSE)</f>
        <v>35400 Insecticidas, Fumigantes Y Otros</v>
      </c>
      <c r="F197" s="1" t="s">
        <v>11</v>
      </c>
      <c r="G197" s="6" t="s">
        <v>455</v>
      </c>
      <c r="H197" s="1" t="s">
        <v>468</v>
      </c>
      <c r="I197" s="9">
        <v>45322</v>
      </c>
      <c r="J197" s="1" t="s">
        <v>469</v>
      </c>
      <c r="K197" s="9">
        <v>45322</v>
      </c>
      <c r="L197" s="1"/>
      <c r="M197" s="9"/>
      <c r="O197" s="22">
        <v>11200000</v>
      </c>
      <c r="P197" s="4">
        <f t="shared" si="23"/>
        <v>-11200000</v>
      </c>
      <c r="Q197" s="23" t="s">
        <v>18</v>
      </c>
      <c r="R197" s="39" t="s">
        <v>470</v>
      </c>
      <c r="S197" s="6" t="s">
        <v>708</v>
      </c>
    </row>
    <row r="198" spans="1:23" ht="75" hidden="1" x14ac:dyDescent="0.25">
      <c r="A198" s="2">
        <f>ROW(DIARIO[[#This Row],[Nombre de Cuenta]])-$A$177-1</f>
        <v>21</v>
      </c>
      <c r="B198" s="23" t="s">
        <v>954</v>
      </c>
      <c r="C198" s="34" t="s">
        <v>321</v>
      </c>
      <c r="D198" s="7">
        <f>VLOOKUP(C198,CATALOGO[],2,FALSE)</f>
        <v>59</v>
      </c>
      <c r="E198" s="36" t="str">
        <f>VLOOKUP(DIARIO[[#This Row],[Objeto de Gasto]],CATALOGO[],3,FALSE)</f>
        <v>42600 Equipo Para Computacion</v>
      </c>
      <c r="F198" s="1" t="s">
        <v>19</v>
      </c>
      <c r="G198" s="6" t="s">
        <v>471</v>
      </c>
      <c r="H198" s="1" t="s">
        <v>472</v>
      </c>
      <c r="I198" s="9">
        <v>45320</v>
      </c>
      <c r="J198" s="1" t="s">
        <v>473</v>
      </c>
      <c r="K198" s="9">
        <v>45345</v>
      </c>
      <c r="L198" s="1"/>
      <c r="M198" s="9"/>
      <c r="O198" s="22">
        <f>(21645.55*26)+(30164.5*25)+(45482.5*25)+15482.5+42859.1</f>
        <v>2512300.9</v>
      </c>
      <c r="P198" s="4">
        <f t="shared" si="23"/>
        <v>-2512300.9</v>
      </c>
      <c r="Q198" s="23" t="s">
        <v>18</v>
      </c>
      <c r="R198" s="39"/>
      <c r="S198" s="6" t="s">
        <v>944</v>
      </c>
      <c r="V198" s="25"/>
    </row>
    <row r="199" spans="1:23" ht="30" hidden="1" x14ac:dyDescent="0.25">
      <c r="A199" s="2">
        <f>ROW(DIARIO[[#This Row],[Nombre de Cuenta]])-$A$177-1</f>
        <v>22</v>
      </c>
      <c r="B199" s="23" t="s">
        <v>21</v>
      </c>
      <c r="C199" s="34" t="s">
        <v>421</v>
      </c>
      <c r="D199" s="7">
        <f>VLOOKUP(C199,CATALOGO[],2,FALSE)</f>
        <v>57</v>
      </c>
      <c r="E199" s="36" t="str">
        <f>VLOOKUP(DIARIO[[#This Row],[Objeto de Gasto]],CATALOGO[],3,FALSE)</f>
        <v>42220 Maquinaria Y Equipo De Producción Agropecuaria Y Forestal</v>
      </c>
      <c r="F199" s="1" t="s">
        <v>11</v>
      </c>
      <c r="G199" s="6" t="s">
        <v>474</v>
      </c>
      <c r="H199" s="1" t="s">
        <v>475</v>
      </c>
      <c r="I199" s="9">
        <v>45322</v>
      </c>
      <c r="J199" s="1" t="s">
        <v>476</v>
      </c>
      <c r="K199" s="9">
        <v>45347</v>
      </c>
      <c r="L199" s="1"/>
      <c r="M199" s="9"/>
      <c r="O199" s="22">
        <v>1500000</v>
      </c>
      <c r="P199" s="4">
        <f t="shared" si="23"/>
        <v>-1500000</v>
      </c>
      <c r="Q199" s="23" t="s">
        <v>14</v>
      </c>
      <c r="R199" s="39" t="s">
        <v>477</v>
      </c>
      <c r="S199" s="6"/>
    </row>
    <row r="200" spans="1:23" ht="75" hidden="1" x14ac:dyDescent="0.25">
      <c r="A200" s="2">
        <f>ROW(DIARIO[[#This Row],[Nombre de Cuenta]])-$A$177-1</f>
        <v>23</v>
      </c>
      <c r="B200" s="23" t="s">
        <v>9</v>
      </c>
      <c r="C200" s="34" t="s">
        <v>420</v>
      </c>
      <c r="D200" s="7">
        <f>VLOOKUP(C200,CATALOGO[],2,FALSE)</f>
        <v>55</v>
      </c>
      <c r="E200" s="36" t="str">
        <f>VLOOKUP(DIARIO[[#This Row],[Objeto de Gasto]],CATALOGO[],3,FALSE)</f>
        <v>42120 Equipos Varios De Oficina</v>
      </c>
      <c r="F200" s="1" t="s">
        <v>11</v>
      </c>
      <c r="G200" s="6" t="s">
        <v>478</v>
      </c>
      <c r="H200" s="1" t="s">
        <v>479</v>
      </c>
      <c r="I200" s="9">
        <v>45327</v>
      </c>
      <c r="J200" s="1" t="s">
        <v>672</v>
      </c>
      <c r="K200" s="9">
        <v>45404</v>
      </c>
      <c r="L200" s="1"/>
      <c r="M200" s="9"/>
      <c r="O200" s="22">
        <v>896998</v>
      </c>
      <c r="P200" s="4">
        <f t="shared" si="23"/>
        <v>-896998</v>
      </c>
      <c r="Q200" s="23" t="s">
        <v>14</v>
      </c>
      <c r="R200" s="39" t="s">
        <v>969</v>
      </c>
      <c r="S200" s="6" t="s">
        <v>745</v>
      </c>
    </row>
    <row r="201" spans="1:23" ht="60" hidden="1" x14ac:dyDescent="0.25">
      <c r="A201" s="80">
        <f>ROW(DIARIO[[#This Row],[Nombre de Cuenta]])-$A$177-1</f>
        <v>24</v>
      </c>
      <c r="B201" s="33" t="s">
        <v>954</v>
      </c>
      <c r="C201" s="35" t="s">
        <v>424</v>
      </c>
      <c r="D201" s="28">
        <f>VLOOKUP(C201,CATALOGO[],2,FALSE)</f>
        <v>59</v>
      </c>
      <c r="E201" s="37" t="str">
        <f>VLOOKUP(DIARIO[[#This Row],[Objeto de Gasto]],CATALOGO[],3,FALSE)</f>
        <v>42600 Equipo Para Computacion</v>
      </c>
      <c r="F201" s="27" t="s">
        <v>19</v>
      </c>
      <c r="G201" s="29" t="s">
        <v>481</v>
      </c>
      <c r="H201" s="27" t="s">
        <v>482</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954</v>
      </c>
      <c r="C202" s="34" t="s">
        <v>418</v>
      </c>
      <c r="D202" s="7">
        <f>VLOOKUP(C202,CATALOGO[],2,FALSE)</f>
        <v>52</v>
      </c>
      <c r="E202" s="36" t="str">
        <f>VLOOKUP(DIARIO[[#This Row],[Objeto de Gasto]],CATALOGO[],3,FALSE)</f>
        <v>39600 Otros Repuestos Y Accesorios Menores</v>
      </c>
      <c r="F202" s="1" t="s">
        <v>19</v>
      </c>
      <c r="G202" s="6" t="s">
        <v>483</v>
      </c>
      <c r="H202" s="1" t="s">
        <v>484</v>
      </c>
      <c r="I202" s="9">
        <v>45327</v>
      </c>
      <c r="J202" s="1" t="s">
        <v>485</v>
      </c>
      <c r="K202" s="9">
        <v>45345</v>
      </c>
      <c r="L202" s="1"/>
      <c r="M202" s="9"/>
      <c r="O202" s="22">
        <f>(14892.5)+(8050)+22467.5+9706</f>
        <v>55116</v>
      </c>
      <c r="P202" s="4">
        <f t="shared" si="23"/>
        <v>-55116</v>
      </c>
      <c r="Q202" s="23" t="s">
        <v>18</v>
      </c>
      <c r="R202" s="39" t="s">
        <v>964</v>
      </c>
      <c r="S202" s="6" t="s">
        <v>958</v>
      </c>
      <c r="T202" s="4">
        <f>(14892.5)+(8050)</f>
        <v>22942.5</v>
      </c>
      <c r="V202" s="137"/>
      <c r="W202" s="25"/>
    </row>
    <row r="203" spans="1:23" ht="75" hidden="1" x14ac:dyDescent="0.25">
      <c r="A203" s="2">
        <f>ROW(DIARIO[[#This Row],[Nombre de Cuenta]])-$A$177-1</f>
        <v>26</v>
      </c>
      <c r="B203" s="23" t="s">
        <v>954</v>
      </c>
      <c r="C203" s="34" t="s">
        <v>415</v>
      </c>
      <c r="D203" s="7">
        <f>VLOOKUP(C203,CATALOGO[],2,FALSE)</f>
        <v>48</v>
      </c>
      <c r="E203" s="36" t="str">
        <f>VLOOKUP(DIARIO[[#This Row],[Objeto de Gasto]],CATALOGO[],3,FALSE)</f>
        <v>39200 Utiles De Esritorio, Oficina  Y Enseñanza</v>
      </c>
      <c r="F203" s="1" t="s">
        <v>19</v>
      </c>
      <c r="G203" s="6" t="s">
        <v>486</v>
      </c>
      <c r="H203" s="1" t="s">
        <v>487</v>
      </c>
      <c r="I203" s="9">
        <v>45327</v>
      </c>
      <c r="J203" s="1" t="s">
        <v>488</v>
      </c>
      <c r="K203" s="9">
        <v>45345</v>
      </c>
      <c r="L203" s="1"/>
      <c r="M203" s="9"/>
      <c r="O203" s="22">
        <f>5395.05+12111.32+1741.69+1019.5</f>
        <v>20267.559999999998</v>
      </c>
      <c r="P203" s="4">
        <f t="shared" si="23"/>
        <v>-20267.559999999998</v>
      </c>
      <c r="Q203" s="23" t="s">
        <v>18</v>
      </c>
      <c r="R203" s="39"/>
      <c r="S203" s="6" t="s">
        <v>947</v>
      </c>
      <c r="T203" s="4">
        <v>20267.559999999998</v>
      </c>
      <c r="V203" s="137"/>
      <c r="W203" s="25"/>
    </row>
    <row r="204" spans="1:23" ht="60" hidden="1" x14ac:dyDescent="0.25">
      <c r="A204" s="2">
        <f>ROW(DIARIO[[#This Row],[Nombre de Cuenta]])-$A$177-1</f>
        <v>27</v>
      </c>
      <c r="B204" s="23" t="s">
        <v>954</v>
      </c>
      <c r="C204" s="34" t="s">
        <v>404</v>
      </c>
      <c r="D204" s="7">
        <f>VLOOKUP(C204,CATALOGO[],2,FALSE)</f>
        <v>33</v>
      </c>
      <c r="E204" s="36" t="str">
        <f>VLOOKUP(DIARIO[[#This Row],[Objeto de Gasto]],CATALOGO[],3,FALSE)</f>
        <v xml:space="preserve">33100 Productos De Papel Y Carton </v>
      </c>
      <c r="F204" s="1" t="s">
        <v>15</v>
      </c>
      <c r="G204" s="6" t="s">
        <v>489</v>
      </c>
      <c r="H204" s="1" t="s">
        <v>490</v>
      </c>
      <c r="I204" s="9">
        <v>45327</v>
      </c>
      <c r="J204" s="1" t="s">
        <v>491</v>
      </c>
      <c r="K204" s="9">
        <v>45345</v>
      </c>
      <c r="L204" s="1"/>
      <c r="M204" s="9"/>
      <c r="O204" s="22">
        <f>7718.8+1431.06+1661.06</f>
        <v>10810.92</v>
      </c>
      <c r="P204" s="4">
        <f t="shared" si="23"/>
        <v>-10810.92</v>
      </c>
      <c r="Q204" s="23" t="s">
        <v>18</v>
      </c>
      <c r="R204" s="39"/>
      <c r="S204" s="134" t="s">
        <v>951</v>
      </c>
      <c r="T204" s="4">
        <v>10810.92</v>
      </c>
    </row>
    <row r="205" spans="1:23" ht="45" hidden="1" x14ac:dyDescent="0.25">
      <c r="A205" s="2">
        <f>ROW(DIARIO[[#This Row],[Nombre de Cuenta]])-$A$177-1</f>
        <v>28</v>
      </c>
      <c r="B205" s="23" t="s">
        <v>954</v>
      </c>
      <c r="C205" s="34" t="s">
        <v>260</v>
      </c>
      <c r="D205" s="7">
        <f>VLOOKUP(C205,CATALOGO[],2,FALSE)</f>
        <v>47</v>
      </c>
      <c r="E205" s="36" t="str">
        <f>VLOOKUP(DIARIO[[#This Row],[Objeto de Gasto]],CATALOGO[],3,FALSE)</f>
        <v>39100 Elementos De Limpieza Y Aseo Personal</v>
      </c>
      <c r="F205" s="1" t="s">
        <v>11</v>
      </c>
      <c r="G205" s="6" t="s">
        <v>492</v>
      </c>
      <c r="H205" s="1" t="s">
        <v>493</v>
      </c>
      <c r="I205" s="9">
        <v>45331</v>
      </c>
      <c r="J205" s="1" t="s">
        <v>494</v>
      </c>
      <c r="K205" s="9">
        <v>45345</v>
      </c>
      <c r="L205" s="1"/>
      <c r="M205" s="9"/>
      <c r="O205" s="22">
        <v>1024.6500000000001</v>
      </c>
      <c r="P205" s="4">
        <f>N205-O205</f>
        <v>-1024.6500000000001</v>
      </c>
      <c r="Q205" s="23" t="s">
        <v>18</v>
      </c>
      <c r="R205" s="39"/>
      <c r="S205" s="6" t="s">
        <v>719</v>
      </c>
      <c r="T205" s="4">
        <v>1024.6500000000001</v>
      </c>
    </row>
    <row r="206" spans="1:23" ht="45" hidden="1" x14ac:dyDescent="0.25">
      <c r="A206" s="2">
        <f>ROW(DIARIO[[#This Row],[Nombre de Cuenta]])-$A$177-1</f>
        <v>29</v>
      </c>
      <c r="B206" s="23" t="s">
        <v>9</v>
      </c>
      <c r="C206" s="34" t="s">
        <v>369</v>
      </c>
      <c r="D206" s="7">
        <f>VLOOKUP(C206,CATALOGO[],2,FALSE)</f>
        <v>67</v>
      </c>
      <c r="E206" s="36" t="str">
        <f>VLOOKUP(DIARIO[[#This Row],[Objeto de Gasto]],CATALOGO[],3,FALSE)</f>
        <v>39300 Utiles Y Materiales Eléctricos</v>
      </c>
      <c r="F206" s="1" t="s">
        <v>19</v>
      </c>
      <c r="G206" s="6" t="s">
        <v>495</v>
      </c>
      <c r="H206" s="1" t="s">
        <v>496</v>
      </c>
      <c r="I206" s="9">
        <v>45331</v>
      </c>
      <c r="J206" s="1" t="s">
        <v>497</v>
      </c>
      <c r="K206" s="9">
        <v>45336</v>
      </c>
      <c r="L206" s="1"/>
      <c r="M206" s="9"/>
      <c r="O206" s="22">
        <v>10000</v>
      </c>
      <c r="P206" s="4">
        <f>N206-O206</f>
        <v>-10000</v>
      </c>
      <c r="Q206" s="23" t="s">
        <v>14</v>
      </c>
      <c r="R206" s="39" t="s">
        <v>972</v>
      </c>
      <c r="S206" s="6"/>
    </row>
    <row r="207" spans="1:23" ht="30" hidden="1" x14ac:dyDescent="0.25">
      <c r="A207" s="2">
        <f>ROW(DIARIO[[#This Row],[Nombre de Cuenta]])-$A$177-1</f>
        <v>30</v>
      </c>
      <c r="B207" s="23" t="s">
        <v>17</v>
      </c>
      <c r="C207" s="34" t="s">
        <v>180</v>
      </c>
      <c r="D207" s="7">
        <v>31</v>
      </c>
      <c r="E207" s="36" t="str">
        <f>VLOOKUP(DIARIO[[#This Row],[Objeto de Gasto]],CATALOGO[],3,FALSE)</f>
        <v>32310 Prendas De Vestir</v>
      </c>
      <c r="F207" s="1" t="s">
        <v>11</v>
      </c>
      <c r="G207" s="6" t="s">
        <v>466</v>
      </c>
      <c r="H207" s="1" t="s">
        <v>498</v>
      </c>
      <c r="I207" s="9">
        <v>45334</v>
      </c>
      <c r="J207" s="1" t="s">
        <v>654</v>
      </c>
      <c r="K207" s="9">
        <v>45358</v>
      </c>
      <c r="L207" s="1"/>
      <c r="M207" s="9"/>
      <c r="O207" s="22">
        <v>2657500</v>
      </c>
      <c r="P207" s="4">
        <v>-2657500</v>
      </c>
      <c r="Q207" s="23" t="s">
        <v>14</v>
      </c>
      <c r="R207" s="39" t="s">
        <v>778</v>
      </c>
      <c r="S207" s="6" t="s">
        <v>655</v>
      </c>
    </row>
    <row r="208" spans="1:23" ht="45" hidden="1" x14ac:dyDescent="0.25">
      <c r="A208" s="2">
        <f>ROW(DIARIO[[#This Row],[Nombre de Cuenta]])-$A$177-1</f>
        <v>31</v>
      </c>
      <c r="B208" s="23" t="s">
        <v>954</v>
      </c>
      <c r="C208" s="34" t="s">
        <v>424</v>
      </c>
      <c r="D208" s="7">
        <f>VLOOKUP(C208,CATALOGO[],2,FALSE)</f>
        <v>59</v>
      </c>
      <c r="E208" s="36" t="str">
        <f>VLOOKUP(DIARIO[[#This Row],[Objeto de Gasto]],CATALOGO[],3,FALSE)</f>
        <v>42600 Equipo Para Computacion</v>
      </c>
      <c r="F208" s="1" t="s">
        <v>19</v>
      </c>
      <c r="G208" s="6" t="s">
        <v>499</v>
      </c>
      <c r="H208" s="1" t="s">
        <v>482</v>
      </c>
      <c r="I208" s="9">
        <v>45327</v>
      </c>
      <c r="J208" s="1" t="s">
        <v>473</v>
      </c>
      <c r="K208" s="9">
        <v>45345</v>
      </c>
      <c r="L208" s="1"/>
      <c r="M208" s="9"/>
      <c r="O208" s="22">
        <f>(21645.55*2)+(30164.5*4)+(45482.5*6)-42859.1</f>
        <v>393985</v>
      </c>
      <c r="P208" s="4">
        <f t="shared" ref="P208:P214" si="24">N208-O208</f>
        <v>-393985</v>
      </c>
      <c r="Q208" s="23" t="s">
        <v>18</v>
      </c>
      <c r="R208" s="39"/>
      <c r="S208" s="6" t="s">
        <v>943</v>
      </c>
      <c r="V208" s="25"/>
    </row>
    <row r="209" spans="1:22" hidden="1" x14ac:dyDescent="0.25">
      <c r="A209" s="2">
        <f>ROW(DIARIO[[#This Row],[Nombre de Cuenta]])-$A$177-1</f>
        <v>32</v>
      </c>
      <c r="B209" s="23" t="s">
        <v>954</v>
      </c>
      <c r="C209" s="34" t="s">
        <v>425</v>
      </c>
      <c r="D209" s="7">
        <f>VLOOKUP(C209,CATALOGO[],2,FALSE)</f>
        <v>60</v>
      </c>
      <c r="E209" s="36" t="str">
        <f>VLOOKUP(DIARIO[[#This Row],[Objeto de Gasto]],CATALOGO[],3,FALSE)</f>
        <v>45100 Aplicaciones Informaticas</v>
      </c>
      <c r="F209" s="1" t="s">
        <v>19</v>
      </c>
      <c r="G209" s="6" t="s">
        <v>500</v>
      </c>
      <c r="H209" s="1" t="s">
        <v>501</v>
      </c>
      <c r="I209" s="9">
        <v>45345</v>
      </c>
      <c r="J209" s="1" t="s">
        <v>465</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411</v>
      </c>
      <c r="D210" s="7">
        <f>VLOOKUP(C210,CATALOGO[],2,FALSE)</f>
        <v>42</v>
      </c>
      <c r="E210" s="36" t="str">
        <f>VLOOKUP(DIARIO[[#This Row],[Objeto de Gasto]],CATALOGO[],3,FALSE)</f>
        <v>35620 Diesel</v>
      </c>
      <c r="F210" s="1" t="s">
        <v>15</v>
      </c>
      <c r="G210" s="6" t="s">
        <v>502</v>
      </c>
      <c r="H210" s="1" t="s">
        <v>503</v>
      </c>
      <c r="I210" s="9">
        <v>45344</v>
      </c>
      <c r="J210" s="1" t="s">
        <v>504</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410</v>
      </c>
      <c r="D211" s="7">
        <f>VLOOKUP(C211,CATALOGO[],2,FALSE)</f>
        <v>66</v>
      </c>
      <c r="E211" s="36" t="str">
        <f>VLOOKUP(DIARIO[[#This Row],[Objeto de Gasto]],CATALOGO[],3,FALSE)</f>
        <v>35610 Gasolina</v>
      </c>
      <c r="F211" s="1" t="s">
        <v>15</v>
      </c>
      <c r="G211" s="6" t="s">
        <v>505</v>
      </c>
      <c r="H211" s="1" t="s">
        <v>506</v>
      </c>
      <c r="I211" s="9">
        <v>45344</v>
      </c>
      <c r="J211" s="1" t="s">
        <v>507</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160</v>
      </c>
      <c r="D212" s="7">
        <f>VLOOKUP(C212,CATALOGO[],2,FALSE)</f>
        <v>27</v>
      </c>
      <c r="E212" s="36" t="str">
        <f>VLOOKUP(DIARIO[[#This Row],[Objeto de Gasto]],CATALOGO[],3,FALSE)</f>
        <v>29100 Ceremonial Y Protocolo</v>
      </c>
      <c r="F212" s="1" t="s">
        <v>19</v>
      </c>
      <c r="G212" s="6" t="s">
        <v>508</v>
      </c>
      <c r="H212" s="1" t="s">
        <v>509</v>
      </c>
      <c r="I212" s="9">
        <v>45349</v>
      </c>
      <c r="J212" s="1" t="s">
        <v>510</v>
      </c>
      <c r="K212" s="9">
        <v>45350</v>
      </c>
      <c r="L212" s="1"/>
      <c r="M212" s="9"/>
      <c r="O212" s="22">
        <v>118910</v>
      </c>
      <c r="P212" s="4">
        <f t="shared" si="24"/>
        <v>-118910</v>
      </c>
      <c r="Q212" s="23" t="s">
        <v>18</v>
      </c>
      <c r="R212" s="39" t="s">
        <v>973</v>
      </c>
      <c r="S212" s="6"/>
      <c r="T212" s="22">
        <v>118910</v>
      </c>
    </row>
    <row r="213" spans="1:22" ht="45" hidden="1" x14ac:dyDescent="0.25">
      <c r="A213" s="2">
        <f>ROW(DIARIO[[#This Row],[Nombre de Cuenta]])-$A$177-1</f>
        <v>36</v>
      </c>
      <c r="B213" s="23" t="s">
        <v>954</v>
      </c>
      <c r="C213" s="34" t="s">
        <v>322</v>
      </c>
      <c r="D213" s="7">
        <f>VLOOKUP(C213,CATALOGO[],2,FALSE)</f>
        <v>59</v>
      </c>
      <c r="E213" s="36" t="str">
        <f>VLOOKUP(DIARIO[[#This Row],[Objeto de Gasto]],CATALOGO[],3,FALSE)</f>
        <v>42600 Equipo Para Computacion</v>
      </c>
      <c r="F213" s="1" t="s">
        <v>19</v>
      </c>
      <c r="G213" s="6" t="s">
        <v>511</v>
      </c>
      <c r="H213" s="1" t="s">
        <v>512</v>
      </c>
      <c r="I213" s="9">
        <v>45349</v>
      </c>
      <c r="J213" s="1" t="s">
        <v>513</v>
      </c>
      <c r="K213" s="9">
        <v>45356</v>
      </c>
      <c r="L213" s="1"/>
      <c r="M213" s="9"/>
      <c r="O213" s="22">
        <f>43291.11+239062</f>
        <v>282353.11</v>
      </c>
      <c r="P213" s="4">
        <f t="shared" si="24"/>
        <v>-282353.11</v>
      </c>
      <c r="Q213" s="23" t="s">
        <v>18</v>
      </c>
      <c r="R213" s="39"/>
      <c r="S213" s="134" t="s">
        <v>942</v>
      </c>
      <c r="V213" s="25"/>
    </row>
    <row r="214" spans="1:22" ht="30" hidden="1" x14ac:dyDescent="0.25">
      <c r="A214" s="2">
        <f>ROW(DIARIO[[#This Row],[Nombre de Cuenta]])-$A$177-1</f>
        <v>37</v>
      </c>
      <c r="B214" s="23" t="s">
        <v>954</v>
      </c>
      <c r="C214" s="34" t="s">
        <v>327</v>
      </c>
      <c r="D214" s="7">
        <f>VLOOKUP(C214,CATALOGO[],2,FALSE)</f>
        <v>60</v>
      </c>
      <c r="E214" s="36" t="str">
        <f>VLOOKUP(DIARIO[[#This Row],[Objeto de Gasto]],CATALOGO[],3,FALSE)</f>
        <v>45100 Aplicaciones Informaticas</v>
      </c>
      <c r="F214" s="1" t="s">
        <v>19</v>
      </c>
      <c r="G214" s="6" t="s">
        <v>514</v>
      </c>
      <c r="H214" s="1" t="s">
        <v>515</v>
      </c>
      <c r="I214" s="9">
        <v>45349</v>
      </c>
      <c r="J214" s="1" t="s">
        <v>465</v>
      </c>
      <c r="K214" s="9">
        <v>45351</v>
      </c>
      <c r="L214" s="1"/>
      <c r="M214" s="9"/>
      <c r="O214" s="22">
        <v>110047</v>
      </c>
      <c r="P214" s="4">
        <f t="shared" si="24"/>
        <v>-110047</v>
      </c>
      <c r="Q214" s="23" t="s">
        <v>22</v>
      </c>
      <c r="R214" s="39"/>
      <c r="S214" s="6" t="s">
        <v>615</v>
      </c>
    </row>
    <row r="215" spans="1:22" ht="45" hidden="1" x14ac:dyDescent="0.25">
      <c r="A215" s="2">
        <f>ROW(DIARIO[[#This Row],[Nombre de Cuenta]])-$A$177-1</f>
        <v>38</v>
      </c>
      <c r="B215" s="23" t="s">
        <v>17</v>
      </c>
      <c r="C215" s="34" t="s">
        <v>402</v>
      </c>
      <c r="D215" s="7">
        <f>VLOOKUP(C215,CATALOGO[],2,FALSE)</f>
        <v>31</v>
      </c>
      <c r="E215" s="36" t="str">
        <f>VLOOKUP(DIARIO[[#This Row],[Objeto de Gasto]],CATALOGO[],3,FALSE)</f>
        <v>32310 Prendas De Vestir</v>
      </c>
      <c r="F215" s="1" t="s">
        <v>11</v>
      </c>
      <c r="G215" s="6" t="s">
        <v>516</v>
      </c>
      <c r="H215" s="1" t="s">
        <v>517</v>
      </c>
      <c r="I215" s="9">
        <v>45355</v>
      </c>
      <c r="J215" s="1" t="s">
        <v>654</v>
      </c>
      <c r="K215" s="9">
        <v>45358</v>
      </c>
      <c r="L215" s="1"/>
      <c r="M215" s="9"/>
      <c r="O215" s="22">
        <v>0</v>
      </c>
      <c r="P215" s="4">
        <f t="shared" ref="P215:P225" si="25">N215-O215</f>
        <v>0</v>
      </c>
      <c r="Q215" s="23" t="s">
        <v>14</v>
      </c>
      <c r="R215" s="39" t="s">
        <v>778</v>
      </c>
      <c r="S215" s="6" t="s">
        <v>656</v>
      </c>
    </row>
    <row r="216" spans="1:22" ht="45" hidden="1" x14ac:dyDescent="0.25">
      <c r="A216" s="2">
        <f>ROW(DIARIO[[#This Row],[Nombre de Cuenta]])-$A$177-1</f>
        <v>39</v>
      </c>
      <c r="B216" s="23" t="s">
        <v>17</v>
      </c>
      <c r="C216" s="34" t="s">
        <v>402</v>
      </c>
      <c r="D216" s="7">
        <f>VLOOKUP(C216,CATALOGO[],2,FALSE)</f>
        <v>31</v>
      </c>
      <c r="E216" s="36" t="str">
        <f>VLOOKUP(DIARIO[[#This Row],[Objeto de Gasto]],CATALOGO[],3,FALSE)</f>
        <v>32310 Prendas De Vestir</v>
      </c>
      <c r="F216" s="1" t="s">
        <v>11</v>
      </c>
      <c r="G216" s="6" t="s">
        <v>518</v>
      </c>
      <c r="H216" s="1" t="s">
        <v>519</v>
      </c>
      <c r="I216" s="9">
        <v>45327</v>
      </c>
      <c r="J216" s="1" t="s">
        <v>654</v>
      </c>
      <c r="K216" s="9">
        <v>45358</v>
      </c>
      <c r="L216" s="1"/>
      <c r="M216" s="9"/>
      <c r="O216" s="22">
        <v>1331518</v>
      </c>
      <c r="P216" s="4">
        <f t="shared" si="25"/>
        <v>-1331518</v>
      </c>
      <c r="Q216" s="23" t="s">
        <v>14</v>
      </c>
      <c r="R216" s="39" t="s">
        <v>778</v>
      </c>
      <c r="S216" s="6" t="s">
        <v>656</v>
      </c>
    </row>
    <row r="217" spans="1:22" ht="30" hidden="1" x14ac:dyDescent="0.25">
      <c r="A217" s="2">
        <f>ROW(DIARIO[[#This Row],[Nombre de Cuenta]])-$A$177-1</f>
        <v>40</v>
      </c>
      <c r="B217" s="23" t="s">
        <v>17</v>
      </c>
      <c r="C217" s="34" t="s">
        <v>181</v>
      </c>
      <c r="D217" s="7">
        <f>VLOOKUP(C217,CATALOGO[],2,FALSE)</f>
        <v>31</v>
      </c>
      <c r="E217" s="36" t="str">
        <f>VLOOKUP(DIARIO[[#This Row],[Objeto de Gasto]],CATALOGO[],3,FALSE)</f>
        <v>32310 Prendas De Vestir</v>
      </c>
      <c r="F217" s="1" t="s">
        <v>11</v>
      </c>
      <c r="G217" s="6" t="s">
        <v>520</v>
      </c>
      <c r="H217" s="1" t="s">
        <v>521</v>
      </c>
      <c r="I217" s="9">
        <v>45330</v>
      </c>
      <c r="J217" s="1" t="s">
        <v>654</v>
      </c>
      <c r="K217" s="9">
        <v>45358</v>
      </c>
      <c r="L217" s="1"/>
      <c r="M217" s="9"/>
      <c r="O217" s="22">
        <v>1950000</v>
      </c>
      <c r="P217" s="4">
        <f t="shared" si="25"/>
        <v>-1950000</v>
      </c>
      <c r="Q217" s="23" t="s">
        <v>14</v>
      </c>
      <c r="R217" s="39" t="s">
        <v>778</v>
      </c>
      <c r="S217" s="6" t="s">
        <v>655</v>
      </c>
    </row>
    <row r="218" spans="1:22" ht="60" hidden="1" x14ac:dyDescent="0.25">
      <c r="A218" s="2">
        <f>ROW(DIARIO[[#This Row],[Nombre de Cuenta]])-$A$177-1</f>
        <v>41</v>
      </c>
      <c r="B218" s="23" t="s">
        <v>17</v>
      </c>
      <c r="C218" s="34" t="s">
        <v>405</v>
      </c>
      <c r="D218" s="7">
        <f>VLOOKUP(C218,CATALOGO[],2,FALSE)</f>
        <v>34</v>
      </c>
      <c r="E218" s="36" t="str">
        <f>VLOOKUP(DIARIO[[#This Row],[Objeto de Gasto]],CATALOGO[],3,FALSE)</f>
        <v>33300 Productos De Artes Graficas</v>
      </c>
      <c r="F218" s="1" t="s">
        <v>11</v>
      </c>
      <c r="G218" s="6" t="s">
        <v>522</v>
      </c>
      <c r="H218" s="1" t="s">
        <v>523</v>
      </c>
      <c r="I218" s="9">
        <v>45355</v>
      </c>
      <c r="J218" s="1" t="s">
        <v>678</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524</v>
      </c>
    </row>
    <row r="219" spans="1:22" ht="30" hidden="1" x14ac:dyDescent="0.25">
      <c r="A219" s="2">
        <f>ROW(DIARIO[[#This Row],[Nombre de Cuenta]])-$A$177-1</f>
        <v>42</v>
      </c>
      <c r="B219" s="23" t="s">
        <v>17</v>
      </c>
      <c r="C219" s="34" t="s">
        <v>420</v>
      </c>
      <c r="D219" s="7">
        <f>VLOOKUP(C219,CATALOGO[],2,FALSE)</f>
        <v>55</v>
      </c>
      <c r="E219" s="36" t="str">
        <f>VLOOKUP(DIARIO[[#This Row],[Objeto de Gasto]],CATALOGO[],3,FALSE)</f>
        <v>42120 Equipos Varios De Oficina</v>
      </c>
      <c r="F219" s="1" t="s">
        <v>19</v>
      </c>
      <c r="G219" s="6" t="s">
        <v>525</v>
      </c>
      <c r="H219" s="1" t="s">
        <v>526</v>
      </c>
      <c r="I219" s="9">
        <v>45355</v>
      </c>
      <c r="J219" s="1" t="s">
        <v>672</v>
      </c>
      <c r="K219" s="9">
        <v>45404</v>
      </c>
      <c r="L219" s="1"/>
      <c r="M219" s="9"/>
      <c r="O219" s="22">
        <v>0</v>
      </c>
      <c r="P219" s="4">
        <f t="shared" si="25"/>
        <v>0</v>
      </c>
      <c r="Q219" s="23" t="s">
        <v>14</v>
      </c>
      <c r="R219" s="39" t="s">
        <v>971</v>
      </c>
      <c r="S219" s="6" t="s">
        <v>480</v>
      </c>
    </row>
    <row r="220" spans="1:22" ht="240" hidden="1" x14ac:dyDescent="0.25">
      <c r="A220" s="2">
        <f>ROW(DIARIO[[#This Row],[Nombre de Cuenta]])-$A$177-1</f>
        <v>43</v>
      </c>
      <c r="B220" s="23" t="s">
        <v>954</v>
      </c>
      <c r="C220" s="34" t="s">
        <v>414</v>
      </c>
      <c r="D220" s="7">
        <f>VLOOKUP(C220,CATALOGO[],2,FALSE)</f>
        <v>47</v>
      </c>
      <c r="E220" s="36" t="str">
        <f>VLOOKUP(DIARIO[[#This Row],[Objeto de Gasto]],CATALOGO[],3,FALSE)</f>
        <v>39100 Elementos De Limpieza Y Aseo Personal</v>
      </c>
      <c r="F220" s="1" t="s">
        <v>19</v>
      </c>
      <c r="G220" s="6" t="s">
        <v>527</v>
      </c>
      <c r="H220" s="1" t="s">
        <v>528</v>
      </c>
      <c r="I220" s="9">
        <v>45355</v>
      </c>
      <c r="J220" s="1" t="s">
        <v>529</v>
      </c>
      <c r="K220" s="9">
        <v>45370</v>
      </c>
      <c r="L220" s="1"/>
      <c r="M220" s="9"/>
      <c r="O220" s="22">
        <v>470316</v>
      </c>
      <c r="P220" s="4">
        <f t="shared" si="25"/>
        <v>-470316</v>
      </c>
      <c r="Q220" s="23" t="s">
        <v>14</v>
      </c>
      <c r="R220" s="39"/>
      <c r="S220" s="6" t="s">
        <v>965</v>
      </c>
    </row>
    <row r="221" spans="1:22" ht="165" hidden="1" x14ac:dyDescent="0.25">
      <c r="A221" s="2">
        <f>ROW(DIARIO[[#This Row],[Nombre de Cuenta]])-$A$177-1</f>
        <v>44</v>
      </c>
      <c r="B221" s="23" t="s">
        <v>954</v>
      </c>
      <c r="C221" s="34" t="s">
        <v>414</v>
      </c>
      <c r="D221" s="7">
        <f>VLOOKUP(C221,CATALOGO[],2,FALSE)</f>
        <v>47</v>
      </c>
      <c r="E221" s="36" t="str">
        <f>VLOOKUP(DIARIO[[#This Row],[Objeto de Gasto]],CATALOGO[],3,FALSE)</f>
        <v>39100 Elementos De Limpieza Y Aseo Personal</v>
      </c>
      <c r="F221" s="1" t="s">
        <v>19</v>
      </c>
      <c r="G221" s="6" t="s">
        <v>530</v>
      </c>
      <c r="H221" s="1" t="s">
        <v>531</v>
      </c>
      <c r="I221" s="9">
        <v>45355</v>
      </c>
      <c r="J221" s="1" t="s">
        <v>529</v>
      </c>
      <c r="K221" s="9">
        <v>45370</v>
      </c>
      <c r="L221" s="1"/>
      <c r="M221" s="9"/>
      <c r="O221" s="22"/>
      <c r="P221" s="4">
        <f t="shared" si="25"/>
        <v>0</v>
      </c>
      <c r="Q221" s="23" t="s">
        <v>14</v>
      </c>
      <c r="R221" s="39"/>
      <c r="S221" s="6" t="s">
        <v>966</v>
      </c>
    </row>
    <row r="222" spans="1:22" ht="30" hidden="1" x14ac:dyDescent="0.25">
      <c r="A222" s="80">
        <f>ROW(DIARIO[[#This Row],[Nombre de Cuenta]])-$A$177-1</f>
        <v>45</v>
      </c>
      <c r="B222" s="33" t="s">
        <v>954</v>
      </c>
      <c r="C222" s="35" t="s">
        <v>415</v>
      </c>
      <c r="D222" s="7">
        <f>VLOOKUP(C222,CATALOGO[],2,FALSE)</f>
        <v>48</v>
      </c>
      <c r="E222" s="37" t="str">
        <f>VLOOKUP(DIARIO[[#This Row],[Objeto de Gasto]],CATALOGO[],3,FALSE)</f>
        <v>39200 Utiles De Esritorio, Oficina  Y Enseñanza</v>
      </c>
      <c r="F222" s="27" t="s">
        <v>15</v>
      </c>
      <c r="G222" s="29" t="s">
        <v>532</v>
      </c>
      <c r="H222" s="27" t="s">
        <v>533</v>
      </c>
      <c r="I222" s="30">
        <v>45355</v>
      </c>
      <c r="J222" s="27"/>
      <c r="K222" s="30"/>
      <c r="L222" s="27"/>
      <c r="M222" s="30"/>
      <c r="N222" s="31"/>
      <c r="O222" s="32">
        <v>691300</v>
      </c>
      <c r="P222" s="4">
        <f t="shared" si="25"/>
        <v>-691300</v>
      </c>
      <c r="Q222" s="33" t="s">
        <v>10</v>
      </c>
      <c r="R222" s="40"/>
      <c r="S222" s="81" t="s">
        <v>534</v>
      </c>
      <c r="T222" s="31"/>
    </row>
    <row r="223" spans="1:22" ht="30" hidden="1" x14ac:dyDescent="0.25">
      <c r="A223" s="2">
        <f>ROW(DIARIO[[#This Row],[Nombre de Cuenta]])-$A$177-1</f>
        <v>46</v>
      </c>
      <c r="B223" s="23" t="s">
        <v>954</v>
      </c>
      <c r="C223" s="34" t="s">
        <v>425</v>
      </c>
      <c r="D223" s="7">
        <f>VLOOKUP(C223,CATALOGO[],2,FALSE)</f>
        <v>60</v>
      </c>
      <c r="E223" s="36" t="str">
        <f>VLOOKUP(DIARIO[[#This Row],[Objeto de Gasto]],CATALOGO[],3,FALSE)</f>
        <v>45100 Aplicaciones Informaticas</v>
      </c>
      <c r="F223" s="1" t="s">
        <v>19</v>
      </c>
      <c r="G223" s="6" t="s">
        <v>535</v>
      </c>
      <c r="H223" s="1" t="s">
        <v>536</v>
      </c>
      <c r="I223" s="9">
        <v>45355</v>
      </c>
      <c r="J223" s="1"/>
      <c r="K223" s="9"/>
      <c r="L223" s="1"/>
      <c r="M223" s="9"/>
      <c r="O223" s="22">
        <v>0</v>
      </c>
      <c r="P223" s="4">
        <f t="shared" si="25"/>
        <v>0</v>
      </c>
      <c r="Q223" s="23" t="s">
        <v>10</v>
      </c>
      <c r="R223" s="39"/>
      <c r="S223" s="45" t="s">
        <v>537</v>
      </c>
    </row>
    <row r="224" spans="1:22" ht="45" hidden="1" x14ac:dyDescent="0.25">
      <c r="A224" s="2">
        <f>ROW(DIARIO[[#This Row],[Nombre de Cuenta]])-$A$177-1</f>
        <v>47</v>
      </c>
      <c r="B224" s="23" t="s">
        <v>9</v>
      </c>
      <c r="C224" s="34" t="s">
        <v>419</v>
      </c>
      <c r="D224" s="7">
        <f>VLOOKUP(C224,CATALOGO[],2,FALSE)</f>
        <v>54</v>
      </c>
      <c r="E224" s="36" t="str">
        <f>VLOOKUP(DIARIO[[#This Row],[Objeto de Gasto]],CATALOGO[],3,FALSE)</f>
        <v>42110 Muebles Varios De Oficina</v>
      </c>
      <c r="F224" s="1" t="s">
        <v>11</v>
      </c>
      <c r="G224" s="6" t="s">
        <v>538</v>
      </c>
      <c r="H224" s="1" t="s">
        <v>539</v>
      </c>
      <c r="I224" s="9">
        <v>45341</v>
      </c>
      <c r="J224" s="1" t="s">
        <v>651</v>
      </c>
      <c r="K224" s="9">
        <v>45404</v>
      </c>
      <c r="L224" s="1"/>
      <c r="M224" s="9"/>
      <c r="O224" s="22">
        <v>200000</v>
      </c>
      <c r="P224" s="4">
        <f t="shared" si="25"/>
        <v>-200000</v>
      </c>
      <c r="Q224" s="23" t="s">
        <v>14</v>
      </c>
      <c r="R224" s="39" t="s">
        <v>762</v>
      </c>
      <c r="S224" s="6"/>
    </row>
    <row r="225" spans="1:20" hidden="1" x14ac:dyDescent="0.25">
      <c r="A225" s="2">
        <f>ROW(DIARIO[[#This Row],[Nombre de Cuenta]])-$A$177-1</f>
        <v>48</v>
      </c>
      <c r="B225" s="23" t="s">
        <v>9</v>
      </c>
      <c r="C225" s="34" t="s">
        <v>398</v>
      </c>
      <c r="D225" s="7">
        <f>VLOOKUP(C225,CATALOGO[],2,FALSE)</f>
        <v>20</v>
      </c>
      <c r="E225" s="36" t="str">
        <f>VLOOKUP(DIARIO[[#This Row],[Objeto de Gasto]],CATALOGO[],3,FALSE)</f>
        <v>25100 Servicios De Transporte</v>
      </c>
      <c r="F225" s="1" t="s">
        <v>11</v>
      </c>
      <c r="G225" s="6" t="s">
        <v>540</v>
      </c>
      <c r="H225" s="1" t="s">
        <v>541</v>
      </c>
      <c r="I225" s="9">
        <v>45356</v>
      </c>
      <c r="J225" s="1" t="s">
        <v>542</v>
      </c>
      <c r="K225" s="9">
        <v>45358</v>
      </c>
      <c r="L225" s="1"/>
      <c r="M225" s="9"/>
      <c r="O225" s="22">
        <v>100000</v>
      </c>
      <c r="P225" s="4">
        <f t="shared" si="25"/>
        <v>-100000</v>
      </c>
      <c r="Q225" s="23" t="s">
        <v>14</v>
      </c>
      <c r="R225" s="39" t="s">
        <v>975</v>
      </c>
      <c r="S225" s="6"/>
    </row>
    <row r="226" spans="1:20" ht="45" x14ac:dyDescent="0.25">
      <c r="A226" s="44">
        <f>ROW(DIARIO[[#This Row],[Nombre de Cuenta]])-$A$177-1</f>
        <v>49</v>
      </c>
      <c r="B226" s="23" t="s">
        <v>9</v>
      </c>
      <c r="C226" s="34" t="s">
        <v>94</v>
      </c>
      <c r="D226" s="7">
        <f>VLOOKUP(C226,CATALOGO[],2,FALSE)</f>
        <v>14</v>
      </c>
      <c r="E226" s="36" t="str">
        <f>VLOOKUP(DIARIO[[#This Row],[Objeto de Gasto]],CATALOGO[],3,FALSE)</f>
        <v>23100 Mantenimiento Y Reparacion De Edificios Y Locales</v>
      </c>
      <c r="F226" s="1" t="s">
        <v>11</v>
      </c>
      <c r="G226" s="6" t="s">
        <v>543</v>
      </c>
      <c r="H226" s="1" t="s">
        <v>544</v>
      </c>
      <c r="I226" s="9">
        <v>45362</v>
      </c>
      <c r="J226" s="1" t="s">
        <v>545</v>
      </c>
      <c r="K226" s="9">
        <v>45365</v>
      </c>
      <c r="L226" s="1"/>
      <c r="M226" s="9"/>
      <c r="O226" s="22">
        <v>3498345</v>
      </c>
      <c r="P226" s="4">
        <f t="shared" ref="P226:P232" si="26">N226-O226</f>
        <v>-3498345</v>
      </c>
      <c r="Q226" s="23" t="s">
        <v>14</v>
      </c>
      <c r="R226" s="39" t="s">
        <v>763</v>
      </c>
      <c r="S226" s="6"/>
    </row>
    <row r="227" spans="1:20" ht="45" x14ac:dyDescent="0.25">
      <c r="A227" s="44">
        <f>ROW(DIARIO[[#This Row],[Nombre de Cuenta]])-$A$177-1</f>
        <v>50</v>
      </c>
      <c r="B227" s="23" t="s">
        <v>9</v>
      </c>
      <c r="C227" s="34" t="s">
        <v>395</v>
      </c>
      <c r="D227" s="7">
        <f>VLOOKUP(C227,CATALOGO[],2,FALSE)</f>
        <v>14</v>
      </c>
      <c r="E227" s="36" t="str">
        <f>VLOOKUP(DIARIO[[#This Row],[Objeto de Gasto]],CATALOGO[],3,FALSE)</f>
        <v>23100 Mantenimiento Y Reparacion De Edificios Y Locales</v>
      </c>
      <c r="F227" s="1" t="s">
        <v>11</v>
      </c>
      <c r="G227" s="6" t="s">
        <v>543</v>
      </c>
      <c r="H227" s="1" t="s">
        <v>544</v>
      </c>
      <c r="I227" s="9">
        <v>45362</v>
      </c>
      <c r="J227" s="1" t="s">
        <v>545</v>
      </c>
      <c r="K227" s="9">
        <v>45365</v>
      </c>
      <c r="L227" s="1"/>
      <c r="M227" s="9"/>
      <c r="O227" s="22">
        <v>569656</v>
      </c>
      <c r="P227" s="4">
        <f t="shared" si="26"/>
        <v>-569656</v>
      </c>
      <c r="Q227" s="23" t="s">
        <v>14</v>
      </c>
      <c r="R227" s="39" t="s">
        <v>763</v>
      </c>
      <c r="S227" s="6"/>
    </row>
    <row r="228" spans="1:20" ht="45" x14ac:dyDescent="0.25">
      <c r="A228" s="44">
        <f>ROW(DIARIO[[#This Row],[Nombre de Cuenta]])-$A$177-1</f>
        <v>51</v>
      </c>
      <c r="B228" s="23" t="s">
        <v>9</v>
      </c>
      <c r="C228" s="34" t="s">
        <v>95</v>
      </c>
      <c r="D228" s="7">
        <f>VLOOKUP(C228,CATALOGO[],2,FALSE)</f>
        <v>14</v>
      </c>
      <c r="E228" s="36" t="str">
        <f>VLOOKUP(DIARIO[[#This Row],[Objeto de Gasto]],CATALOGO[],3,FALSE)</f>
        <v>23100 Mantenimiento Y Reparacion De Edificios Y Locales</v>
      </c>
      <c r="F228" s="1" t="s">
        <v>11</v>
      </c>
      <c r="G228" s="6" t="s">
        <v>543</v>
      </c>
      <c r="H228" s="1" t="s">
        <v>544</v>
      </c>
      <c r="I228" s="9">
        <v>45362</v>
      </c>
      <c r="J228" s="1" t="s">
        <v>545</v>
      </c>
      <c r="K228" s="9">
        <v>45365</v>
      </c>
      <c r="L228" s="1"/>
      <c r="M228" s="9"/>
      <c r="O228" s="22">
        <v>400000</v>
      </c>
      <c r="P228" s="4">
        <f t="shared" si="26"/>
        <v>-400000</v>
      </c>
      <c r="Q228" s="23" t="s">
        <v>14</v>
      </c>
      <c r="R228" s="39" t="s">
        <v>763</v>
      </c>
      <c r="S228" s="6"/>
    </row>
    <row r="229" spans="1:20" ht="30" hidden="1" x14ac:dyDescent="0.25">
      <c r="A229" s="44">
        <f>ROW(DIARIO[[#This Row],[Nombre de Cuenta]])-$A$177-1</f>
        <v>52</v>
      </c>
      <c r="B229" s="23" t="s">
        <v>954</v>
      </c>
      <c r="C229" s="34" t="s">
        <v>425</v>
      </c>
      <c r="D229" s="7">
        <f>VLOOKUP(C229,CATALOGO[],2,FALSE)</f>
        <v>60</v>
      </c>
      <c r="E229" s="36" t="str">
        <f>VLOOKUP(DIARIO[[#This Row],[Objeto de Gasto]],CATALOGO[],3,FALSE)</f>
        <v>45100 Aplicaciones Informaticas</v>
      </c>
      <c r="F229" s="1" t="s">
        <v>19</v>
      </c>
      <c r="G229" s="6" t="s">
        <v>546</v>
      </c>
      <c r="H229" s="1" t="s">
        <v>547</v>
      </c>
      <c r="I229" s="9">
        <v>45365</v>
      </c>
      <c r="J229" s="1" t="s">
        <v>658</v>
      </c>
      <c r="K229" s="9">
        <v>45370</v>
      </c>
      <c r="L229" s="1"/>
      <c r="M229" s="9"/>
      <c r="O229" s="22">
        <v>0</v>
      </c>
      <c r="P229" s="4">
        <f t="shared" si="26"/>
        <v>0</v>
      </c>
      <c r="Q229" s="23" t="s">
        <v>22</v>
      </c>
      <c r="R229" s="39"/>
      <c r="S229" s="6" t="s">
        <v>659</v>
      </c>
    </row>
    <row r="230" spans="1:20" ht="60" hidden="1" x14ac:dyDescent="0.25">
      <c r="A230" s="44">
        <f>ROW(DIARIO[[#This Row],[Nombre de Cuenta]])-$A$177-1</f>
        <v>53</v>
      </c>
      <c r="B230" s="23" t="s">
        <v>954</v>
      </c>
      <c r="C230" s="34" t="s">
        <v>190</v>
      </c>
      <c r="D230" s="7">
        <f>VLOOKUP(C230,CATALOGO[],2,FALSE)</f>
        <v>33</v>
      </c>
      <c r="E230" s="36" t="str">
        <f>VLOOKUP(DIARIO[[#This Row],[Objeto de Gasto]],CATALOGO[],3,FALSE)</f>
        <v xml:space="preserve">33100 Productos De Papel Y Carton </v>
      </c>
      <c r="F230" s="1" t="s">
        <v>11</v>
      </c>
      <c r="G230" s="6" t="s">
        <v>548</v>
      </c>
      <c r="H230" s="1" t="s">
        <v>549</v>
      </c>
      <c r="I230" s="9">
        <v>45357</v>
      </c>
      <c r="J230" s="1" t="s">
        <v>550</v>
      </c>
      <c r="K230" s="9">
        <v>45369</v>
      </c>
      <c r="L230" s="1"/>
      <c r="M230" s="9"/>
      <c r="O230" s="22">
        <f>((50*149.5)+(50*86.95)+(50*149)+(50*37.5)+(124.44*50)+(131.44*50)+(97.44*10)+(849.44)+(84.44*10)+(184.44*40)+(101.43*70))*(1.15)</f>
        <v>58750.555999999997</v>
      </c>
      <c r="P230" s="4">
        <f t="shared" si="26"/>
        <v>-58750.555999999997</v>
      </c>
      <c r="Q230" s="23" t="s">
        <v>18</v>
      </c>
      <c r="R230" s="39"/>
      <c r="S230" s="6" t="s">
        <v>952</v>
      </c>
      <c r="T230" s="4">
        <v>24319.624999999996</v>
      </c>
    </row>
    <row r="231" spans="1:20" ht="30" hidden="1" x14ac:dyDescent="0.25">
      <c r="A231" s="44">
        <f>ROW(DIARIO[[#This Row],[Nombre de Cuenta]])-$A$177-1</f>
        <v>54</v>
      </c>
      <c r="B231" s="23" t="s">
        <v>954</v>
      </c>
      <c r="C231" s="34" t="s">
        <v>187</v>
      </c>
      <c r="D231" s="7">
        <f>VLOOKUP(C231,CATALOGO[],2,FALSE)</f>
        <v>33</v>
      </c>
      <c r="E231" s="36" t="str">
        <f>VLOOKUP(DIARIO[[#This Row],[Objeto de Gasto]],CATALOGO[],3,FALSE)</f>
        <v xml:space="preserve">33100 Productos De Papel Y Carton </v>
      </c>
      <c r="F231" s="1" t="s">
        <v>11</v>
      </c>
      <c r="G231" s="6" t="s">
        <v>551</v>
      </c>
      <c r="H231" s="1"/>
      <c r="I231" s="9"/>
      <c r="J231" s="1" t="s">
        <v>550</v>
      </c>
      <c r="K231" s="9">
        <v>45369</v>
      </c>
      <c r="L231" s="1"/>
      <c r="M231" s="9"/>
      <c r="O231" s="22">
        <f>((10*149.5)+(170*86.95)+(50*149)+(50*37.5)+(124.44*20)+(131.44*30)+(97.44*5)+(159.44*10)+(101.43*120))*(1.15)</f>
        <v>53229.704999999994</v>
      </c>
      <c r="P231" s="4">
        <f t="shared" si="26"/>
        <v>-53229.704999999994</v>
      </c>
      <c r="Q231" s="23" t="s">
        <v>18</v>
      </c>
      <c r="R231" s="39"/>
      <c r="S231" s="6" t="s">
        <v>950</v>
      </c>
      <c r="T231" s="4">
        <v>29441.724999999999</v>
      </c>
    </row>
    <row r="232" spans="1:20" ht="75" hidden="1" x14ac:dyDescent="0.25">
      <c r="A232" s="44">
        <f>ROW(DIARIO[[#This Row],[Nombre de Cuenta]])-$A$177-1</f>
        <v>55</v>
      </c>
      <c r="B232" s="23" t="s">
        <v>954</v>
      </c>
      <c r="C232" s="34" t="s">
        <v>262</v>
      </c>
      <c r="D232" s="7">
        <f>VLOOKUP(C232,CATALOGO[],2,FALSE)</f>
        <v>48</v>
      </c>
      <c r="E232" s="36" t="str">
        <f>VLOOKUP(DIARIO[[#This Row],[Objeto de Gasto]],CATALOGO[],3,FALSE)</f>
        <v>39200 Utiles De Esritorio, Oficina  Y Enseñanza</v>
      </c>
      <c r="F232" s="1" t="s">
        <v>15</v>
      </c>
      <c r="G232" s="6" t="s">
        <v>552</v>
      </c>
      <c r="H232" s="1"/>
      <c r="I232" s="9"/>
      <c r="J232" s="1" t="s">
        <v>553</v>
      </c>
      <c r="K232" s="9">
        <v>45369</v>
      </c>
      <c r="L232" s="1"/>
      <c r="M232" s="9"/>
      <c r="O232" s="22">
        <f>168+1138.05+886.18+1567.5</f>
        <v>3759.73</v>
      </c>
      <c r="P232" s="4">
        <f t="shared" si="26"/>
        <v>-3759.73</v>
      </c>
      <c r="Q232" s="23" t="s">
        <v>18</v>
      </c>
      <c r="R232" s="39"/>
      <c r="S232" s="6" t="s">
        <v>948</v>
      </c>
      <c r="T232" s="22">
        <v>3759.73</v>
      </c>
    </row>
    <row r="233" spans="1:20" ht="30" hidden="1" x14ac:dyDescent="0.25">
      <c r="A233" s="44">
        <f>ROW(DIARIO[[#This Row],[Nombre de Cuenta]])-$A$177-1</f>
        <v>56</v>
      </c>
      <c r="B233" s="23" t="s">
        <v>954</v>
      </c>
      <c r="C233" s="34" t="s">
        <v>422</v>
      </c>
      <c r="D233" s="7">
        <f>VLOOKUP(C233,CATALOGO[],2,FALSE)</f>
        <v>61</v>
      </c>
      <c r="E233" s="36" t="str">
        <f>VLOOKUP(DIARIO[[#This Row],[Objeto de Gasto]],CATALOGO[],3,FALSE)</f>
        <v>42310 Equipo De Transporte Terrestre Para Personas</v>
      </c>
      <c r="F233" s="1" t="s">
        <v>11</v>
      </c>
      <c r="G233" s="6" t="s">
        <v>554</v>
      </c>
      <c r="H233" s="1" t="s">
        <v>555</v>
      </c>
      <c r="I233" s="9">
        <v>45344</v>
      </c>
      <c r="J233" s="1" t="s">
        <v>556</v>
      </c>
      <c r="K233" s="9">
        <v>45370</v>
      </c>
      <c r="L233" s="1"/>
      <c r="M233" s="9"/>
      <c r="O233" s="22">
        <f>800000+937113</f>
        <v>1737113</v>
      </c>
      <c r="P233" s="4">
        <f>N233-O233</f>
        <v>-1737113</v>
      </c>
      <c r="Q233" s="23" t="s">
        <v>14</v>
      </c>
      <c r="R233" s="39"/>
      <c r="S233" s="6"/>
    </row>
    <row r="234" spans="1:20" ht="30" hidden="1" x14ac:dyDescent="0.25">
      <c r="A234" s="44">
        <f>ROW(DIARIO[[#This Row],[Nombre de Cuenta]])-$A$177-1</f>
        <v>57</v>
      </c>
      <c r="B234" s="23" t="s">
        <v>9</v>
      </c>
      <c r="C234" s="34" t="s">
        <v>399</v>
      </c>
      <c r="D234" s="7">
        <f>VLOOKUP(C234,CATALOGO[],2,FALSE)</f>
        <v>24</v>
      </c>
      <c r="E234" s="36" t="str">
        <f>VLOOKUP(DIARIO[[#This Row],[Objeto de Gasto]],CATALOGO[],3,FALSE)</f>
        <v>26110 Pasajes  Nacionales</v>
      </c>
      <c r="F234" s="1" t="s">
        <v>11</v>
      </c>
      <c r="G234" s="6" t="s">
        <v>614</v>
      </c>
      <c r="H234" s="1" t="s">
        <v>613</v>
      </c>
      <c r="I234" s="9">
        <v>45371</v>
      </c>
      <c r="J234" s="1" t="s">
        <v>612</v>
      </c>
      <c r="K234" s="9">
        <v>45372</v>
      </c>
      <c r="L234" s="1"/>
      <c r="M234" s="9"/>
      <c r="O234" s="22">
        <v>57934</v>
      </c>
      <c r="P234" s="4">
        <f>N234-O234</f>
        <v>-57934</v>
      </c>
      <c r="Q234" s="23" t="s">
        <v>18</v>
      </c>
      <c r="R234" s="38" t="s">
        <v>974</v>
      </c>
      <c r="S234" s="6"/>
    </row>
    <row r="235" spans="1:20" hidden="1" x14ac:dyDescent="0.25">
      <c r="A235" s="44">
        <f>ROW(DIARIO[[#This Row],[Nombre de Cuenta]])-$A$177-1</f>
        <v>58</v>
      </c>
      <c r="B235" s="23" t="s">
        <v>9</v>
      </c>
      <c r="C235" s="34" t="s">
        <v>400</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628</v>
      </c>
    </row>
    <row r="236" spans="1:20" ht="90" hidden="1" x14ac:dyDescent="0.25">
      <c r="A236" s="44">
        <f>ROW(DIARIO[[#This Row],[Nombre de Cuenta]])-$A$177-1</f>
        <v>59</v>
      </c>
      <c r="B236" s="23" t="s">
        <v>954</v>
      </c>
      <c r="C236" s="34" t="s">
        <v>265</v>
      </c>
      <c r="D236" s="7">
        <f>VLOOKUP(C236,CATALOGO[],2,FALSE)</f>
        <v>48</v>
      </c>
      <c r="E236" s="36" t="str">
        <f>VLOOKUP(DIARIO[[#This Row],[Objeto de Gasto]],CATALOGO[],3,FALSE)</f>
        <v>39200 Utiles De Esritorio, Oficina  Y Enseñanza</v>
      </c>
      <c r="F236" s="1" t="s">
        <v>15</v>
      </c>
      <c r="G236" s="6" t="s">
        <v>619</v>
      </c>
      <c r="H236" s="1" t="s">
        <v>616</v>
      </c>
      <c r="I236" s="9">
        <v>45385</v>
      </c>
      <c r="J236" s="1" t="s">
        <v>623</v>
      </c>
      <c r="K236" s="9">
        <v>45386</v>
      </c>
      <c r="L236" s="1"/>
      <c r="M236" s="9"/>
      <c r="O236" s="22">
        <f>77683+30779.75+44239.08+25536.74+49416.3</f>
        <v>227654.87</v>
      </c>
      <c r="P236" s="4">
        <f>N236-O236</f>
        <v>-227654.87</v>
      </c>
      <c r="Q236" s="23" t="s">
        <v>18</v>
      </c>
      <c r="R236" s="39"/>
      <c r="S236" s="6" t="s">
        <v>945</v>
      </c>
      <c r="T236" s="22">
        <f>77683+30779.75+44239.08+25536.74+49416.3-1971.07</f>
        <v>225683.8</v>
      </c>
    </row>
    <row r="237" spans="1:20" ht="30" hidden="1" x14ac:dyDescent="0.25">
      <c r="A237" s="44">
        <f>ROW(DIARIO[[#This Row],[Nombre de Cuenta]])-$A$177-1</f>
        <v>60</v>
      </c>
      <c r="B237" s="23" t="s">
        <v>954</v>
      </c>
      <c r="C237" s="34" t="s">
        <v>191</v>
      </c>
      <c r="D237" s="7">
        <f>VLOOKUP(C237,CATALOGO[],2,FALSE)</f>
        <v>33</v>
      </c>
      <c r="E237" s="36" t="str">
        <f>VLOOKUP(DIARIO[[#This Row],[Objeto de Gasto]],CATALOGO[],3,FALSE)</f>
        <v xml:space="preserve">33100 Productos De Papel Y Carton </v>
      </c>
      <c r="F237" s="1" t="s">
        <v>15</v>
      </c>
      <c r="G237" s="6" t="s">
        <v>617</v>
      </c>
      <c r="H237" s="1" t="s">
        <v>618</v>
      </c>
      <c r="I237" s="9">
        <v>45385</v>
      </c>
      <c r="J237" s="1" t="s">
        <v>622</v>
      </c>
      <c r="K237" s="9">
        <v>45386</v>
      </c>
      <c r="L237" s="1"/>
      <c r="M237" s="9"/>
      <c r="O237" s="22">
        <f>21864.38+4312.5+5097.9</f>
        <v>31274.78</v>
      </c>
      <c r="P237" s="4">
        <f>N237-O237</f>
        <v>-31274.78</v>
      </c>
      <c r="Q237" s="23" t="s">
        <v>18</v>
      </c>
      <c r="R237" s="39"/>
      <c r="S237" s="6" t="s">
        <v>949</v>
      </c>
      <c r="T237" s="4">
        <v>31274.78</v>
      </c>
    </row>
    <row r="238" spans="1:20" ht="30" hidden="1" x14ac:dyDescent="0.25">
      <c r="A238" s="44">
        <f>ROW(DIARIO[[#This Row],[Nombre de Cuenta]])-$A$177-1</f>
        <v>61</v>
      </c>
      <c r="B238" s="23" t="s">
        <v>9</v>
      </c>
      <c r="C238" s="34" t="s">
        <v>400</v>
      </c>
      <c r="D238" s="7">
        <f>VLOOKUP(C238,CATALOGO[],2,FALSE)</f>
        <v>25</v>
      </c>
      <c r="E238" s="36" t="str">
        <f>VLOOKUP(DIARIO[[#This Row],[Objeto de Gasto]],CATALOGO[],3,FALSE)</f>
        <v>26210 Viaticos Nacionales</v>
      </c>
      <c r="F238" s="1" t="s">
        <v>19</v>
      </c>
      <c r="G238" s="6" t="s">
        <v>626</v>
      </c>
      <c r="H238" s="1" t="s">
        <v>624</v>
      </c>
      <c r="I238" s="9">
        <v>45386</v>
      </c>
      <c r="J238" s="1" t="s">
        <v>649</v>
      </c>
      <c r="K238" s="9">
        <v>45390</v>
      </c>
      <c r="L238" s="1"/>
      <c r="M238" s="9"/>
      <c r="O238" s="22">
        <v>688200</v>
      </c>
      <c r="P238" s="4">
        <f t="shared" ref="P238:P239" si="27">N238-O238</f>
        <v>-688200</v>
      </c>
      <c r="Q238" s="23" t="s">
        <v>26</v>
      </c>
      <c r="R238" s="39"/>
      <c r="S238" s="6" t="s">
        <v>751</v>
      </c>
    </row>
    <row r="239" spans="1:20" ht="30" hidden="1" x14ac:dyDescent="0.25">
      <c r="A239" s="44">
        <f>ROW(DIARIO[[#This Row],[Nombre de Cuenta]])-$A$177-1</f>
        <v>62</v>
      </c>
      <c r="B239" s="23" t="s">
        <v>9</v>
      </c>
      <c r="C239" s="34" t="s">
        <v>399</v>
      </c>
      <c r="D239" s="7">
        <f>VLOOKUP(C239,CATALOGO[],2,FALSE)</f>
        <v>24</v>
      </c>
      <c r="E239" s="36" t="str">
        <f>VLOOKUP(DIARIO[[#This Row],[Objeto de Gasto]],CATALOGO[],3,FALSE)</f>
        <v>26110 Pasajes  Nacionales</v>
      </c>
      <c r="F239" s="1" t="s">
        <v>19</v>
      </c>
      <c r="G239" s="6" t="s">
        <v>627</v>
      </c>
      <c r="H239" s="1" t="s">
        <v>625</v>
      </c>
      <c r="I239" s="9">
        <v>45386</v>
      </c>
      <c r="J239" s="1"/>
      <c r="K239" s="9"/>
      <c r="L239" s="1"/>
      <c r="M239" s="9"/>
      <c r="O239" s="22">
        <v>0</v>
      </c>
      <c r="P239" s="4">
        <f t="shared" si="27"/>
        <v>0</v>
      </c>
      <c r="Q239" s="23" t="s">
        <v>10</v>
      </c>
      <c r="R239" s="39"/>
      <c r="S239" s="6" t="s">
        <v>629</v>
      </c>
    </row>
    <row r="240" spans="1:20" ht="90" hidden="1" x14ac:dyDescent="0.25">
      <c r="A240" s="44">
        <f>ROW(DIARIO[[#This Row],[Nombre de Cuenta]])-$A$177-1</f>
        <v>63</v>
      </c>
      <c r="B240" s="23" t="s">
        <v>954</v>
      </c>
      <c r="C240" s="34" t="s">
        <v>285</v>
      </c>
      <c r="D240" s="7">
        <f>VLOOKUP(C240,CATALOGO[],2,FALSE)</f>
        <v>52</v>
      </c>
      <c r="E240" s="36" t="str">
        <f>VLOOKUP(DIARIO[[#This Row],[Objeto de Gasto]],CATALOGO[],3,FALSE)</f>
        <v>39600 Otros Repuestos Y Accesorios Menores</v>
      </c>
      <c r="F240" s="1" t="s">
        <v>11</v>
      </c>
      <c r="G240" s="6" t="s">
        <v>630</v>
      </c>
      <c r="H240" s="1" t="s">
        <v>631</v>
      </c>
      <c r="I240" s="9">
        <v>45386</v>
      </c>
      <c r="J240" s="1" t="s">
        <v>647</v>
      </c>
      <c r="K240" s="9">
        <v>45394</v>
      </c>
      <c r="L240" s="1"/>
      <c r="M240" s="9"/>
      <c r="O240" s="22">
        <v>0</v>
      </c>
      <c r="P240" s="4">
        <f t="shared" ref="P240:P245" si="28">N240-O240</f>
        <v>0</v>
      </c>
      <c r="Q240" s="23" t="s">
        <v>14</v>
      </c>
      <c r="R240" s="39" t="s">
        <v>937</v>
      </c>
      <c r="S240" s="6" t="s">
        <v>957</v>
      </c>
    </row>
    <row r="241" spans="1:20" ht="90" hidden="1" x14ac:dyDescent="0.25">
      <c r="A241" s="44">
        <f>ROW(DIARIO[[#This Row],[Nombre de Cuenta]])-$A$177-1</f>
        <v>64</v>
      </c>
      <c r="B241" s="23" t="s">
        <v>954</v>
      </c>
      <c r="C241" s="34" t="s">
        <v>286</v>
      </c>
      <c r="D241" s="7">
        <f>VLOOKUP(C241,CATALOGO[],2,FALSE)</f>
        <v>52</v>
      </c>
      <c r="E241" s="36" t="str">
        <f>VLOOKUP(DIARIO[[#This Row],[Objeto de Gasto]],CATALOGO[],3,FALSE)</f>
        <v>39600 Otros Repuestos Y Accesorios Menores</v>
      </c>
      <c r="F241" s="1" t="s">
        <v>19</v>
      </c>
      <c r="G241" s="6" t="s">
        <v>632</v>
      </c>
      <c r="H241" s="1" t="s">
        <v>633</v>
      </c>
      <c r="I241" s="9">
        <v>45391</v>
      </c>
      <c r="J241" s="1" t="s">
        <v>647</v>
      </c>
      <c r="K241" s="9">
        <v>45394</v>
      </c>
      <c r="L241" s="1"/>
      <c r="M241" s="9"/>
      <c r="O241" s="22">
        <v>0</v>
      </c>
      <c r="P241" s="4">
        <f t="shared" si="28"/>
        <v>0</v>
      </c>
      <c r="Q241" s="23" t="s">
        <v>14</v>
      </c>
      <c r="R241" s="39" t="s">
        <v>937</v>
      </c>
      <c r="S241" s="6" t="s">
        <v>957</v>
      </c>
    </row>
    <row r="242" spans="1:20" ht="60" hidden="1" x14ac:dyDescent="0.25">
      <c r="A242" s="44">
        <f>ROW(DIARIO[[#This Row],[Nombre de Cuenta]])-$A$177-1</f>
        <v>65</v>
      </c>
      <c r="B242" s="23" t="s">
        <v>954</v>
      </c>
      <c r="C242" s="34" t="s">
        <v>266</v>
      </c>
      <c r="D242" s="7">
        <f>VLOOKUP(C242,CATALOGO[],2,FALSE)</f>
        <v>48</v>
      </c>
      <c r="E242" s="36" t="str">
        <f>VLOOKUP(DIARIO[[#This Row],[Objeto de Gasto]],CATALOGO[],3,FALSE)</f>
        <v>39200 Utiles De Esritorio, Oficina  Y Enseñanza</v>
      </c>
      <c r="F242" s="1" t="s">
        <v>15</v>
      </c>
      <c r="G242" s="6" t="s">
        <v>634</v>
      </c>
      <c r="H242" s="1" t="s">
        <v>635</v>
      </c>
      <c r="I242" s="9">
        <v>45391</v>
      </c>
      <c r="J242" s="1" t="s">
        <v>648</v>
      </c>
      <c r="K242" s="9">
        <v>45394</v>
      </c>
      <c r="L242" s="1"/>
      <c r="M242" s="9"/>
      <c r="O242" s="22">
        <f>4618.6+3860+1183</f>
        <v>9661.6</v>
      </c>
      <c r="P242" s="4">
        <f t="shared" si="28"/>
        <v>-9661.6</v>
      </c>
      <c r="Q242" s="23" t="s">
        <v>18</v>
      </c>
      <c r="R242" s="39"/>
      <c r="S242" s="6" t="s">
        <v>946</v>
      </c>
      <c r="T242" s="4">
        <v>9661.6</v>
      </c>
    </row>
    <row r="243" spans="1:20" ht="30" hidden="1" x14ac:dyDescent="0.25">
      <c r="A243" s="44">
        <f>ROW(DIARIO[[#This Row],[Nombre de Cuenta]])-$A$177-1</f>
        <v>66</v>
      </c>
      <c r="B243" s="23" t="s">
        <v>9</v>
      </c>
      <c r="C243" s="34" t="s">
        <v>297</v>
      </c>
      <c r="D243" s="7">
        <f>VLOOKUP(C243,CATALOGO[],2,FALSE)</f>
        <v>54</v>
      </c>
      <c r="E243" s="36" t="str">
        <f>VLOOKUP(DIARIO[[#This Row],[Objeto de Gasto]],CATALOGO[],3,FALSE)</f>
        <v>42110 Muebles Varios De Oficina</v>
      </c>
      <c r="F243" s="1" t="s">
        <v>11</v>
      </c>
      <c r="G243" s="6" t="s">
        <v>636</v>
      </c>
      <c r="H243" s="1" t="s">
        <v>637</v>
      </c>
      <c r="I243" s="9">
        <v>45391</v>
      </c>
      <c r="J243" s="1" t="s">
        <v>651</v>
      </c>
      <c r="K243" s="9">
        <v>45404</v>
      </c>
      <c r="L243" s="1"/>
      <c r="M243" s="9"/>
      <c r="O243" s="22">
        <v>100000</v>
      </c>
      <c r="P243" s="4">
        <f t="shared" si="28"/>
        <v>-100000</v>
      </c>
      <c r="Q243" s="23" t="s">
        <v>14</v>
      </c>
      <c r="R243" s="39" t="s">
        <v>762</v>
      </c>
      <c r="S243" s="6"/>
    </row>
    <row r="244" spans="1:20" ht="30" hidden="1" x14ac:dyDescent="0.25">
      <c r="A244" s="44">
        <f>ROW(DIARIO[[#This Row],[Nombre de Cuenta]])-$A$177-1</f>
        <v>67</v>
      </c>
      <c r="B244" s="23" t="s">
        <v>9</v>
      </c>
      <c r="C244" s="34" t="s">
        <v>418</v>
      </c>
      <c r="D244" s="7">
        <f>VLOOKUP(C244,CATALOGO[],2,FALSE)</f>
        <v>52</v>
      </c>
      <c r="E244" s="36" t="str">
        <f>VLOOKUP(DIARIO[[#This Row],[Objeto de Gasto]],CATALOGO[],3,FALSE)</f>
        <v>39600 Otros Repuestos Y Accesorios Menores</v>
      </c>
      <c r="F244" s="1" t="s">
        <v>19</v>
      </c>
      <c r="G244" s="6" t="s">
        <v>638</v>
      </c>
      <c r="H244" s="1" t="s">
        <v>639</v>
      </c>
      <c r="I244" s="9">
        <v>45387</v>
      </c>
      <c r="J244" s="1" t="s">
        <v>716</v>
      </c>
      <c r="K244" s="9">
        <v>45422</v>
      </c>
      <c r="L244" s="1"/>
      <c r="M244" s="9"/>
      <c r="O244" s="22">
        <v>0</v>
      </c>
      <c r="P244" s="4">
        <f t="shared" si="28"/>
        <v>0</v>
      </c>
      <c r="Q244" s="23" t="s">
        <v>14</v>
      </c>
      <c r="R244" s="39" t="s">
        <v>940</v>
      </c>
      <c r="S244" s="6" t="s">
        <v>640</v>
      </c>
    </row>
    <row r="245" spans="1:20" ht="30" hidden="1" x14ac:dyDescent="0.25">
      <c r="A245" s="44">
        <f>ROW(DIARIO[[#This Row],[Nombre de Cuenta]])-$A$177-1</f>
        <v>68</v>
      </c>
      <c r="B245" s="23" t="s">
        <v>954</v>
      </c>
      <c r="C245" s="34" t="s">
        <v>261</v>
      </c>
      <c r="D245" s="7">
        <f>VLOOKUP(C245,CATALOGO[],2,FALSE)</f>
        <v>47</v>
      </c>
      <c r="E245" s="36" t="str">
        <f>VLOOKUP(DIARIO[[#This Row],[Objeto de Gasto]],CATALOGO[],3,FALSE)</f>
        <v>39100 Elementos De Limpieza Y Aseo Personal</v>
      </c>
      <c r="F245" s="1" t="s">
        <v>19</v>
      </c>
      <c r="G245" s="6" t="s">
        <v>641</v>
      </c>
      <c r="H245" s="1" t="s">
        <v>652</v>
      </c>
      <c r="I245" s="9">
        <v>45393</v>
      </c>
      <c r="J245" s="1" t="s">
        <v>653</v>
      </c>
      <c r="K245" s="9">
        <v>45397</v>
      </c>
      <c r="L245" s="1"/>
      <c r="M245" s="9"/>
      <c r="O245" s="22">
        <v>1950</v>
      </c>
      <c r="P245" s="4">
        <f t="shared" si="28"/>
        <v>-1950</v>
      </c>
      <c r="Q245" s="23" t="s">
        <v>18</v>
      </c>
      <c r="R245" s="39"/>
      <c r="S245" s="6" t="s">
        <v>967</v>
      </c>
      <c r="T245" s="4">
        <v>1950</v>
      </c>
    </row>
    <row r="246" spans="1:20" hidden="1" x14ac:dyDescent="0.25">
      <c r="A246" s="44">
        <f>ROW(DIARIO[[#This Row],[Nombre de Cuenta]])-$A$177-1</f>
        <v>69</v>
      </c>
      <c r="B246" s="23" t="s">
        <v>21</v>
      </c>
      <c r="C246" s="34" t="s">
        <v>275</v>
      </c>
      <c r="D246" s="7">
        <f>VLOOKUP(C246,CATALOGO[],2,FALSE)</f>
        <v>50</v>
      </c>
      <c r="E246" s="36" t="str">
        <f>VLOOKUP(DIARIO[[#This Row],[Objeto de Gasto]],CATALOGO[],3,FALSE)</f>
        <v>39530 Material Medico Quirurgico Menor</v>
      </c>
      <c r="F246" s="1" t="s">
        <v>23</v>
      </c>
      <c r="G246" s="6" t="s">
        <v>642</v>
      </c>
      <c r="H246" s="1" t="s">
        <v>643</v>
      </c>
      <c r="I246" s="9">
        <v>45393</v>
      </c>
      <c r="J246" s="1"/>
      <c r="K246" s="9"/>
      <c r="L246" s="1"/>
      <c r="M246" s="9"/>
      <c r="O246" s="22">
        <v>48000</v>
      </c>
      <c r="P246" s="4">
        <f t="shared" ref="P246" si="29">N246-O246</f>
        <v>-48000</v>
      </c>
      <c r="Q246" s="23" t="s">
        <v>10</v>
      </c>
      <c r="R246" s="39"/>
      <c r="S246" s="6" t="s">
        <v>679</v>
      </c>
    </row>
    <row r="247" spans="1:20" ht="30" hidden="1" x14ac:dyDescent="0.25">
      <c r="A247" s="44">
        <f>ROW(DIARIO[[#This Row],[Nombre de Cuenta]])-$A$177-1</f>
        <v>70</v>
      </c>
      <c r="B247" s="23" t="s">
        <v>954</v>
      </c>
      <c r="C247" s="34" t="s">
        <v>422</v>
      </c>
      <c r="D247" s="7">
        <f>VLOOKUP(C247,CATALOGO[],2,FALSE)</f>
        <v>61</v>
      </c>
      <c r="E247" s="36" t="str">
        <f>VLOOKUP(DIARIO[[#This Row],[Objeto de Gasto]],CATALOGO[],3,FALSE)</f>
        <v>42310 Equipo De Transporte Terrestre Para Personas</v>
      </c>
      <c r="F247" s="1" t="s">
        <v>11</v>
      </c>
      <c r="G247" s="6" t="s">
        <v>644</v>
      </c>
      <c r="H247" s="1" t="s">
        <v>645</v>
      </c>
      <c r="I247" s="9">
        <v>45393</v>
      </c>
      <c r="J247" s="1" t="s">
        <v>665</v>
      </c>
      <c r="K247" s="9">
        <v>45394</v>
      </c>
      <c r="L247" s="1"/>
      <c r="M247" s="9"/>
      <c r="O247" s="22">
        <v>0</v>
      </c>
      <c r="P247" s="4">
        <f t="shared" ref="P247:P252" si="30">N247-O247</f>
        <v>0</v>
      </c>
      <c r="Q247" s="23" t="s">
        <v>14</v>
      </c>
      <c r="R247" s="39"/>
      <c r="S247" s="6" t="s">
        <v>646</v>
      </c>
    </row>
    <row r="248" spans="1:20" ht="45" hidden="1" x14ac:dyDescent="0.25">
      <c r="A248" s="44">
        <f>ROW(DIARIO[[#This Row],[Nombre de Cuenta]])-$A$177-1</f>
        <v>71</v>
      </c>
      <c r="B248" s="23" t="s">
        <v>17</v>
      </c>
      <c r="C248" s="34" t="s">
        <v>195</v>
      </c>
      <c r="D248" s="7">
        <f>VLOOKUP(C248,CATALOGO[],2,FALSE)</f>
        <v>34</v>
      </c>
      <c r="E248" s="36" t="str">
        <f>VLOOKUP(DIARIO[[#This Row],[Objeto de Gasto]],CATALOGO[],3,FALSE)</f>
        <v>33300 Productos De Artes Graficas</v>
      </c>
      <c r="F248" s="1" t="s">
        <v>11</v>
      </c>
      <c r="G248" s="6" t="s">
        <v>662</v>
      </c>
      <c r="H248" s="1" t="s">
        <v>663</v>
      </c>
      <c r="I248" s="9" t="s">
        <v>664</v>
      </c>
      <c r="J248" s="1" t="s">
        <v>678</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hidden="1" x14ac:dyDescent="0.25">
      <c r="A249" s="44">
        <f>ROW(DIARIO[[#This Row],[Nombre de Cuenta]])-$A$177-1</f>
        <v>72</v>
      </c>
      <c r="B249" s="23" t="s">
        <v>21</v>
      </c>
      <c r="C249" s="34" t="s">
        <v>408</v>
      </c>
      <c r="D249" s="7">
        <f>VLOOKUP(C249,CATALOGO[],2,FALSE)</f>
        <v>37</v>
      </c>
      <c r="E249" s="36" t="str">
        <f>VLOOKUP(DIARIO[[#This Row],[Objeto de Gasto]],CATALOGO[],3,FALSE)</f>
        <v>35251 Reactivos</v>
      </c>
      <c r="F249" s="1" t="s">
        <v>23</v>
      </c>
      <c r="G249" s="6" t="s">
        <v>670</v>
      </c>
      <c r="H249" s="1" t="s">
        <v>666</v>
      </c>
      <c r="I249" s="9">
        <v>45400</v>
      </c>
      <c r="J249" s="1" t="s">
        <v>668</v>
      </c>
      <c r="K249" s="9">
        <v>45400</v>
      </c>
      <c r="L249" s="1"/>
      <c r="M249" s="9"/>
      <c r="O249" s="22">
        <v>4098337.95</v>
      </c>
      <c r="P249" s="4">
        <f t="shared" si="30"/>
        <v>-4098337.95</v>
      </c>
      <c r="Q249" s="23" t="s">
        <v>18</v>
      </c>
      <c r="R249" s="39"/>
      <c r="S249" s="6" t="s">
        <v>721</v>
      </c>
      <c r="T249" s="4">
        <v>4098337.95</v>
      </c>
    </row>
    <row r="250" spans="1:20" ht="60" hidden="1" x14ac:dyDescent="0.25">
      <c r="A250" s="44">
        <f>ROW(DIARIO[[#This Row],[Nombre de Cuenta]])-$A$177-1</f>
        <v>73</v>
      </c>
      <c r="B250" s="23" t="s">
        <v>21</v>
      </c>
      <c r="C250" s="34" t="s">
        <v>211</v>
      </c>
      <c r="D250" s="7">
        <f>VLOOKUP(C250,CATALOGO[],2,FALSE)</f>
        <v>37</v>
      </c>
      <c r="E250" s="36" t="str">
        <f>VLOOKUP(DIARIO[[#This Row],[Objeto de Gasto]],CATALOGO[],3,FALSE)</f>
        <v>35251 Reactivos</v>
      </c>
      <c r="F250" s="1" t="s">
        <v>23</v>
      </c>
      <c r="G250" s="6" t="s">
        <v>671</v>
      </c>
      <c r="H250" s="1" t="s">
        <v>667</v>
      </c>
      <c r="I250" s="9">
        <v>45400</v>
      </c>
      <c r="J250" s="1" t="s">
        <v>669</v>
      </c>
      <c r="K250" s="9">
        <v>45400</v>
      </c>
      <c r="L250" s="1"/>
      <c r="M250" s="9"/>
      <c r="O250" s="22">
        <f>4906493.63+1509.95</f>
        <v>4908003.58</v>
      </c>
      <c r="P250" s="4">
        <f t="shared" si="30"/>
        <v>-4908003.58</v>
      </c>
      <c r="Q250" s="23" t="s">
        <v>18</v>
      </c>
      <c r="R250" s="39"/>
      <c r="S250" s="6" t="s">
        <v>720</v>
      </c>
      <c r="T250" s="4">
        <v>4908003.58</v>
      </c>
    </row>
    <row r="251" spans="1:20" ht="75" hidden="1" x14ac:dyDescent="0.25">
      <c r="A251" s="44">
        <f>ROW(DIARIO[[#This Row],[Nombre de Cuenta]])-$A$177-1</f>
        <v>74</v>
      </c>
      <c r="B251" s="23" t="s">
        <v>9</v>
      </c>
      <c r="C251" s="34" t="s">
        <v>301</v>
      </c>
      <c r="D251" s="7">
        <f>VLOOKUP(C251,CATALOGO[],2,FALSE)</f>
        <v>55</v>
      </c>
      <c r="E251" s="36" t="str">
        <f>VLOOKUP(DIARIO[[#This Row],[Objeto de Gasto]],CATALOGO[],3,FALSE)</f>
        <v>42120 Equipos Varios De Oficina</v>
      </c>
      <c r="F251" s="1" t="s">
        <v>11</v>
      </c>
      <c r="G251" s="6" t="s">
        <v>674</v>
      </c>
      <c r="H251" s="1" t="s">
        <v>673</v>
      </c>
      <c r="I251" s="9">
        <v>45400</v>
      </c>
      <c r="J251" s="1" t="s">
        <v>675</v>
      </c>
      <c r="K251" s="9">
        <v>45404</v>
      </c>
      <c r="L251" s="1"/>
      <c r="M251" s="9"/>
      <c r="O251" s="22">
        <f>IF(DIARIO[[#This Row],[Estatus]]="Proceso",SUMIFS(DIARIO[Entrada],DIARIO[Objeto de Gasto],DIARIO[[#This Row],[Objeto de Gasto]],DIARIO[Estatus],"Saldo Inicial"),0)</f>
        <v>100000</v>
      </c>
      <c r="P251" s="4">
        <f t="shared" si="30"/>
        <v>-100000</v>
      </c>
      <c r="Q251" s="23" t="s">
        <v>14</v>
      </c>
      <c r="R251" s="39" t="s">
        <v>969</v>
      </c>
      <c r="S251" s="6" t="s">
        <v>745</v>
      </c>
    </row>
    <row r="252" spans="1:20" ht="75" hidden="1" x14ac:dyDescent="0.25">
      <c r="A252" s="44">
        <f>ROW(DIARIO[[#This Row],[Nombre de Cuenta]])-$A$177-1</f>
        <v>75</v>
      </c>
      <c r="B252" s="23" t="s">
        <v>9</v>
      </c>
      <c r="C252" s="34" t="s">
        <v>302</v>
      </c>
      <c r="D252" s="7">
        <f>VLOOKUP(C252,CATALOGO[],2,FALSE)</f>
        <v>55</v>
      </c>
      <c r="E252" s="36" t="str">
        <f>VLOOKUP(DIARIO[[#This Row],[Objeto de Gasto]],CATALOGO[],3,FALSE)</f>
        <v>42120 Equipos Varios De Oficina</v>
      </c>
      <c r="F252" s="1" t="s">
        <v>11</v>
      </c>
      <c r="G252" s="6" t="s">
        <v>677</v>
      </c>
      <c r="H252" s="1" t="s">
        <v>676</v>
      </c>
      <c r="I252" s="9">
        <v>45400</v>
      </c>
      <c r="J252" s="1" t="s">
        <v>675</v>
      </c>
      <c r="K252" s="9">
        <v>45404</v>
      </c>
      <c r="L252" s="1"/>
      <c r="M252" s="9"/>
      <c r="O252" s="22">
        <f>IF(DIARIO[[#This Row],[Estatus]]="Proceso",SUMIFS(DIARIO[Entrada],DIARIO[Objeto de Gasto],DIARIO[[#This Row],[Objeto de Gasto]],DIARIO[Estatus],"Saldo Inicial"),0)</f>
        <v>100000</v>
      </c>
      <c r="P252" s="4">
        <f t="shared" si="30"/>
        <v>-100000</v>
      </c>
      <c r="Q252" s="23" t="s">
        <v>14</v>
      </c>
      <c r="R252" s="39" t="s">
        <v>971</v>
      </c>
      <c r="S252" s="6" t="s">
        <v>745</v>
      </c>
    </row>
    <row r="253" spans="1:20" ht="75" hidden="1" x14ac:dyDescent="0.25">
      <c r="A253" s="44">
        <f>ROW(DIARIO[[#This Row],[Nombre de Cuenta]])-$A$177-1</f>
        <v>76</v>
      </c>
      <c r="B253" s="23" t="s">
        <v>9</v>
      </c>
      <c r="C253" s="34" t="s">
        <v>275</v>
      </c>
      <c r="D253" s="7">
        <f>VLOOKUP(C253,CATALOGO[],2,FALSE)</f>
        <v>50</v>
      </c>
      <c r="E253" s="36" t="str">
        <f>VLOOKUP(DIARIO[[#This Row],[Objeto de Gasto]],CATALOGO[],3,FALSE)</f>
        <v>39530 Material Medico Quirurgico Menor</v>
      </c>
      <c r="F253" s="1" t="s">
        <v>23</v>
      </c>
      <c r="G253" s="6" t="s">
        <v>968</v>
      </c>
      <c r="H253" s="1" t="s">
        <v>643</v>
      </c>
      <c r="I253" s="9">
        <v>45406</v>
      </c>
      <c r="J253" s="1" t="s">
        <v>680</v>
      </c>
      <c r="K253" s="9">
        <v>45406</v>
      </c>
      <c r="L253" s="1"/>
      <c r="M253" s="9"/>
      <c r="O253" s="22">
        <f>IF(DIARIO[[#This Row],[Estatus]]="Proceso",SUMIFS(DIARIO[Entrada],DIARIO[Objeto de Gasto],DIARIO[[#This Row],[Objeto de Gasto]],DIARIO[Estatus],"Saldo Inicial"),0)</f>
        <v>48000</v>
      </c>
      <c r="P253" s="4">
        <f>N253-O253</f>
        <v>-48000</v>
      </c>
      <c r="Q253" s="23" t="s">
        <v>14</v>
      </c>
      <c r="R253" s="39" t="s">
        <v>938</v>
      </c>
      <c r="S253" s="6" t="s">
        <v>939</v>
      </c>
    </row>
    <row r="254" spans="1:20" ht="45" hidden="1" x14ac:dyDescent="0.25">
      <c r="A254" s="44">
        <f>ROW(DIARIO[[#This Row],[Nombre de Cuenta]])-$A$177-1</f>
        <v>77</v>
      </c>
      <c r="B254" s="23" t="s">
        <v>954</v>
      </c>
      <c r="C254" s="34" t="s">
        <v>260</v>
      </c>
      <c r="D254" s="7">
        <f>VLOOKUP(C254,CATALOGO[],2,FALSE)</f>
        <v>47</v>
      </c>
      <c r="E254" s="36" t="str">
        <f>VLOOKUP(DIARIO[[#This Row],[Objeto de Gasto]],CATALOGO[],3,FALSE)</f>
        <v>39100 Elementos De Limpieza Y Aseo Personal</v>
      </c>
      <c r="F254" s="1" t="s">
        <v>690</v>
      </c>
      <c r="G254" s="6" t="s">
        <v>492</v>
      </c>
      <c r="H254" s="1" t="s">
        <v>681</v>
      </c>
      <c r="I254" s="9">
        <v>45406</v>
      </c>
      <c r="J254" s="1" t="s">
        <v>683</v>
      </c>
      <c r="K254" s="9">
        <v>45411</v>
      </c>
      <c r="L254" s="1"/>
      <c r="M254" s="9"/>
      <c r="O254" s="22">
        <v>1024.6500000000001</v>
      </c>
      <c r="P254" s="4">
        <f>N254-O254</f>
        <v>-1024.6500000000001</v>
      </c>
      <c r="Q254" s="23" t="s">
        <v>18</v>
      </c>
      <c r="R254" s="39"/>
      <c r="S254" s="6"/>
      <c r="T254" s="4">
        <v>1024.6500000000001</v>
      </c>
    </row>
    <row r="255" spans="1:20" ht="45" hidden="1" x14ac:dyDescent="0.25">
      <c r="A255" s="70">
        <f>ROW(DIARIO[[#This Row],[Nombre de Cuenta]])-$A$177-1</f>
        <v>78</v>
      </c>
      <c r="B255" s="33" t="s">
        <v>954</v>
      </c>
      <c r="C255" s="35" t="s">
        <v>260</v>
      </c>
      <c r="D255" s="7">
        <f>VLOOKUP(C255,CATALOGO[],2,FALSE)</f>
        <v>47</v>
      </c>
      <c r="E255" s="37" t="str">
        <f>VLOOKUP(DIARIO[[#This Row],[Objeto de Gasto]],CATALOGO[],3,FALSE)</f>
        <v>39100 Elementos De Limpieza Y Aseo Personal</v>
      </c>
      <c r="F255" s="27" t="s">
        <v>15</v>
      </c>
      <c r="G255" s="29" t="s">
        <v>492</v>
      </c>
      <c r="H255" s="27" t="s">
        <v>682</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679</v>
      </c>
      <c r="T255" s="31"/>
    </row>
    <row r="256" spans="1:20" ht="165" hidden="1" x14ac:dyDescent="0.25">
      <c r="A256" s="44">
        <f>ROW(DIARIO[[#This Row],[Nombre de Cuenta]])-$A$177-1</f>
        <v>79</v>
      </c>
      <c r="B256" s="23" t="s">
        <v>21</v>
      </c>
      <c r="C256" s="34" t="s">
        <v>270</v>
      </c>
      <c r="D256" s="7">
        <f>VLOOKUP(C256,CATALOGO[],2,FALSE)</f>
        <v>49</v>
      </c>
      <c r="E256" s="36" t="str">
        <f>VLOOKUP(DIARIO[[#This Row],[Objeto de Gasto]],CATALOGO[],3,FALSE)</f>
        <v xml:space="preserve">39520 Intrumental Y Material Para Laboratorio </v>
      </c>
      <c r="F256" s="1" t="s">
        <v>690</v>
      </c>
      <c r="G256" s="6" t="s">
        <v>684</v>
      </c>
      <c r="H256" s="1" t="s">
        <v>685</v>
      </c>
      <c r="I256" s="9">
        <v>45407</v>
      </c>
      <c r="J256" s="1" t="s">
        <v>700</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686</v>
      </c>
    </row>
    <row r="257" spans="1:19" ht="165" hidden="1" x14ac:dyDescent="0.25">
      <c r="A257" s="44">
        <f>ROW(DIARIO[[#This Row],[Nombre de Cuenta]])-$A$177-1</f>
        <v>80</v>
      </c>
      <c r="B257" s="23" t="s">
        <v>21</v>
      </c>
      <c r="C257" s="34" t="s">
        <v>269</v>
      </c>
      <c r="D257" s="7">
        <f>VLOOKUP(C257,CATALOGO[],2,FALSE)</f>
        <v>49</v>
      </c>
      <c r="E257" s="36" t="str">
        <f>VLOOKUP(DIARIO[[#This Row],[Objeto de Gasto]],CATALOGO[],3,FALSE)</f>
        <v xml:space="preserve">39520 Intrumental Y Material Para Laboratorio </v>
      </c>
      <c r="F257" s="1" t="s">
        <v>690</v>
      </c>
      <c r="G257" s="6" t="s">
        <v>684</v>
      </c>
      <c r="H257" s="1" t="s">
        <v>685</v>
      </c>
      <c r="I257" s="9">
        <v>45407</v>
      </c>
      <c r="J257" s="1" t="s">
        <v>700</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686</v>
      </c>
    </row>
    <row r="258" spans="1:19" ht="165" hidden="1" x14ac:dyDescent="0.25">
      <c r="A258" s="44">
        <f>ROW(DIARIO[[#This Row],[Nombre de Cuenta]])-$A$177-1</f>
        <v>81</v>
      </c>
      <c r="B258" s="23" t="s">
        <v>21</v>
      </c>
      <c r="C258" s="34" t="s">
        <v>271</v>
      </c>
      <c r="D258" s="7">
        <f>VLOOKUP(C258,CATALOGO[],2,FALSE)</f>
        <v>49</v>
      </c>
      <c r="E258" s="36" t="str">
        <f>VLOOKUP(DIARIO[[#This Row],[Objeto de Gasto]],CATALOGO[],3,FALSE)</f>
        <v xml:space="preserve">39520 Intrumental Y Material Para Laboratorio </v>
      </c>
      <c r="F258" s="1" t="s">
        <v>690</v>
      </c>
      <c r="G258" s="6" t="s">
        <v>684</v>
      </c>
      <c r="H258" s="1" t="s">
        <v>685</v>
      </c>
      <c r="I258" s="9">
        <v>45407</v>
      </c>
      <c r="J258" s="1" t="s">
        <v>700</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686</v>
      </c>
    </row>
    <row r="259" spans="1:19" ht="90" hidden="1" x14ac:dyDescent="0.25">
      <c r="A259" s="44">
        <f>ROW(DIARIO[[#This Row],[Nombre de Cuenta]])-$A$177-1</f>
        <v>82</v>
      </c>
      <c r="B259" s="23" t="s">
        <v>21</v>
      </c>
      <c r="C259" s="34" t="s">
        <v>280</v>
      </c>
      <c r="D259" s="7">
        <f>VLOOKUP(C259,CATALOGO[],2,FALSE)</f>
        <v>51</v>
      </c>
      <c r="E259" s="36" t="str">
        <f>VLOOKUP(DIARIO[[#This Row],[Objeto de Gasto]],CATALOGO[],3,FALSE)</f>
        <v>39540 Otro Instrumental, Accesorios Y Material Medico</v>
      </c>
      <c r="F259" s="1" t="s">
        <v>690</v>
      </c>
      <c r="G259" s="6" t="s">
        <v>688</v>
      </c>
      <c r="H259" s="1" t="s">
        <v>687</v>
      </c>
      <c r="I259" s="9">
        <v>45407</v>
      </c>
      <c r="J259" s="1" t="s">
        <v>701</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689</v>
      </c>
    </row>
    <row r="260" spans="1:19" ht="90" hidden="1" x14ac:dyDescent="0.25">
      <c r="A260" s="44">
        <f>ROW(DIARIO[[#This Row],[Nombre de Cuenta]])-$A$177-1</f>
        <v>83</v>
      </c>
      <c r="B260" s="23" t="s">
        <v>21</v>
      </c>
      <c r="C260" s="34" t="s">
        <v>279</v>
      </c>
      <c r="D260" s="7">
        <f>VLOOKUP(C260,CATALOGO[],2,FALSE)</f>
        <v>51</v>
      </c>
      <c r="E260" s="36" t="str">
        <f>VLOOKUP(DIARIO[[#This Row],[Objeto de Gasto]],CATALOGO[],3,FALSE)</f>
        <v>39540 Otro Instrumental, Accesorios Y Material Medico</v>
      </c>
      <c r="F260" s="1" t="s">
        <v>690</v>
      </c>
      <c r="G260" s="6" t="s">
        <v>688</v>
      </c>
      <c r="H260" s="1" t="s">
        <v>687</v>
      </c>
      <c r="I260" s="9">
        <v>45407</v>
      </c>
      <c r="J260" s="1" t="s">
        <v>701</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689</v>
      </c>
    </row>
    <row r="261" spans="1:19" ht="90" hidden="1" x14ac:dyDescent="0.25">
      <c r="A261" s="44">
        <f>ROW(DIARIO[[#This Row],[Nombre de Cuenta]])-$A$177-1</f>
        <v>84</v>
      </c>
      <c r="B261" s="23" t="s">
        <v>21</v>
      </c>
      <c r="C261" s="34" t="s">
        <v>281</v>
      </c>
      <c r="D261" s="7">
        <f>VLOOKUP(C261,CATALOGO[],2,FALSE)</f>
        <v>51</v>
      </c>
      <c r="E261" s="36" t="str">
        <f>VLOOKUP(DIARIO[[#This Row],[Objeto de Gasto]],CATALOGO[],3,FALSE)</f>
        <v>39540 Otro Instrumental, Accesorios Y Material Medico</v>
      </c>
      <c r="F261" s="1" t="s">
        <v>690</v>
      </c>
      <c r="G261" s="6" t="s">
        <v>688</v>
      </c>
      <c r="H261" s="1" t="s">
        <v>687</v>
      </c>
      <c r="I261" s="9">
        <v>45407</v>
      </c>
      <c r="J261" s="1" t="s">
        <v>701</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689</v>
      </c>
    </row>
    <row r="262" spans="1:19" ht="45" hidden="1" x14ac:dyDescent="0.25">
      <c r="A262" s="44">
        <f>ROW(DIARIO[[#This Row],[Nombre de Cuenta]])-$A$177-1</f>
        <v>85</v>
      </c>
      <c r="B262" s="23" t="s">
        <v>21</v>
      </c>
      <c r="C262" s="34" t="s">
        <v>408</v>
      </c>
      <c r="D262" s="7">
        <f>VLOOKUP(C262,CATALOGO[],2,FALSE)</f>
        <v>37</v>
      </c>
      <c r="E262" s="36" t="str">
        <f>VLOOKUP(DIARIO[[#This Row],[Objeto de Gasto]],CATALOGO[],3,FALSE)</f>
        <v>35251 Reactivos</v>
      </c>
      <c r="F262" s="1" t="s">
        <v>690</v>
      </c>
      <c r="G262" s="6" t="s">
        <v>692</v>
      </c>
      <c r="H262" s="1" t="s">
        <v>691</v>
      </c>
      <c r="I262" s="9">
        <v>45406</v>
      </c>
      <c r="J262" s="1" t="s">
        <v>694</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695</v>
      </c>
    </row>
    <row r="263" spans="1:19" ht="45" hidden="1" x14ac:dyDescent="0.25">
      <c r="A263" s="44">
        <f>ROW(DIARIO[[#This Row],[Nombre de Cuenta]])-$A$177-1</f>
        <v>86</v>
      </c>
      <c r="B263" s="23" t="s">
        <v>21</v>
      </c>
      <c r="C263" s="34" t="s">
        <v>211</v>
      </c>
      <c r="D263" s="7">
        <f>VLOOKUP(C263,CATALOGO[],2,FALSE)</f>
        <v>37</v>
      </c>
      <c r="E263" s="36" t="str">
        <f>VLOOKUP(DIARIO[[#This Row],[Objeto de Gasto]],CATALOGO[],3,FALSE)</f>
        <v>35251 Reactivos</v>
      </c>
      <c r="F263" s="1" t="s">
        <v>690</v>
      </c>
      <c r="G263" s="6" t="s">
        <v>693</v>
      </c>
      <c r="H263" s="1" t="s">
        <v>691</v>
      </c>
      <c r="I263" s="9">
        <v>45406</v>
      </c>
      <c r="J263" s="1" t="s">
        <v>694</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695</v>
      </c>
    </row>
    <row r="264" spans="1:19" ht="60" hidden="1" x14ac:dyDescent="0.25">
      <c r="A264" s="44">
        <f>ROW(DIARIO[[#This Row],[Nombre de Cuenta]])-$A$177-1</f>
        <v>87</v>
      </c>
      <c r="B264" s="23" t="s">
        <v>21</v>
      </c>
      <c r="C264" s="34" t="s">
        <v>225</v>
      </c>
      <c r="D264" s="7">
        <f>VLOOKUP(C264,CATALOGO[],2,FALSE)</f>
        <v>40</v>
      </c>
      <c r="E264" s="36" t="str">
        <f>VLOOKUP(DIARIO[[#This Row],[Objeto de Gasto]],CATALOGO[],3,FALSE)</f>
        <v>35252 Reactivo (VIH)</v>
      </c>
      <c r="F264" s="1" t="s">
        <v>690</v>
      </c>
      <c r="G264" s="6" t="s">
        <v>697</v>
      </c>
      <c r="H264" s="1" t="s">
        <v>696</v>
      </c>
      <c r="I264" s="9">
        <v>45400</v>
      </c>
      <c r="J264" s="1" t="s">
        <v>698</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725</v>
      </c>
    </row>
    <row r="265" spans="1:19" hidden="1" x14ac:dyDescent="0.25">
      <c r="A265" s="44">
        <f>ROW(DIARIO[[#This Row],[Nombre de Cuenta]])-$A$177-1</f>
        <v>88</v>
      </c>
      <c r="B265" s="23" t="s">
        <v>21</v>
      </c>
      <c r="C265" s="34" t="s">
        <v>170</v>
      </c>
      <c r="D265" s="7">
        <f>VLOOKUP(C265,CATALOGO[],2,FALSE)</f>
        <v>29</v>
      </c>
      <c r="E265" s="36" t="str">
        <f>VLOOKUP(DIARIO[[#This Row],[Objeto de Gasto]],CATALOGO[],3,FALSE)</f>
        <v>31110 Productos Alimenticios Y Bebidas</v>
      </c>
      <c r="F265" s="1" t="s">
        <v>690</v>
      </c>
      <c r="G265" s="6" t="s">
        <v>717</v>
      </c>
      <c r="H265" s="1" t="s">
        <v>723</v>
      </c>
      <c r="I265" s="9">
        <v>45422</v>
      </c>
      <c r="J265" s="1" t="s">
        <v>722</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44">
        <f>ROW(DIARIO[[#This Row],[Nombre de Cuenta]])-$A$177-1</f>
        <v>89</v>
      </c>
      <c r="B266" s="23" t="s">
        <v>9</v>
      </c>
      <c r="C266" s="34" t="s">
        <v>326</v>
      </c>
      <c r="D266" s="7">
        <f>VLOOKUP(C266,CATALOGO[],2,FALSE)</f>
        <v>60</v>
      </c>
      <c r="E266" s="36" t="str">
        <f>VLOOKUP(DIARIO[[#This Row],[Objeto de Gasto]],CATALOGO[],3,FALSE)</f>
        <v>45100 Aplicaciones Informaticas</v>
      </c>
      <c r="F266" s="1" t="s">
        <v>19</v>
      </c>
      <c r="G266" s="6" t="s">
        <v>463</v>
      </c>
      <c r="H266" s="1" t="s">
        <v>464</v>
      </c>
      <c r="I266" s="9">
        <v>45314</v>
      </c>
      <c r="J266" s="1" t="s">
        <v>718</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44">
        <f>ROW(DIARIO[[#This Row],[Nombre de Cuenta]])-$A$177-1</f>
        <v>90</v>
      </c>
      <c r="B267" s="23" t="s">
        <v>9</v>
      </c>
      <c r="C267" s="34" t="s">
        <v>425</v>
      </c>
      <c r="D267" s="7">
        <f>VLOOKUP(C267,CATALOGO[],2,FALSE)</f>
        <v>60</v>
      </c>
      <c r="E267" s="36" t="str">
        <f>VLOOKUP(DIARIO[[#This Row],[Objeto de Gasto]],CATALOGO[],3,FALSE)</f>
        <v>45100 Aplicaciones Informaticas</v>
      </c>
      <c r="F267" s="1" t="s">
        <v>19</v>
      </c>
      <c r="G267" s="6" t="s">
        <v>500</v>
      </c>
      <c r="H267" s="1" t="s">
        <v>501</v>
      </c>
      <c r="I267" s="9">
        <v>45345</v>
      </c>
      <c r="J267" s="1" t="s">
        <v>718</v>
      </c>
      <c r="K267" s="9">
        <v>45426</v>
      </c>
      <c r="L267" s="1"/>
      <c r="M267" s="9"/>
      <c r="O267" s="22"/>
      <c r="P267" s="4">
        <f t="shared" si="33"/>
        <v>0</v>
      </c>
      <c r="Q267" s="23" t="s">
        <v>14</v>
      </c>
      <c r="R267" s="39"/>
      <c r="S267" s="6" t="s">
        <v>724</v>
      </c>
    </row>
    <row r="268" spans="1:19" ht="30" hidden="1" x14ac:dyDescent="0.25">
      <c r="A268" s="44">
        <f>ROW(DIARIO[[#This Row],[Nombre de Cuenta]])-$A$177-1</f>
        <v>91</v>
      </c>
      <c r="B268" s="23" t="s">
        <v>9</v>
      </c>
      <c r="C268" s="34" t="s">
        <v>327</v>
      </c>
      <c r="D268" s="7">
        <f>VLOOKUP(C268,CATALOGO[],2,FALSE)</f>
        <v>60</v>
      </c>
      <c r="E268" s="36" t="str">
        <f>VLOOKUP(DIARIO[[#This Row],[Objeto de Gasto]],CATALOGO[],3,FALSE)</f>
        <v>45100 Aplicaciones Informaticas</v>
      </c>
      <c r="F268" s="1" t="s">
        <v>19</v>
      </c>
      <c r="G268" s="6" t="s">
        <v>514</v>
      </c>
      <c r="H268" s="1" t="s">
        <v>515</v>
      </c>
      <c r="I268" s="9">
        <v>45349</v>
      </c>
      <c r="J268" s="1" t="s">
        <v>718</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44">
        <f>ROW(DIARIO[[#This Row],[Nombre de Cuenta]])-$A$177-1</f>
        <v>92</v>
      </c>
      <c r="B269" s="23" t="s">
        <v>9</v>
      </c>
      <c r="C269" s="34" t="s">
        <v>425</v>
      </c>
      <c r="D269" s="7">
        <f>VLOOKUP(C269,CATALOGO[],2,FALSE)</f>
        <v>60</v>
      </c>
      <c r="E269" s="36" t="str">
        <f>VLOOKUP(DIARIO[[#This Row],[Objeto de Gasto]],CATALOGO[],3,FALSE)</f>
        <v>45100 Aplicaciones Informaticas</v>
      </c>
      <c r="F269" s="1" t="s">
        <v>19</v>
      </c>
      <c r="G269" s="6" t="s">
        <v>546</v>
      </c>
      <c r="H269" s="1" t="s">
        <v>536</v>
      </c>
      <c r="I269" s="9">
        <v>45365</v>
      </c>
      <c r="J269" s="1" t="s">
        <v>718</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hidden="1" x14ac:dyDescent="0.25">
      <c r="A270" s="44">
        <f>ROW(DIARIO[[#This Row],[Nombre de Cuenta]])-$A$177-1</f>
        <v>93</v>
      </c>
      <c r="B270" s="23" t="s">
        <v>9</v>
      </c>
      <c r="C270" s="34" t="s">
        <v>714</v>
      </c>
      <c r="D270" s="7">
        <f>VLOOKUP(C270,CATALOGO[],2,FALSE)</f>
        <v>68</v>
      </c>
      <c r="E270" s="36" t="str">
        <f>VLOOKUP(DIARIO[[#This Row],[Objeto de Gasto]],CATALOGO[],3,FALSE)</f>
        <v>42510 Equipo de Comunicación</v>
      </c>
      <c r="F270" s="1" t="s">
        <v>11</v>
      </c>
      <c r="G270" s="6" t="s">
        <v>726</v>
      </c>
      <c r="H270" s="1" t="s">
        <v>727</v>
      </c>
      <c r="I270" s="9">
        <v>45427</v>
      </c>
      <c r="J270" s="1" t="s">
        <v>728</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931</v>
      </c>
      <c r="S270" s="6"/>
    </row>
    <row r="271" spans="1:19" ht="45" hidden="1" x14ac:dyDescent="0.25">
      <c r="A271" s="44">
        <f>ROW(DIARIO[[#This Row],[Nombre de Cuenta]])-$A$177-1</f>
        <v>94</v>
      </c>
      <c r="B271" s="23" t="s">
        <v>9</v>
      </c>
      <c r="C271" s="34" t="s">
        <v>285</v>
      </c>
      <c r="D271" s="7">
        <f>VLOOKUP(C271,CATALOGO[],2,FALSE)</f>
        <v>52</v>
      </c>
      <c r="E271" s="36" t="str">
        <f>VLOOKUP(DIARIO[[#This Row],[Objeto de Gasto]],CATALOGO[],3,FALSE)</f>
        <v>39600 Otros Repuestos Y Accesorios Menores</v>
      </c>
      <c r="F271" s="1" t="s">
        <v>15</v>
      </c>
      <c r="G271" s="6" t="s">
        <v>729</v>
      </c>
      <c r="H271" s="1" t="s">
        <v>730</v>
      </c>
      <c r="I271" s="9">
        <v>45436</v>
      </c>
      <c r="J271" s="1" t="s">
        <v>741</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44">
        <f>ROW(DIARIO[[#This Row],[Nombre de Cuenta]])-$A$177-1</f>
        <v>95</v>
      </c>
      <c r="B272" s="23" t="s">
        <v>9</v>
      </c>
      <c r="C272" s="34" t="s">
        <v>286</v>
      </c>
      <c r="D272" s="7">
        <f>VLOOKUP(C272,CATALOGO[],2,FALSE)</f>
        <v>52</v>
      </c>
      <c r="E272" s="36" t="str">
        <f>VLOOKUP(DIARIO[[#This Row],[Objeto de Gasto]],CATALOGO[],3,FALSE)</f>
        <v>39600 Otros Repuestos Y Accesorios Menores</v>
      </c>
      <c r="F272" s="1" t="s">
        <v>15</v>
      </c>
      <c r="G272" s="6" t="s">
        <v>732</v>
      </c>
      <c r="H272" s="1" t="s">
        <v>731</v>
      </c>
      <c r="I272" s="9">
        <v>45436</v>
      </c>
      <c r="J272" s="1" t="s">
        <v>741</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44">
        <f>ROW(DIARIO[[#This Row],[Nombre de Cuenta]])-$A$177-1</f>
        <v>96</v>
      </c>
      <c r="B273" s="23" t="s">
        <v>9</v>
      </c>
      <c r="C273" s="34" t="s">
        <v>100</v>
      </c>
      <c r="D273" s="7">
        <f>VLOOKUP(C273,CATALOGO[],2,FALSE)</f>
        <v>15</v>
      </c>
      <c r="E273" s="36" t="str">
        <f>VLOOKUP(DIARIO[[#This Row],[Objeto de Gasto]],CATALOGO[],3,FALSE)</f>
        <v>23200 Mantenimiento Y Reparacion De Equipos Y Medios De Transporte Terrestre</v>
      </c>
      <c r="F273" s="1" t="s">
        <v>11</v>
      </c>
      <c r="G273" s="6" t="s">
        <v>733</v>
      </c>
      <c r="H273" s="1" t="s">
        <v>734</v>
      </c>
      <c r="I273" s="9">
        <v>45436</v>
      </c>
      <c r="J273" s="1" t="s">
        <v>740</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t="45" hidden="1" x14ac:dyDescent="0.25">
      <c r="A274" s="44">
        <f>ROW(DIARIO[[#This Row],[Nombre de Cuenta]])-$A$177-1</f>
        <v>97</v>
      </c>
      <c r="B274" s="23" t="s">
        <v>954</v>
      </c>
      <c r="C274" s="34" t="s">
        <v>200</v>
      </c>
      <c r="D274" s="7">
        <f>VLOOKUP(C274,CATALOGO[],2,FALSE)</f>
        <v>35</v>
      </c>
      <c r="E274" s="36" t="str">
        <f>VLOOKUP(DIARIO[[#This Row],[Objeto de Gasto]],CATALOGO[],3,FALSE)</f>
        <v>34400 Llantas Y Camaras De Aire</v>
      </c>
      <c r="F274" s="1" t="s">
        <v>11</v>
      </c>
      <c r="G274" s="6" t="s">
        <v>738</v>
      </c>
      <c r="H274" s="1" t="s">
        <v>736</v>
      </c>
      <c r="I274" s="9">
        <v>45421</v>
      </c>
      <c r="J274" s="1" t="s">
        <v>739</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t="s">
        <v>961</v>
      </c>
    </row>
    <row r="275" spans="1:22" ht="60" hidden="1" x14ac:dyDescent="0.25">
      <c r="A275" s="44">
        <f>ROW(DIARIO[[#This Row],[Nombre de Cuenta]])-$A$177-1</f>
        <v>98</v>
      </c>
      <c r="B275" s="23" t="s">
        <v>954</v>
      </c>
      <c r="C275" s="34" t="s">
        <v>201</v>
      </c>
      <c r="D275" s="7">
        <f>VLOOKUP(C275,CATALOGO[],2,FALSE)</f>
        <v>35</v>
      </c>
      <c r="E275" s="36" t="str">
        <f>VLOOKUP(DIARIO[[#This Row],[Objeto de Gasto]],CATALOGO[],3,FALSE)</f>
        <v>34400 Llantas Y Camaras De Aire</v>
      </c>
      <c r="F275" s="1" t="s">
        <v>11</v>
      </c>
      <c r="G275" s="6" t="s">
        <v>737</v>
      </c>
      <c r="H275" s="1" t="s">
        <v>735</v>
      </c>
      <c r="I275" s="9">
        <v>45421</v>
      </c>
      <c r="J275" s="1" t="s">
        <v>739</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t="s">
        <v>962</v>
      </c>
    </row>
    <row r="276" spans="1:22" ht="60" hidden="1" x14ac:dyDescent="0.25">
      <c r="A276" s="44">
        <f>ROW(DIARIO[[#This Row],[Nombre de Cuenta]])-$A$177-1</f>
        <v>99</v>
      </c>
      <c r="B276" s="23" t="s">
        <v>954</v>
      </c>
      <c r="C276" s="34" t="s">
        <v>406</v>
      </c>
      <c r="D276" s="7">
        <f>VLOOKUP(C276,CATALOGO[],2,FALSE)</f>
        <v>35</v>
      </c>
      <c r="E276" s="36" t="str">
        <f>VLOOKUP(DIARIO[[#This Row],[Objeto de Gasto]],CATALOGO[],3,FALSE)</f>
        <v>34400 Llantas Y Camaras De Aire</v>
      </c>
      <c r="F276" s="1" t="s">
        <v>11</v>
      </c>
      <c r="G276" s="6" t="s">
        <v>743</v>
      </c>
      <c r="H276" s="1" t="s">
        <v>742</v>
      </c>
      <c r="I276" s="9">
        <v>45441</v>
      </c>
      <c r="J276" s="1" t="s">
        <v>739</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t="s">
        <v>963</v>
      </c>
    </row>
    <row r="277" spans="1:22" ht="30" hidden="1" x14ac:dyDescent="0.25">
      <c r="A277" s="44">
        <f>ROW(DIARIO[[#This Row],[Nombre de Cuenta]])-$A$177-1</f>
        <v>100</v>
      </c>
      <c r="B277" s="23" t="s">
        <v>954</v>
      </c>
      <c r="C277" s="34" t="s">
        <v>197</v>
      </c>
      <c r="D277" s="7">
        <f>VLOOKUP(C277,CATALOGO[],2,FALSE)</f>
        <v>35</v>
      </c>
      <c r="E277" s="36" t="str">
        <f>VLOOKUP(DIARIO[[#This Row],[Objeto de Gasto]],CATALOGO[],3,FALSE)</f>
        <v>34400 Llantas Y Camaras De Aire</v>
      </c>
      <c r="F277" s="1" t="s">
        <v>11</v>
      </c>
      <c r="G277" s="6" t="s">
        <v>744</v>
      </c>
      <c r="H277" s="1"/>
      <c r="I277" s="9"/>
      <c r="J277" s="1" t="s">
        <v>739</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t="s">
        <v>960</v>
      </c>
    </row>
    <row r="278" spans="1:22" ht="30" hidden="1" x14ac:dyDescent="0.25">
      <c r="A278" s="44">
        <f>ROW(DIARIO[[#This Row],[Nombre de Cuenta]])-$A$177-1</f>
        <v>101</v>
      </c>
      <c r="B278" s="23" t="s">
        <v>9</v>
      </c>
      <c r="C278" s="34" t="s">
        <v>396</v>
      </c>
      <c r="D278" s="7">
        <f>VLOOKUP(C278,CATALOGO[],2,FALSE)</f>
        <v>15</v>
      </c>
      <c r="E278" s="36" t="str">
        <f>VLOOKUP(DIARIO[[#This Row],[Objeto de Gasto]],CATALOGO[],3,FALSE)</f>
        <v>23200 Mantenimiento Y Reparacion De Equipos Y Medios De Transporte Terrestre</v>
      </c>
      <c r="F278" s="1" t="s">
        <v>11</v>
      </c>
      <c r="G278" s="6" t="s">
        <v>746</v>
      </c>
      <c r="H278" s="1" t="s">
        <v>748</v>
      </c>
      <c r="I278" s="9">
        <v>45415</v>
      </c>
      <c r="J278" s="1" t="s">
        <v>747</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930</v>
      </c>
      <c r="S278" s="6"/>
    </row>
    <row r="279" spans="1:22" hidden="1" x14ac:dyDescent="0.25">
      <c r="A279" s="44">
        <f>ROW(DIARIO[[#This Row],[Nombre de Cuenta]])-$A$177-1</f>
        <v>102</v>
      </c>
      <c r="B279" s="23" t="s">
        <v>954</v>
      </c>
      <c r="C279" s="34" t="s">
        <v>418</v>
      </c>
      <c r="D279" s="7">
        <f>VLOOKUP(C279,CATALOGO[],2,FALSE)</f>
        <v>52</v>
      </c>
      <c r="E279" s="36" t="str">
        <f>VLOOKUP(DIARIO[[#This Row],[Objeto de Gasto]],CATALOGO[],3,FALSE)</f>
        <v>39600 Otros Repuestos Y Accesorios Menores</v>
      </c>
      <c r="F279" s="1" t="s">
        <v>11</v>
      </c>
      <c r="G279" s="6" t="s">
        <v>749</v>
      </c>
      <c r="H279" s="1"/>
      <c r="I279" s="9"/>
      <c r="J279" s="1" t="s">
        <v>750</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264480</v>
      </c>
      <c r="P279" s="4">
        <f t="shared" si="35"/>
        <v>-264480</v>
      </c>
      <c r="Q279" s="23" t="s">
        <v>14</v>
      </c>
      <c r="R279" s="39" t="s">
        <v>941</v>
      </c>
      <c r="S279" s="6" t="s">
        <v>936</v>
      </c>
    </row>
    <row r="280" spans="1:22" ht="30" hidden="1" x14ac:dyDescent="0.25">
      <c r="A280" s="44">
        <f>ROW(DIARIO[[#This Row],[Nombre de Cuenta]])-$A$177-1</f>
        <v>103</v>
      </c>
      <c r="B280" s="23" t="s">
        <v>9</v>
      </c>
      <c r="C280" s="34" t="s">
        <v>246</v>
      </c>
      <c r="D280" s="7">
        <f>VLOOKUP(C280,CATALOGO[],2,FALSE)</f>
        <v>44</v>
      </c>
      <c r="E280" s="36" t="str">
        <f>VLOOKUP(DIARIO[[#This Row],[Objeto de Gasto]],CATALOGO[],3,FALSE)</f>
        <v>35650 Aceites Y Grasas Lubricantes</v>
      </c>
      <c r="F280" s="1" t="s">
        <v>11</v>
      </c>
      <c r="G280" s="6" t="s">
        <v>774</v>
      </c>
      <c r="H280" s="1" t="s">
        <v>775</v>
      </c>
      <c r="I280" s="113">
        <v>45421</v>
      </c>
      <c r="J280" s="1" t="s">
        <v>776</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t="s">
        <v>970</v>
      </c>
      <c r="S280" s="6"/>
    </row>
    <row r="281" spans="1:22" ht="45" hidden="1" x14ac:dyDescent="0.25">
      <c r="A281" s="44">
        <f>ROW(DIARIO[[#This Row],[Nombre de Cuenta]])-$A$177-1</f>
        <v>104</v>
      </c>
      <c r="B281" s="23" t="s">
        <v>954</v>
      </c>
      <c r="C281" s="34" t="s">
        <v>415</v>
      </c>
      <c r="D281" s="7">
        <f>VLOOKUP(C281,CATALOGO[],2,FALSE)</f>
        <v>48</v>
      </c>
      <c r="E281" s="36" t="str">
        <f>VLOOKUP(DIARIO[[#This Row],[Objeto de Gasto]],CATALOGO[],3,FALSE)</f>
        <v>39200 Utiles De Esritorio, Oficina  Y Enseñanza</v>
      </c>
      <c r="F281" s="1" t="s">
        <v>15</v>
      </c>
      <c r="G281" s="6" t="s">
        <v>916</v>
      </c>
      <c r="H281" s="1"/>
      <c r="I281" s="113"/>
      <c r="J281" s="1" t="s">
        <v>917</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hidden="1" x14ac:dyDescent="0.25">
      <c r="A282" s="44">
        <f>ROW(DIARIO[[#This Row],[Nombre de Cuenta]])-$A$177-1</f>
        <v>105</v>
      </c>
      <c r="B282" s="23" t="s">
        <v>954</v>
      </c>
      <c r="C282" s="34" t="s">
        <v>318</v>
      </c>
      <c r="D282" s="7">
        <f>VLOOKUP(C282,CATALOGO[],2,FALSE)</f>
        <v>59</v>
      </c>
      <c r="E282" s="36" t="str">
        <f>VLOOKUP(DIARIO[[#This Row],[Objeto de Gasto]],CATALOGO[],3,FALSE)</f>
        <v>42600 Equipo Para Computacion</v>
      </c>
      <c r="F282" s="1" t="s">
        <v>19</v>
      </c>
      <c r="G282" s="6" t="s">
        <v>919</v>
      </c>
      <c r="H282" s="1"/>
      <c r="I282" s="113"/>
      <c r="J282" s="1" t="s">
        <v>473</v>
      </c>
      <c r="K282" s="9">
        <v>45345</v>
      </c>
      <c r="L282" s="1"/>
      <c r="M282" s="113"/>
      <c r="O282" s="22">
        <v>30000</v>
      </c>
      <c r="P282" s="4">
        <f>N282-O282</f>
        <v>-30000</v>
      </c>
      <c r="Q282" s="23" t="s">
        <v>18</v>
      </c>
      <c r="R282" s="39"/>
      <c r="S282" s="6" t="s">
        <v>956</v>
      </c>
      <c r="V282" s="25"/>
    </row>
    <row r="283" spans="1:22" ht="45" hidden="1" x14ac:dyDescent="0.25">
      <c r="A283" s="44">
        <f>ROW(DIARIO[[#This Row],[Nombre de Cuenta]])-$A$177-1</f>
        <v>106</v>
      </c>
      <c r="B283" s="23" t="s">
        <v>9</v>
      </c>
      <c r="C283" s="34" t="s">
        <v>285</v>
      </c>
      <c r="D283" s="7">
        <f>VLOOKUP(C283,CATALOGO[],2,FALSE)</f>
        <v>52</v>
      </c>
      <c r="E283" s="36" t="str">
        <f>VLOOKUP(DIARIO[[#This Row],[Objeto de Gasto]],CATALOGO[],3,FALSE)</f>
        <v>39600 Otros Repuestos Y Accesorios Menores</v>
      </c>
      <c r="F283" s="1" t="s">
        <v>19</v>
      </c>
      <c r="G283" s="6" t="s">
        <v>926</v>
      </c>
      <c r="H283" s="1" t="s">
        <v>928</v>
      </c>
      <c r="I283" s="113">
        <v>45448</v>
      </c>
      <c r="J283" s="1" t="s">
        <v>927</v>
      </c>
      <c r="K283" s="113">
        <v>45449</v>
      </c>
      <c r="L283" s="1"/>
      <c r="M283" s="113"/>
      <c r="O283" s="22">
        <v>0</v>
      </c>
      <c r="P283" s="4">
        <f>N283-O283</f>
        <v>0</v>
      </c>
      <c r="Q283" s="23" t="s">
        <v>14</v>
      </c>
      <c r="R283" s="39" t="s">
        <v>941</v>
      </c>
      <c r="S283" s="6" t="s">
        <v>929</v>
      </c>
    </row>
    <row r="284" spans="1:22" ht="45" hidden="1" x14ac:dyDescent="0.25">
      <c r="A284" s="44">
        <f>ROW(DIARIO[[#This Row],[Nombre de Cuenta]])-$A$177-1</f>
        <v>107</v>
      </c>
      <c r="B284" s="23" t="s">
        <v>9</v>
      </c>
      <c r="C284" s="34" t="s">
        <v>286</v>
      </c>
      <c r="D284" s="7">
        <f>VLOOKUP(C284,CATALOGO[],2,FALSE)</f>
        <v>52</v>
      </c>
      <c r="E284" s="36" t="str">
        <f>VLOOKUP(DIARIO[[#This Row],[Objeto de Gasto]],CATALOGO[],3,FALSE)</f>
        <v>39600 Otros Repuestos Y Accesorios Menores</v>
      </c>
      <c r="F284" s="1" t="s">
        <v>19</v>
      </c>
      <c r="G284" s="6" t="s">
        <v>926</v>
      </c>
      <c r="H284" s="1" t="s">
        <v>928</v>
      </c>
      <c r="I284" s="113">
        <v>45448</v>
      </c>
      <c r="J284" s="1" t="s">
        <v>927</v>
      </c>
      <c r="K284" s="113">
        <v>45449</v>
      </c>
      <c r="L284" s="1"/>
      <c r="M284" s="113"/>
      <c r="O284" s="22">
        <v>0</v>
      </c>
      <c r="P284" s="4">
        <f>N284-O284</f>
        <v>0</v>
      </c>
      <c r="Q284" s="23" t="s">
        <v>14</v>
      </c>
      <c r="R284" s="39" t="s">
        <v>941</v>
      </c>
      <c r="S284" s="6" t="s">
        <v>929</v>
      </c>
    </row>
    <row r="286" spans="1:22" x14ac:dyDescent="0.25">
      <c r="E286" s="6">
        <v>277</v>
      </c>
      <c r="N286" s="151"/>
    </row>
  </sheetData>
  <phoneticPr fontId="9" type="noConversion"/>
  <conditionalFormatting sqref="Q2:R284">
    <cfRule type="containsText" dxfId="268" priority="1" operator="containsText" text="Observaciones">
      <formula>NOT(ISERROR(SEARCH("Observaciones",Q2)))</formula>
    </cfRule>
    <cfRule type="containsText" dxfId="267" priority="2" operator="containsText" text="Proceso">
      <formula>NOT(ISERROR(SEARCH("Proceso",Q2)))</formula>
    </cfRule>
    <cfRule type="containsText" dxfId="266" priority="3" operator="containsText" text="Modificaciones">
      <formula>NOT(ISERROR(SEARCH("Modificaciones",Q2)))</formula>
    </cfRule>
    <cfRule type="containsText" dxfId="265" priority="4" operator="containsText" text="Proceso">
      <formula>NOT(ISERROR(SEARCH("Proceso",Q2)))</formula>
    </cfRule>
    <cfRule type="containsText" dxfId="264" priority="5" operator="containsText" text="Observaciones">
      <formula>NOT(ISERROR(SEARCH("Observaciones",Q2)))</formula>
    </cfRule>
    <cfRule type="containsText" dxfId="263" priority="6" operator="containsText" text="Observaciones">
      <formula>NOT(ISERROR(SEARCH("Observaciones",Q2)))</formula>
    </cfRule>
    <cfRule type="containsText" dxfId="262" priority="7" operator="containsText" text="Adjudicado">
      <formula>NOT(ISERROR(SEARCH("Adjudicado",Q2)))</formula>
    </cfRule>
    <cfRule type="containsText" dxfId="261" priority="8" operator="containsText" text="Desierto">
      <formula>NOT(ISERROR(SEARCH("Desierto",Q2)))</formula>
    </cfRule>
    <cfRule type="containsText" dxfId="260" priority="9" operator="containsText" text="Fracasado">
      <formula>NOT(ISERROR(SEARCH("Fracasado",Q2)))</formula>
    </cfRule>
    <cfRule type="containsText" dxfId="259"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A1:K256"/>
  <sheetViews>
    <sheetView topLeftCell="A11" zoomScale="110" zoomScaleNormal="100" workbookViewId="0">
      <selection activeCell="A5" sqref="A5:F5"/>
      <pivotSelection pane="bottomRight" showHeader="1" extendable="1" axis="axisRow" dimension="1" start="2" max="30" activeRow="4" previousRow="4" click="1" r:id="rId1">
        <pivotArea dataOnly="0" fieldPosition="0">
          <references count="1">
            <reference field="4" count="1">
              <x v="7"/>
            </reference>
          </references>
        </pivotArea>
      </pivotSelection>
    </sheetView>
  </sheetViews>
  <sheetFormatPr baseColWidth="10" defaultColWidth="11.42578125" defaultRowHeight="15" x14ac:dyDescent="0.25"/>
  <cols>
    <col min="1" max="1" width="48.85546875" style="20" bestFit="1" customWidth="1"/>
    <col min="2" max="2" width="20.5703125" style="20" bestFit="1" customWidth="1"/>
    <col min="3" max="3" width="19.7109375" style="41" bestFit="1" customWidth="1"/>
    <col min="4" max="6" width="19.28515625" style="20" bestFit="1" customWidth="1"/>
    <col min="7" max="7" width="7.85546875" style="20" customWidth="1"/>
    <col min="8" max="8" width="19" style="20" bestFit="1" customWidth="1"/>
    <col min="9" max="9" width="14" style="20" bestFit="1" customWidth="1"/>
    <col min="10" max="10" width="20.5703125" style="20" bestFit="1" customWidth="1"/>
    <col min="11" max="11" width="14" style="20" bestFit="1" customWidth="1"/>
    <col min="12" max="12" width="29.85546875" style="20" customWidth="1"/>
    <col min="13" max="16" width="11.42578125" style="20"/>
    <col min="17" max="17" width="14.28515625" style="20" customWidth="1"/>
    <col min="18" max="18" width="21.140625" style="20" customWidth="1"/>
    <col min="19" max="16384" width="11.42578125" style="20"/>
  </cols>
  <sheetData>
    <row r="1" spans="1:11" ht="16.5" x14ac:dyDescent="0.3">
      <c r="A1" s="166" t="s">
        <v>557</v>
      </c>
      <c r="B1" s="166" t="s">
        <v>558</v>
      </c>
      <c r="C1" s="166"/>
      <c r="D1" s="166"/>
      <c r="E1" s="166"/>
      <c r="F1" s="166"/>
    </row>
    <row r="2" spans="1:11" ht="18.75" thickBot="1" x14ac:dyDescent="0.3">
      <c r="A2" s="165" t="s">
        <v>559</v>
      </c>
      <c r="B2" s="165" t="s">
        <v>30</v>
      </c>
      <c r="C2" s="165" t="s">
        <v>32</v>
      </c>
      <c r="D2" s="165" t="s">
        <v>18</v>
      </c>
      <c r="E2" s="165" t="s">
        <v>14</v>
      </c>
      <c r="F2" s="165" t="s">
        <v>560</v>
      </c>
    </row>
    <row r="3" spans="1:11" ht="17.25" thickBot="1" x14ac:dyDescent="0.35">
      <c r="A3" s="167" t="s">
        <v>758</v>
      </c>
      <c r="B3" s="159"/>
      <c r="C3" s="159"/>
      <c r="D3" s="159"/>
      <c r="E3" s="159"/>
      <c r="F3" s="159"/>
      <c r="H3" s="140" t="s">
        <v>561</v>
      </c>
      <c r="I3" s="141">
        <v>39520</v>
      </c>
      <c r="J3" s="140" t="s">
        <v>562</v>
      </c>
      <c r="K3" s="142">
        <v>2070443.6</v>
      </c>
    </row>
    <row r="4" spans="1:11" ht="16.5" x14ac:dyDescent="0.3">
      <c r="A4" s="162" t="s">
        <v>36</v>
      </c>
      <c r="B4" s="159">
        <v>2401701</v>
      </c>
      <c r="C4" s="159">
        <v>-1599661.2959497606</v>
      </c>
      <c r="D4" s="159">
        <v>-67879.729659883116</v>
      </c>
      <c r="E4" s="159">
        <v>0</v>
      </c>
      <c r="F4" s="159">
        <v>734159.97439035634</v>
      </c>
      <c r="H4" s="143" t="str">
        <f>I3&amp;"-VIH"</f>
        <v>39520-VIH</v>
      </c>
      <c r="I4" s="144">
        <f>SUMIFS(DIARIO[Saldo],DIARIO[Estatus],"Saldo inicial",DIARIO[Objeto de Gasto],H4)</f>
        <v>4029405</v>
      </c>
      <c r="J4" s="145">
        <f>IFERROR(SUM(I4)/SUM($I$4:$I$7),"0%")</f>
        <v>0.34676839008753452</v>
      </c>
      <c r="K4" s="146">
        <f>J4*$K$3</f>
        <v>717964.39393903932</v>
      </c>
    </row>
    <row r="5" spans="1:11" ht="16.5" x14ac:dyDescent="0.3">
      <c r="A5" s="162" t="s">
        <v>66</v>
      </c>
      <c r="B5" s="159">
        <v>22525775.140000001</v>
      </c>
      <c r="C5" s="159">
        <v>0</v>
      </c>
      <c r="D5" s="159">
        <v>-7168849.8839231944</v>
      </c>
      <c r="E5" s="159">
        <v>0</v>
      </c>
      <c r="F5" s="159">
        <v>15356925.256076805</v>
      </c>
      <c r="H5" s="147" t="str">
        <f>I3&amp;"-MALARIA"</f>
        <v>39520-MALARIA</v>
      </c>
      <c r="I5" s="148">
        <f>SUMIFS(DIARIO[Saldo],DIARIO[Estatus],"Saldo inicial",DIARIO[Objeto de Gasto],H5)</f>
        <v>4304794</v>
      </c>
      <c r="J5" s="149">
        <f>IFERROR(SUM(I5)/SUM($I$4:$I$7),"0%")</f>
        <v>0.37046821678100811</v>
      </c>
      <c r="K5" s="150">
        <f>J5*$K$3</f>
        <v>767033.5484376509</v>
      </c>
    </row>
    <row r="6" spans="1:11" ht="16.5" x14ac:dyDescent="0.3">
      <c r="A6" s="162" t="s">
        <v>71</v>
      </c>
      <c r="B6" s="159">
        <v>2177469.39</v>
      </c>
      <c r="C6" s="159">
        <v>0</v>
      </c>
      <c r="D6" s="159">
        <v>0</v>
      </c>
      <c r="E6" s="159">
        <v>0</v>
      </c>
      <c r="F6" s="159">
        <v>2177469.39</v>
      </c>
      <c r="H6" s="147" t="str">
        <f>I3&amp;"-TB"</f>
        <v>39520-TB</v>
      </c>
      <c r="I6" s="148">
        <f>SUMIFS(DIARIO[Saldo],DIARIO[Estatus],"Saldo inicial",DIARIO[Objeto de Gasto],H6)</f>
        <v>3285675</v>
      </c>
      <c r="J6" s="149">
        <f>IFERROR(SUM(I6)/SUM($I$4:$I$7),"0%")</f>
        <v>0.28276339313145737</v>
      </c>
      <c r="K6" s="150">
        <f>J6*$K$3</f>
        <v>585445.65762330987</v>
      </c>
    </row>
    <row r="7" spans="1:11" ht="16.5" x14ac:dyDescent="0.3">
      <c r="A7" s="162" t="s">
        <v>76</v>
      </c>
      <c r="B7" s="159">
        <v>2177469.39</v>
      </c>
      <c r="C7" s="159">
        <v>0</v>
      </c>
      <c r="D7" s="159">
        <v>-1658031.0193925884</v>
      </c>
      <c r="E7" s="159">
        <v>0</v>
      </c>
      <c r="F7" s="159">
        <v>519438.37060741172</v>
      </c>
      <c r="H7" s="147" t="str">
        <f>I3&amp;"-SSRISS"</f>
        <v>39520-SSRISS</v>
      </c>
      <c r="I7" s="148">
        <f>SUMIFS(DIARIO[Saldo],DIARIO[Estatus],"Saldo inicial",DIARIO[Objeto de Gasto],H7)</f>
        <v>0</v>
      </c>
      <c r="J7" s="149">
        <f>IFERROR(SUM(I7)/SUM($I$4:$I$7),"0%")</f>
        <v>0</v>
      </c>
      <c r="K7" s="150">
        <f>J7*$K$3</f>
        <v>0</v>
      </c>
    </row>
    <row r="8" spans="1:11" ht="17.25" thickBot="1" x14ac:dyDescent="0.35">
      <c r="A8" s="162" t="s">
        <v>81</v>
      </c>
      <c r="B8" s="159">
        <v>2636506.65</v>
      </c>
      <c r="C8" s="159">
        <v>0</v>
      </c>
      <c r="D8" s="159">
        <v>-241328.35107589324</v>
      </c>
      <c r="E8" s="159">
        <v>0</v>
      </c>
      <c r="F8" s="159">
        <v>2395178.2989241066</v>
      </c>
    </row>
    <row r="9" spans="1:11" ht="17.25" thickTop="1" x14ac:dyDescent="0.3">
      <c r="A9" s="168" t="s">
        <v>934</v>
      </c>
      <c r="B9" s="139">
        <v>31918921.57</v>
      </c>
      <c r="C9" s="139">
        <v>-1599661.2959497606</v>
      </c>
      <c r="D9" s="139">
        <v>-9136088.9840515591</v>
      </c>
      <c r="E9" s="139">
        <v>0</v>
      </c>
      <c r="F9" s="139">
        <v>21183171.28999868</v>
      </c>
    </row>
    <row r="10" spans="1:11" ht="16.5" x14ac:dyDescent="0.3">
      <c r="A10" s="167" t="s">
        <v>757</v>
      </c>
      <c r="B10" s="152">
        <v>2607845</v>
      </c>
      <c r="C10" s="152">
        <v>-560000</v>
      </c>
      <c r="D10" s="152">
        <v>-155679.12666666665</v>
      </c>
      <c r="E10" s="152">
        <v>-719436</v>
      </c>
      <c r="F10" s="152">
        <v>1172729.8733333333</v>
      </c>
    </row>
    <row r="11" spans="1:11" ht="17.25" thickBot="1" x14ac:dyDescent="0.35">
      <c r="A11" s="167" t="s">
        <v>759</v>
      </c>
      <c r="B11" s="159"/>
      <c r="C11" s="159"/>
      <c r="D11" s="159"/>
      <c r="E11" s="159"/>
      <c r="F11" s="159"/>
    </row>
    <row r="12" spans="1:11" ht="17.25" thickTop="1" x14ac:dyDescent="0.3">
      <c r="A12" s="162" t="s">
        <v>168</v>
      </c>
      <c r="B12" s="159">
        <v>150000</v>
      </c>
      <c r="C12" s="159">
        <v>0</v>
      </c>
      <c r="D12" s="159">
        <v>0</v>
      </c>
      <c r="E12" s="159">
        <v>0</v>
      </c>
      <c r="F12" s="159">
        <v>150000</v>
      </c>
      <c r="H12" s="41">
        <v>1200000</v>
      </c>
      <c r="I12" s="169">
        <v>569656</v>
      </c>
      <c r="J12" s="26">
        <f>H12-I12</f>
        <v>630344</v>
      </c>
    </row>
    <row r="13" spans="1:11" ht="16.5" x14ac:dyDescent="0.3">
      <c r="A13" s="162" t="s">
        <v>178</v>
      </c>
      <c r="B13" s="159">
        <v>1331518</v>
      </c>
      <c r="C13" s="159">
        <v>0</v>
      </c>
      <c r="D13" s="159">
        <v>0</v>
      </c>
      <c r="E13" s="159">
        <v>-1331518</v>
      </c>
      <c r="F13" s="159">
        <v>0</v>
      </c>
    </row>
    <row r="14" spans="1:11" ht="17.25" thickBot="1" x14ac:dyDescent="0.35">
      <c r="A14" s="162" t="s">
        <v>183</v>
      </c>
      <c r="B14" s="159">
        <v>151460</v>
      </c>
      <c r="C14" s="159">
        <v>0</v>
      </c>
      <c r="D14" s="159">
        <v>0</v>
      </c>
      <c r="E14" s="159">
        <v>0</v>
      </c>
      <c r="F14" s="159">
        <v>151460</v>
      </c>
    </row>
    <row r="15" spans="1:11" ht="17.25" thickTop="1" x14ac:dyDescent="0.3">
      <c r="A15" s="162" t="s">
        <v>953</v>
      </c>
      <c r="B15" s="159">
        <v>96971</v>
      </c>
      <c r="C15" s="159">
        <v>0</v>
      </c>
      <c r="D15" s="159">
        <v>-10810.92</v>
      </c>
      <c r="E15" s="159">
        <v>0</v>
      </c>
      <c r="F15" s="159">
        <v>86160.08</v>
      </c>
      <c r="I15" s="169">
        <v>688200</v>
      </c>
      <c r="J15" s="20">
        <v>180344</v>
      </c>
      <c r="K15" s="26">
        <f>I15-J15</f>
        <v>507856</v>
      </c>
    </row>
    <row r="16" spans="1:11" ht="16.5" x14ac:dyDescent="0.3">
      <c r="A16" s="162" t="s">
        <v>193</v>
      </c>
      <c r="B16" s="159">
        <v>959000</v>
      </c>
      <c r="C16" s="159">
        <v>0</v>
      </c>
      <c r="D16" s="159">
        <v>0</v>
      </c>
      <c r="E16" s="159">
        <v>-959000</v>
      </c>
      <c r="F16" s="159">
        <v>0</v>
      </c>
    </row>
    <row r="17" spans="1:7" ht="17.25" thickTop="1" x14ac:dyDescent="0.3">
      <c r="A17" s="162" t="s">
        <v>198</v>
      </c>
      <c r="B17" s="159">
        <v>209293</v>
      </c>
      <c r="C17" s="159">
        <v>0</v>
      </c>
      <c r="D17" s="159">
        <v>0</v>
      </c>
      <c r="E17" s="159">
        <v>-209293</v>
      </c>
      <c r="F17" s="159">
        <v>0</v>
      </c>
    </row>
    <row r="18" spans="1:7" ht="16.5" x14ac:dyDescent="0.3">
      <c r="A18" s="162" t="s">
        <v>218</v>
      </c>
      <c r="B18" s="159">
        <v>89000</v>
      </c>
      <c r="C18" s="159">
        <v>0</v>
      </c>
      <c r="D18" s="159">
        <v>-89000</v>
      </c>
      <c r="E18" s="159">
        <v>0</v>
      </c>
      <c r="F18" s="159">
        <v>0</v>
      </c>
    </row>
    <row r="19" spans="1:7" ht="16.5" x14ac:dyDescent="0.3">
      <c r="A19" s="162" t="s">
        <v>208</v>
      </c>
      <c r="B19" s="159">
        <v>12399788</v>
      </c>
      <c r="C19" s="159">
        <v>0</v>
      </c>
      <c r="D19" s="159">
        <v>-4487867.95</v>
      </c>
      <c r="E19" s="159">
        <v>-7911920.0499999998</v>
      </c>
      <c r="F19" s="159">
        <v>0</v>
      </c>
    </row>
    <row r="20" spans="1:7" ht="16.5" x14ac:dyDescent="0.3">
      <c r="A20" s="162" t="s">
        <v>228</v>
      </c>
      <c r="B20" s="159">
        <v>12000000</v>
      </c>
      <c r="C20" s="159">
        <v>0</v>
      </c>
      <c r="D20" s="159">
        <v>-11200000</v>
      </c>
      <c r="E20" s="159">
        <v>0</v>
      </c>
      <c r="F20" s="159">
        <v>800000</v>
      </c>
    </row>
    <row r="21" spans="1:7" ht="16.5" x14ac:dyDescent="0.3">
      <c r="A21" s="162" t="s">
        <v>362</v>
      </c>
      <c r="B21" s="159">
        <v>1500000</v>
      </c>
      <c r="C21" s="159">
        <v>-428212</v>
      </c>
      <c r="D21" s="159">
        <v>0</v>
      </c>
      <c r="E21" s="159">
        <v>-1071788</v>
      </c>
      <c r="F21" s="159">
        <v>0</v>
      </c>
    </row>
    <row r="22" spans="1:7" ht="16.5" x14ac:dyDescent="0.3">
      <c r="A22" s="162" t="s">
        <v>233</v>
      </c>
      <c r="B22" s="159">
        <v>1332973</v>
      </c>
      <c r="C22" s="159">
        <v>-308901</v>
      </c>
      <c r="D22" s="159">
        <v>0</v>
      </c>
      <c r="E22" s="159">
        <v>-1024072</v>
      </c>
      <c r="F22" s="159">
        <v>0</v>
      </c>
    </row>
    <row r="23" spans="1:7" ht="17.25" thickBot="1" x14ac:dyDescent="0.35">
      <c r="A23" s="162" t="s">
        <v>243</v>
      </c>
      <c r="B23" s="159">
        <v>900000</v>
      </c>
      <c r="C23" s="159">
        <v>-500000</v>
      </c>
      <c r="D23" s="159">
        <v>0</v>
      </c>
      <c r="E23" s="159">
        <v>0</v>
      </c>
      <c r="F23" s="159">
        <v>400000</v>
      </c>
    </row>
    <row r="24" spans="1:7" ht="17.25" thickTop="1" x14ac:dyDescent="0.3">
      <c r="A24" s="162" t="s">
        <v>253</v>
      </c>
      <c r="B24" s="159">
        <v>100000</v>
      </c>
      <c r="C24" s="159">
        <v>0</v>
      </c>
      <c r="D24" s="159">
        <v>0</v>
      </c>
      <c r="E24" s="159">
        <v>0</v>
      </c>
      <c r="F24" s="159">
        <v>100000</v>
      </c>
      <c r="G24" s="20" t="s">
        <v>756</v>
      </c>
    </row>
    <row r="25" spans="1:7" ht="16.5" x14ac:dyDescent="0.3">
      <c r="A25" s="162" t="s">
        <v>258</v>
      </c>
      <c r="B25" s="159">
        <v>470316</v>
      </c>
      <c r="C25" s="159">
        <v>0</v>
      </c>
      <c r="D25" s="159">
        <v>0</v>
      </c>
      <c r="E25" s="159">
        <v>-470316</v>
      </c>
      <c r="F25" s="159">
        <v>0</v>
      </c>
    </row>
    <row r="26" spans="1:7" ht="16.5" x14ac:dyDescent="0.3">
      <c r="A26" s="162" t="s">
        <v>263</v>
      </c>
      <c r="B26" s="159">
        <v>691300</v>
      </c>
      <c r="C26" s="159">
        <v>0</v>
      </c>
      <c r="D26" s="159">
        <v>-20267.559999999998</v>
      </c>
      <c r="E26" s="159">
        <v>-671032.43999999994</v>
      </c>
      <c r="F26" s="159">
        <v>0</v>
      </c>
    </row>
    <row r="27" spans="1:7" ht="16.5" x14ac:dyDescent="0.3">
      <c r="A27" s="162" t="s">
        <v>268</v>
      </c>
      <c r="B27" s="159">
        <v>4304794</v>
      </c>
      <c r="C27" s="159">
        <v>875082.97485841927</v>
      </c>
      <c r="D27" s="159">
        <v>-809404.21592279174</v>
      </c>
      <c r="E27" s="159">
        <v>-4370472.7589356275</v>
      </c>
      <c r="F27" s="159">
        <v>0</v>
      </c>
      <c r="G27" s="41"/>
    </row>
    <row r="28" spans="1:7" ht="17.25" thickBot="1" x14ac:dyDescent="0.35">
      <c r="A28" s="162" t="s">
        <v>278</v>
      </c>
      <c r="B28" s="159">
        <v>3834551</v>
      </c>
      <c r="C28" s="159">
        <v>0</v>
      </c>
      <c r="D28" s="159">
        <v>-143625.0031005221</v>
      </c>
      <c r="E28" s="159">
        <v>-3690925.9968994781</v>
      </c>
      <c r="F28" s="159">
        <v>0</v>
      </c>
      <c r="G28" s="41"/>
    </row>
    <row r="29" spans="1:7" ht="17.25" thickBot="1" x14ac:dyDescent="0.35">
      <c r="A29" s="162" t="s">
        <v>283</v>
      </c>
      <c r="B29" s="159">
        <v>319596</v>
      </c>
      <c r="C29" s="159">
        <v>0</v>
      </c>
      <c r="D29" s="159">
        <v>-55116</v>
      </c>
      <c r="E29" s="159">
        <v>-264480</v>
      </c>
      <c r="F29" s="159">
        <v>0</v>
      </c>
      <c r="G29" s="41"/>
    </row>
    <row r="30" spans="1:7" ht="17.25" thickTop="1" x14ac:dyDescent="0.3">
      <c r="A30" s="168" t="s">
        <v>932</v>
      </c>
      <c r="B30" s="139">
        <v>40840560</v>
      </c>
      <c r="C30" s="139">
        <v>-362030.02514158073</v>
      </c>
      <c r="D30" s="139">
        <v>-16816091.649023317</v>
      </c>
      <c r="E30" s="139">
        <v>-21974818.245835107</v>
      </c>
      <c r="F30" s="139">
        <v>1687620.08</v>
      </c>
      <c r="G30" s="41"/>
    </row>
    <row r="31" spans="1:7" ht="16.5" x14ac:dyDescent="0.3">
      <c r="A31" s="167" t="s">
        <v>760</v>
      </c>
      <c r="B31" s="152">
        <v>6488090</v>
      </c>
      <c r="C31" s="152">
        <v>1237113</v>
      </c>
      <c r="D31" s="152">
        <v>-6419755.7636850812</v>
      </c>
      <c r="E31" s="152">
        <v>-4834111</v>
      </c>
      <c r="F31" s="152">
        <v>-3528663.7636850812</v>
      </c>
    </row>
    <row r="32" spans="1:7" ht="18.75" thickTop="1" x14ac:dyDescent="0.25">
      <c r="A32" s="163" t="s">
        <v>560</v>
      </c>
      <c r="B32" s="164">
        <v>81855416.569999993</v>
      </c>
      <c r="C32" s="164">
        <v>-1284578.3210913418</v>
      </c>
      <c r="D32" s="164">
        <v>-32527615.523426618</v>
      </c>
      <c r="E32" s="164">
        <v>-27528365.245835107</v>
      </c>
      <c r="F32" s="164">
        <v>20514857.479646932</v>
      </c>
    </row>
    <row r="33" spans="1:11" ht="15.75" thickBot="1" x14ac:dyDescent="0.3">
      <c r="A33"/>
      <c r="B33"/>
      <c r="C33"/>
      <c r="D33"/>
      <c r="E33"/>
      <c r="F33"/>
    </row>
    <row r="34" spans="1:11" ht="15.75" thickTop="1" x14ac:dyDescent="0.25">
      <c r="A34"/>
      <c r="B34"/>
      <c r="C34"/>
      <c r="D34"/>
      <c r="E34"/>
      <c r="F34"/>
    </row>
    <row r="35" spans="1:11" x14ac:dyDescent="0.25">
      <c r="A35"/>
      <c r="B35"/>
      <c r="C35"/>
      <c r="D35"/>
      <c r="E35"/>
      <c r="F35"/>
    </row>
    <row r="36" spans="1:11" ht="15.75" thickTop="1" x14ac:dyDescent="0.25">
      <c r="A36"/>
      <c r="B36"/>
      <c r="C36"/>
      <c r="D36"/>
      <c r="E36"/>
      <c r="F36"/>
    </row>
    <row r="37" spans="1:11" x14ac:dyDescent="0.25">
      <c r="A37"/>
      <c r="B37"/>
      <c r="C37"/>
      <c r="D37"/>
      <c r="E37"/>
      <c r="F37"/>
    </row>
    <row r="38" spans="1:11" ht="15.75" thickTop="1" x14ac:dyDescent="0.25">
      <c r="A38"/>
      <c r="B38"/>
      <c r="C38"/>
      <c r="D38"/>
      <c r="E38"/>
      <c r="F38"/>
    </row>
    <row r="39" spans="1:11" x14ac:dyDescent="0.25">
      <c r="A39"/>
      <c r="B39"/>
      <c r="C39"/>
      <c r="D39"/>
      <c r="E39"/>
      <c r="F39"/>
    </row>
    <row r="40" spans="1:11" ht="16.5" x14ac:dyDescent="0.3">
      <c r="A40"/>
      <c r="B40"/>
      <c r="C40"/>
      <c r="D40"/>
      <c r="E40"/>
      <c r="F40"/>
      <c r="H40" s="169">
        <v>393985</v>
      </c>
      <c r="I40" s="169">
        <v>20209</v>
      </c>
      <c r="J40" s="26">
        <f>I40+H40</f>
        <v>414194</v>
      </c>
    </row>
    <row r="41" spans="1:11" ht="15.75" thickBot="1" x14ac:dyDescent="0.3">
      <c r="A41"/>
      <c r="B41"/>
      <c r="C41"/>
      <c r="D41"/>
      <c r="E41"/>
      <c r="F41"/>
    </row>
    <row r="42" spans="1:11" ht="15.75" thickTop="1" x14ac:dyDescent="0.25">
      <c r="A42"/>
      <c r="B42"/>
      <c r="C42"/>
      <c r="D42"/>
      <c r="E42"/>
      <c r="F42"/>
      <c r="G42" s="41"/>
    </row>
    <row r="43" spans="1:11" x14ac:dyDescent="0.25">
      <c r="A43"/>
      <c r="B43"/>
      <c r="C43"/>
      <c r="D43"/>
      <c r="E43"/>
      <c r="F43"/>
    </row>
    <row r="44" spans="1:11" ht="15.75" thickTop="1" x14ac:dyDescent="0.25">
      <c r="A44"/>
      <c r="B44"/>
      <c r="C44"/>
      <c r="D44"/>
      <c r="E44"/>
      <c r="F44"/>
    </row>
    <row r="45" spans="1:11" x14ac:dyDescent="0.25">
      <c r="A45"/>
      <c r="B45"/>
      <c r="C45"/>
      <c r="D45"/>
      <c r="E45"/>
      <c r="F45"/>
    </row>
    <row r="46" spans="1:11" x14ac:dyDescent="0.25">
      <c r="A46"/>
      <c r="B46"/>
      <c r="C46"/>
      <c r="D46"/>
      <c r="E46"/>
      <c r="F46"/>
    </row>
    <row r="47" spans="1:11" x14ac:dyDescent="0.25">
      <c r="A47"/>
      <c r="B47"/>
      <c r="C47"/>
      <c r="D47"/>
      <c r="E47"/>
      <c r="F47"/>
    </row>
    <row r="48" spans="1:11" x14ac:dyDescent="0.25">
      <c r="A48"/>
      <c r="B48"/>
      <c r="C48"/>
      <c r="D48"/>
      <c r="E48"/>
      <c r="F48"/>
      <c r="K48" s="109">
        <v>2401200</v>
      </c>
    </row>
    <row r="49" spans="1:11" ht="16.5" x14ac:dyDescent="0.3">
      <c r="A49"/>
      <c r="B49"/>
      <c r="C49"/>
      <c r="D49"/>
      <c r="E49"/>
      <c r="F49"/>
      <c r="H49" s="106" t="s">
        <v>423</v>
      </c>
      <c r="I49" s="107">
        <v>-6025770.7636850812</v>
      </c>
      <c r="J49" s="108">
        <f t="shared" ref="J49:J51" si="0">SUM(I49)/SUM($I$49:$I$51)</f>
        <v>0.31966928877012046</v>
      </c>
      <c r="K49" s="26">
        <f>J49*$K$48</f>
        <v>767589.89619481331</v>
      </c>
    </row>
    <row r="50" spans="1:11" ht="16.5" x14ac:dyDescent="0.3">
      <c r="A50"/>
      <c r="B50"/>
      <c r="C50"/>
      <c r="D50"/>
      <c r="E50"/>
      <c r="F50"/>
      <c r="H50" s="106" t="s">
        <v>317</v>
      </c>
      <c r="I50" s="107">
        <v>-4580463.6959707029</v>
      </c>
      <c r="J50" s="108">
        <f t="shared" si="0"/>
        <v>0.24299523319948779</v>
      </c>
      <c r="K50" s="26">
        <f t="shared" ref="K50:K51" si="1">J50*$K$48</f>
        <v>583480.15395861014</v>
      </c>
    </row>
    <row r="51" spans="1:11" ht="17.25" thickBot="1" x14ac:dyDescent="0.35">
      <c r="A51"/>
      <c r="B51"/>
      <c r="C51"/>
      <c r="D51"/>
      <c r="E51"/>
      <c r="F51"/>
      <c r="H51" s="106" t="s">
        <v>316</v>
      </c>
      <c r="I51" s="107">
        <v>-8243780.15034422</v>
      </c>
      <c r="J51" s="108">
        <f t="shared" si="0"/>
        <v>0.43733547803039174</v>
      </c>
      <c r="K51" s="26">
        <f t="shared" si="1"/>
        <v>1050129.9498465767</v>
      </c>
    </row>
    <row r="52" spans="1:11" ht="15.75" thickTop="1" x14ac:dyDescent="0.25">
      <c r="A52"/>
      <c r="B52"/>
      <c r="C52"/>
      <c r="D52"/>
      <c r="E52"/>
      <c r="F52"/>
    </row>
    <row r="53" spans="1:11" x14ac:dyDescent="0.25">
      <c r="A53"/>
      <c r="B53"/>
      <c r="C53"/>
      <c r="D53"/>
      <c r="E53"/>
      <c r="F53"/>
    </row>
    <row r="54" spans="1:11" ht="15.75" thickBot="1" x14ac:dyDescent="0.3">
      <c r="A54"/>
      <c r="B54"/>
      <c r="C54"/>
      <c r="D54"/>
      <c r="E54"/>
      <c r="F54"/>
    </row>
    <row r="55" spans="1:11" ht="15.75" thickBot="1" x14ac:dyDescent="0.3">
      <c r="A55"/>
      <c r="B55"/>
      <c r="C55"/>
      <c r="D55"/>
      <c r="E55"/>
      <c r="F55"/>
    </row>
    <row r="56" spans="1:11" ht="15.75" thickTop="1" x14ac:dyDescent="0.25">
      <c r="A56"/>
      <c r="B56"/>
      <c r="C56"/>
      <c r="D56"/>
      <c r="E56"/>
      <c r="F56"/>
    </row>
    <row r="57" spans="1:11" x14ac:dyDescent="0.25">
      <c r="A57"/>
      <c r="B57"/>
      <c r="C57"/>
      <c r="D57"/>
      <c r="E57"/>
      <c r="F57"/>
    </row>
    <row r="58" spans="1:11" x14ac:dyDescent="0.25">
      <c r="A58"/>
      <c r="B58"/>
      <c r="C58"/>
      <c r="D58"/>
      <c r="E58"/>
      <c r="F58"/>
    </row>
    <row r="59" spans="1:11" x14ac:dyDescent="0.25">
      <c r="A59"/>
      <c r="B59"/>
      <c r="C59"/>
      <c r="D59"/>
      <c r="E59"/>
      <c r="F59"/>
    </row>
    <row r="60" spans="1:11" x14ac:dyDescent="0.25">
      <c r="A60"/>
      <c r="B60"/>
      <c r="C60"/>
      <c r="D60"/>
      <c r="E60"/>
      <c r="F60"/>
    </row>
    <row r="61" spans="1:11" x14ac:dyDescent="0.25">
      <c r="A61"/>
      <c r="B61"/>
      <c r="C61"/>
      <c r="D61"/>
      <c r="E61"/>
      <c r="F61"/>
    </row>
    <row r="62" spans="1:11" x14ac:dyDescent="0.25">
      <c r="A62"/>
      <c r="B62"/>
      <c r="C62"/>
      <c r="D62"/>
      <c r="E62"/>
      <c r="F62"/>
      <c r="I62" s="20" t="s">
        <v>563</v>
      </c>
    </row>
    <row r="63" spans="1:11" ht="16.5" x14ac:dyDescent="0.3">
      <c r="A63"/>
      <c r="B63"/>
      <c r="C63"/>
      <c r="D63"/>
      <c r="E63"/>
      <c r="F63"/>
      <c r="I63" s="42">
        <v>9045</v>
      </c>
      <c r="J63" s="26">
        <f>I63*9</f>
        <v>81405</v>
      </c>
      <c r="K63" s="26">
        <f>J63*3</f>
        <v>244215</v>
      </c>
    </row>
    <row r="64" spans="1:11" ht="17.25" thickBot="1" x14ac:dyDescent="0.35">
      <c r="A64"/>
      <c r="B64"/>
      <c r="C64"/>
      <c r="D64"/>
      <c r="E64"/>
      <c r="F64"/>
      <c r="I64" s="42">
        <v>30</v>
      </c>
    </row>
    <row r="65" spans="1:9" ht="15.75" thickTop="1" x14ac:dyDescent="0.25">
      <c r="A65"/>
      <c r="B65"/>
      <c r="C65"/>
      <c r="D65"/>
      <c r="E65"/>
      <c r="F65"/>
      <c r="G65" s="41"/>
      <c r="I65" s="43">
        <f>I63*I64</f>
        <v>271350</v>
      </c>
    </row>
    <row r="66" spans="1:9" x14ac:dyDescent="0.25">
      <c r="A66"/>
      <c r="B66"/>
      <c r="C66"/>
      <c r="D66"/>
      <c r="E66"/>
      <c r="F66"/>
    </row>
    <row r="67" spans="1:9" ht="15.75" thickTop="1" x14ac:dyDescent="0.25">
      <c r="A67"/>
      <c r="B67"/>
      <c r="C67"/>
      <c r="D67"/>
      <c r="E67"/>
      <c r="F67"/>
    </row>
    <row r="68" spans="1:9" ht="15.75" thickBot="1" x14ac:dyDescent="0.3">
      <c r="A68"/>
      <c r="B68"/>
      <c r="C68"/>
      <c r="D68"/>
      <c r="E68"/>
      <c r="F68"/>
      <c r="G68" s="41"/>
    </row>
    <row r="69" spans="1:9" ht="15.75" thickTop="1" x14ac:dyDescent="0.25">
      <c r="A69"/>
      <c r="B69"/>
      <c r="C69"/>
      <c r="D69"/>
      <c r="E69"/>
      <c r="F69"/>
    </row>
    <row r="70" spans="1:9" x14ac:dyDescent="0.25">
      <c r="A70"/>
      <c r="B70"/>
      <c r="C70"/>
      <c r="D70"/>
      <c r="E70"/>
      <c r="F70"/>
    </row>
    <row r="71" spans="1:9" ht="15.75" thickTop="1" x14ac:dyDescent="0.25">
      <c r="A71"/>
      <c r="B71"/>
      <c r="C71"/>
      <c r="D71"/>
      <c r="E71"/>
      <c r="F71"/>
    </row>
    <row r="72" spans="1:9" x14ac:dyDescent="0.25">
      <c r="A72"/>
      <c r="B72"/>
      <c r="C72"/>
      <c r="D72"/>
      <c r="E72"/>
      <c r="F72"/>
    </row>
    <row r="73" spans="1:9" x14ac:dyDescent="0.25">
      <c r="A73"/>
      <c r="B73"/>
      <c r="C73"/>
      <c r="D73"/>
      <c r="E73"/>
      <c r="F73"/>
    </row>
    <row r="74" spans="1:9" x14ac:dyDescent="0.25">
      <c r="A74"/>
      <c r="B74"/>
      <c r="C74"/>
      <c r="D74"/>
      <c r="E74"/>
      <c r="F74"/>
    </row>
    <row r="75" spans="1:9" x14ac:dyDescent="0.25">
      <c r="A75"/>
      <c r="B75"/>
      <c r="C75"/>
      <c r="D75"/>
      <c r="E75"/>
      <c r="F75"/>
    </row>
    <row r="76" spans="1:9" x14ac:dyDescent="0.25">
      <c r="A76"/>
      <c r="B76"/>
      <c r="C76"/>
      <c r="D76"/>
      <c r="E76"/>
      <c r="F76"/>
    </row>
    <row r="77" spans="1:9" x14ac:dyDescent="0.25">
      <c r="A77"/>
      <c r="B77"/>
      <c r="C77"/>
      <c r="D77"/>
      <c r="E77"/>
      <c r="F77"/>
    </row>
    <row r="78" spans="1:9" x14ac:dyDescent="0.25">
      <c r="A78"/>
      <c r="B78"/>
      <c r="C78"/>
      <c r="D78"/>
      <c r="E78"/>
      <c r="F78"/>
    </row>
    <row r="79" spans="1:9" x14ac:dyDescent="0.25">
      <c r="A79"/>
      <c r="B79"/>
      <c r="C79"/>
      <c r="D79"/>
      <c r="E79"/>
      <c r="F79"/>
    </row>
    <row r="80" spans="1:9" x14ac:dyDescent="0.25">
      <c r="A80"/>
      <c r="B80"/>
      <c r="C80"/>
      <c r="D80"/>
      <c r="E80"/>
      <c r="F80"/>
    </row>
    <row r="81" spans="1:6" x14ac:dyDescent="0.25">
      <c r="A81"/>
      <c r="B81"/>
      <c r="C81"/>
      <c r="D81"/>
      <c r="E81"/>
      <c r="F81"/>
    </row>
    <row r="82" spans="1:6" x14ac:dyDescent="0.25">
      <c r="A82"/>
      <c r="B82"/>
      <c r="C82"/>
      <c r="D82"/>
      <c r="E82"/>
      <c r="F82"/>
    </row>
    <row r="83" spans="1:6" x14ac:dyDescent="0.25">
      <c r="A83"/>
      <c r="B83"/>
      <c r="C83"/>
      <c r="D83"/>
      <c r="E83"/>
      <c r="F83"/>
    </row>
    <row r="84" spans="1:6" x14ac:dyDescent="0.25">
      <c r="A84"/>
      <c r="B84"/>
      <c r="C84"/>
      <c r="D84"/>
      <c r="E84"/>
      <c r="F84"/>
    </row>
    <row r="85" spans="1:6" x14ac:dyDescent="0.25">
      <c r="A85"/>
      <c r="B85"/>
      <c r="C85"/>
      <c r="D85"/>
      <c r="E85"/>
      <c r="F85"/>
    </row>
    <row r="86" spans="1:6" x14ac:dyDescent="0.25">
      <c r="A86"/>
      <c r="B86"/>
      <c r="C86"/>
      <c r="D86"/>
      <c r="E86"/>
      <c r="F86"/>
    </row>
    <row r="87" spans="1:6" x14ac:dyDescent="0.25">
      <c r="A87"/>
      <c r="B87"/>
      <c r="C87"/>
      <c r="D87"/>
      <c r="E87"/>
      <c r="F87"/>
    </row>
    <row r="88" spans="1:6" x14ac:dyDescent="0.25">
      <c r="A88"/>
      <c r="B88"/>
      <c r="C88"/>
      <c r="D88"/>
      <c r="E88"/>
      <c r="F88"/>
    </row>
    <row r="89" spans="1:6" x14ac:dyDescent="0.25">
      <c r="A89"/>
      <c r="B89"/>
      <c r="C89"/>
      <c r="D89"/>
      <c r="E89"/>
      <c r="F89"/>
    </row>
    <row r="90" spans="1:6" x14ac:dyDescent="0.25">
      <c r="A90"/>
      <c r="B90"/>
      <c r="C90"/>
      <c r="D90"/>
      <c r="E90"/>
      <c r="F90"/>
    </row>
    <row r="91" spans="1:6" x14ac:dyDescent="0.25">
      <c r="A91"/>
      <c r="B91"/>
      <c r="C91"/>
      <c r="D91"/>
      <c r="E91"/>
      <c r="F91"/>
    </row>
    <row r="92" spans="1:6" x14ac:dyDescent="0.25">
      <c r="A92"/>
      <c r="B92"/>
      <c r="C92"/>
      <c r="D92"/>
      <c r="E92"/>
      <c r="F92"/>
    </row>
    <row r="93" spans="1:6" x14ac:dyDescent="0.25">
      <c r="A93"/>
      <c r="B93"/>
      <c r="C93"/>
      <c r="D93"/>
      <c r="E93"/>
      <c r="F93"/>
    </row>
    <row r="94" spans="1:6" x14ac:dyDescent="0.25">
      <c r="A94"/>
      <c r="B94"/>
      <c r="C94"/>
      <c r="D94"/>
      <c r="E94"/>
      <c r="F94"/>
    </row>
    <row r="95" spans="1:6" x14ac:dyDescent="0.25">
      <c r="A95"/>
      <c r="B95"/>
      <c r="C95"/>
      <c r="D95"/>
      <c r="E95"/>
      <c r="F95"/>
    </row>
    <row r="96" spans="1:6" x14ac:dyDescent="0.25">
      <c r="A96"/>
      <c r="B96"/>
      <c r="C96"/>
      <c r="D96"/>
      <c r="E96"/>
      <c r="F96"/>
    </row>
    <row r="97" spans="1:6" x14ac:dyDescent="0.25">
      <c r="A97"/>
      <c r="B97"/>
      <c r="C97"/>
      <c r="D97"/>
      <c r="E97"/>
      <c r="F97"/>
    </row>
    <row r="98" spans="1:6" x14ac:dyDescent="0.25">
      <c r="A98"/>
      <c r="B98"/>
      <c r="C98"/>
      <c r="D98"/>
      <c r="E98"/>
      <c r="F98"/>
    </row>
    <row r="99" spans="1:6" x14ac:dyDescent="0.25">
      <c r="A99"/>
      <c r="B99"/>
      <c r="C99"/>
      <c r="D99"/>
      <c r="E99"/>
      <c r="F99"/>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ht="15.75" thickBot="1" x14ac:dyDescent="0.3">
      <c r="A108"/>
      <c r="B108"/>
      <c r="C108"/>
      <c r="D108"/>
      <c r="E108"/>
      <c r="F108"/>
    </row>
    <row r="109" spans="1:6" ht="15.75" thickTop="1"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ht="15.75" thickBot="1" x14ac:dyDescent="0.3">
      <c r="A211"/>
      <c r="B211"/>
      <c r="C211"/>
      <c r="D211"/>
      <c r="E211"/>
      <c r="F211"/>
    </row>
    <row r="212" spans="1:6" ht="15.75" thickTop="1"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ht="15.75" thickBot="1" x14ac:dyDescent="0.3">
      <c r="A248"/>
      <c r="B248"/>
      <c r="C248"/>
      <c r="D248"/>
      <c r="E248"/>
      <c r="F248"/>
    </row>
    <row r="249" spans="1:6" ht="15.75" thickTop="1"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ht="15.75" thickBot="1" x14ac:dyDescent="0.3">
      <c r="A254"/>
      <c r="B254"/>
      <c r="C254"/>
      <c r="D254"/>
      <c r="E254"/>
      <c r="F254"/>
    </row>
    <row r="255" spans="1:6" ht="15.75" thickTop="1" x14ac:dyDescent="0.25">
      <c r="A255"/>
      <c r="B255"/>
      <c r="C255"/>
      <c r="D255"/>
      <c r="E255"/>
      <c r="F255"/>
    </row>
    <row r="256" spans="1:6" x14ac:dyDescent="0.25">
      <c r="A256"/>
      <c r="B256"/>
      <c r="C256"/>
      <c r="D256"/>
      <c r="E256"/>
      <c r="F256"/>
    </row>
  </sheetData>
  <conditionalFormatting pivot="1" sqref="F3:F32">
    <cfRule type="cellIs" dxfId="236" priority="1" operator="lessThan">
      <formula>0</formula>
    </cfRule>
  </conditionalFormatting>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F077C-6B79-4A63-AD60-611C97A20ACE}">
  <dimension ref="A1:F2"/>
  <sheetViews>
    <sheetView workbookViewId="0">
      <selection activeCell="F21" sqref="F21"/>
    </sheetView>
  </sheetViews>
  <sheetFormatPr baseColWidth="10" defaultRowHeight="15" x14ac:dyDescent="0.25"/>
  <sheetData>
    <row r="1" spans="1:6" x14ac:dyDescent="0.25">
      <c r="A1" s="153" t="s">
        <v>976</v>
      </c>
      <c r="F1" t="s">
        <v>977</v>
      </c>
    </row>
    <row r="2" spans="1:6" x14ac:dyDescent="0.25">
      <c r="F2" t="s">
        <v>978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583</v>
      </c>
      <c r="B1" s="64" t="s">
        <v>584</v>
      </c>
      <c r="C1" s="64" t="s">
        <v>373</v>
      </c>
      <c r="D1" s="64" t="s">
        <v>585</v>
      </c>
      <c r="E1" s="64" t="s">
        <v>586</v>
      </c>
      <c r="F1" s="65" t="s">
        <v>587</v>
      </c>
      <c r="G1" s="66" t="s">
        <v>588</v>
      </c>
      <c r="H1" s="64" t="s">
        <v>589</v>
      </c>
      <c r="I1" s="66" t="s">
        <v>590</v>
      </c>
      <c r="J1" s="67" t="s">
        <v>591</v>
      </c>
      <c r="K1" s="64" t="s">
        <v>10</v>
      </c>
    </row>
    <row r="2" spans="1:11" x14ac:dyDescent="0.25">
      <c r="B2" t="s">
        <v>432</v>
      </c>
      <c r="C2" s="5">
        <v>35252</v>
      </c>
      <c r="D2" t="s">
        <v>592</v>
      </c>
      <c r="F2" t="s">
        <v>597</v>
      </c>
      <c r="H2" s="24">
        <f>66125+17250+2300000</f>
        <v>2383375</v>
      </c>
      <c r="I2" s="25">
        <v>0</v>
      </c>
      <c r="J2" s="23">
        <v>102</v>
      </c>
      <c r="K2" t="s">
        <v>609</v>
      </c>
    </row>
    <row r="3" spans="1:11" x14ac:dyDescent="0.25">
      <c r="B3" t="s">
        <v>432</v>
      </c>
      <c r="C3" s="5">
        <v>35252</v>
      </c>
      <c r="D3" t="s">
        <v>592</v>
      </c>
      <c r="F3" t="s">
        <v>598</v>
      </c>
      <c r="H3" s="24">
        <f>2616480+876185+165600+10120+5520+358800+12075000</f>
        <v>16107705</v>
      </c>
      <c r="I3" s="25">
        <v>0</v>
      </c>
      <c r="J3" s="23">
        <v>102</v>
      </c>
      <c r="K3" t="s">
        <v>609</v>
      </c>
    </row>
    <row r="4" spans="1:11" x14ac:dyDescent="0.25">
      <c r="B4" t="s">
        <v>432</v>
      </c>
      <c r="C4" s="5">
        <v>35252</v>
      </c>
      <c r="D4" t="s">
        <v>592</v>
      </c>
      <c r="F4" t="s">
        <v>599</v>
      </c>
      <c r="H4" s="24">
        <f>2597905.2+2460080+56007.3</f>
        <v>5113992.5</v>
      </c>
      <c r="I4" s="25">
        <f t="shared" ref="I4:I5" si="0">H4</f>
        <v>5113992.5</v>
      </c>
      <c r="J4" s="23">
        <v>102</v>
      </c>
    </row>
    <row r="5" spans="1:11" x14ac:dyDescent="0.25">
      <c r="B5" t="s">
        <v>437</v>
      </c>
      <c r="C5" s="5">
        <v>39520</v>
      </c>
      <c r="D5" t="s">
        <v>593</v>
      </c>
      <c r="F5" t="s">
        <v>600</v>
      </c>
      <c r="H5" s="24">
        <v>457107.5</v>
      </c>
      <c r="I5" s="25">
        <f t="shared" si="0"/>
        <v>457107.5</v>
      </c>
      <c r="J5" s="23">
        <v>102</v>
      </c>
    </row>
    <row r="6" spans="1:11" x14ac:dyDescent="0.25">
      <c r="B6" t="s">
        <v>437</v>
      </c>
      <c r="C6" s="5">
        <v>39520</v>
      </c>
      <c r="D6" t="s">
        <v>593</v>
      </c>
      <c r="F6" t="s">
        <v>601</v>
      </c>
      <c r="H6" s="24">
        <v>75040</v>
      </c>
      <c r="I6" s="68">
        <v>0</v>
      </c>
      <c r="J6" s="23">
        <v>102</v>
      </c>
      <c r="K6" t="s">
        <v>609</v>
      </c>
    </row>
    <row r="7" spans="1:11" x14ac:dyDescent="0.25">
      <c r="B7" t="s">
        <v>437</v>
      </c>
      <c r="C7" s="5">
        <v>39520</v>
      </c>
      <c r="D7" t="s">
        <v>593</v>
      </c>
      <c r="F7" t="s">
        <v>598</v>
      </c>
      <c r="H7" s="24">
        <v>1692588.35</v>
      </c>
      <c r="I7" s="25">
        <f>H7</f>
        <v>1692588.35</v>
      </c>
      <c r="J7" s="23">
        <v>102</v>
      </c>
    </row>
    <row r="8" spans="1:11" x14ac:dyDescent="0.25">
      <c r="B8" t="s">
        <v>441</v>
      </c>
      <c r="C8" s="5">
        <v>42420</v>
      </c>
      <c r="D8" t="s">
        <v>594</v>
      </c>
      <c r="F8" t="s">
        <v>598</v>
      </c>
      <c r="H8" s="24">
        <v>28520</v>
      </c>
      <c r="I8" s="25">
        <f t="shared" ref="I8:I17" si="1">H8</f>
        <v>28520</v>
      </c>
      <c r="J8" s="23">
        <v>102</v>
      </c>
    </row>
    <row r="9" spans="1:11" x14ac:dyDescent="0.25">
      <c r="B9" t="s">
        <v>441</v>
      </c>
      <c r="C9" s="5">
        <v>42420</v>
      </c>
      <c r="D9" t="s">
        <v>594</v>
      </c>
      <c r="F9" t="s">
        <v>602</v>
      </c>
      <c r="H9" s="24">
        <v>2283900</v>
      </c>
      <c r="I9" s="25">
        <f t="shared" si="1"/>
        <v>2283900</v>
      </c>
      <c r="J9" s="23">
        <v>102</v>
      </c>
    </row>
    <row r="10" spans="1:11" x14ac:dyDescent="0.25">
      <c r="B10" t="s">
        <v>441</v>
      </c>
      <c r="C10" s="5">
        <v>42420</v>
      </c>
      <c r="D10" t="s">
        <v>594</v>
      </c>
      <c r="F10" t="s">
        <v>603</v>
      </c>
      <c r="H10" s="24">
        <v>4130959.43</v>
      </c>
      <c r="I10" s="25">
        <f t="shared" si="1"/>
        <v>4130959.43</v>
      </c>
      <c r="J10" s="23">
        <v>102</v>
      </c>
    </row>
    <row r="11" spans="1:11" x14ac:dyDescent="0.25">
      <c r="B11" t="s">
        <v>441</v>
      </c>
      <c r="C11" s="5">
        <v>42420</v>
      </c>
      <c r="D11" t="s">
        <v>594</v>
      </c>
      <c r="F11" t="s">
        <v>604</v>
      </c>
      <c r="H11" s="24">
        <v>117300</v>
      </c>
      <c r="I11" s="25">
        <f t="shared" si="1"/>
        <v>117300</v>
      </c>
      <c r="J11" s="23">
        <v>102</v>
      </c>
    </row>
    <row r="12" spans="1:11" x14ac:dyDescent="0.25">
      <c r="B12" t="s">
        <v>441</v>
      </c>
      <c r="C12" s="5">
        <v>42420</v>
      </c>
      <c r="D12" t="s">
        <v>594</v>
      </c>
      <c r="F12" t="s">
        <v>605</v>
      </c>
      <c r="H12" s="24">
        <v>12289335.24</v>
      </c>
      <c r="I12" s="25">
        <f t="shared" si="1"/>
        <v>12289335.24</v>
      </c>
      <c r="J12" s="23">
        <v>102</v>
      </c>
    </row>
    <row r="13" spans="1:11" x14ac:dyDescent="0.25">
      <c r="B13" t="s">
        <v>447</v>
      </c>
      <c r="C13" s="5">
        <v>35251</v>
      </c>
      <c r="D13" t="s">
        <v>595</v>
      </c>
      <c r="F13" t="s">
        <v>598</v>
      </c>
      <c r="H13" s="24">
        <v>389530</v>
      </c>
      <c r="I13" s="25">
        <f t="shared" si="1"/>
        <v>389530</v>
      </c>
      <c r="J13" s="23">
        <v>102</v>
      </c>
    </row>
    <row r="14" spans="1:11" x14ac:dyDescent="0.25">
      <c r="B14" t="s">
        <v>452</v>
      </c>
      <c r="C14" s="5">
        <v>39540</v>
      </c>
      <c r="D14" t="s">
        <v>596</v>
      </c>
      <c r="F14" t="s">
        <v>606</v>
      </c>
      <c r="H14" s="24">
        <v>89700</v>
      </c>
      <c r="I14" s="25">
        <f t="shared" si="1"/>
        <v>89700</v>
      </c>
      <c r="J14" s="23">
        <v>102</v>
      </c>
    </row>
    <row r="15" spans="1:11" x14ac:dyDescent="0.25">
      <c r="B15" t="s">
        <v>452</v>
      </c>
      <c r="C15" s="5">
        <v>39540</v>
      </c>
      <c r="D15" t="s">
        <v>596</v>
      </c>
      <c r="F15" t="s">
        <v>607</v>
      </c>
      <c r="H15" s="24">
        <v>61099.5</v>
      </c>
      <c r="I15" s="25">
        <f t="shared" si="1"/>
        <v>61099.5</v>
      </c>
      <c r="J15" s="23">
        <v>102</v>
      </c>
    </row>
    <row r="16" spans="1:11" x14ac:dyDescent="0.25">
      <c r="B16" t="s">
        <v>452</v>
      </c>
      <c r="C16" s="5">
        <v>39540</v>
      </c>
      <c r="D16" t="s">
        <v>596</v>
      </c>
      <c r="F16" t="s">
        <v>608</v>
      </c>
      <c r="H16" s="24">
        <v>17900</v>
      </c>
      <c r="I16" s="25">
        <f t="shared" si="1"/>
        <v>17900</v>
      </c>
      <c r="J16" s="23">
        <v>102</v>
      </c>
    </row>
    <row r="17" spans="2:10" x14ac:dyDescent="0.25">
      <c r="B17" t="s">
        <v>452</v>
      </c>
      <c r="C17" s="5">
        <v>39540</v>
      </c>
      <c r="D17" t="s">
        <v>596</v>
      </c>
      <c r="F17" t="s">
        <v>600</v>
      </c>
      <c r="H17" s="24">
        <v>109250</v>
      </c>
      <c r="I17" s="25">
        <f t="shared" si="1"/>
        <v>109250</v>
      </c>
      <c r="J17" s="23">
        <v>102</v>
      </c>
    </row>
    <row r="18" spans="2:10" x14ac:dyDescent="0.25">
      <c r="C18" s="23">
        <v>42110</v>
      </c>
      <c r="D18" t="s">
        <v>610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CATALOGO y LISTAS</vt:lpstr>
      <vt:lpstr>BUSCADOR</vt:lpstr>
      <vt:lpstr>Cedula para utiles.</vt:lpstr>
      <vt:lpstr>ANALISIS</vt:lpstr>
      <vt:lpstr>PAGADO</vt:lpstr>
      <vt:lpstr>Hoja1</vt:lpstr>
      <vt:lpstr>BASE DE DATOS</vt:lpstr>
      <vt:lpstr>REPORTE</vt:lpstr>
      <vt:lpstr>Posibles para tintas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2024-06-25T21:56:55Z</dcterms:modified>
  <cp:category/>
  <cp:contentStatus/>
</cp:coreProperties>
</file>