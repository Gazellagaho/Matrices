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DELL\Documents\GitHub\Matrices\"/>
    </mc:Choice>
  </mc:AlternateContent>
  <xr:revisionPtr revIDLastSave="0" documentId="13_ncr:1_{E97C1F5B-3271-4CF8-AE3C-34DA26B1FB71}" xr6:coauthVersionLast="47" xr6:coauthVersionMax="47" xr10:uidLastSave="{00000000-0000-0000-0000-000000000000}"/>
  <bookViews>
    <workbookView xWindow="-120" yWindow="-120" windowWidth="29040" windowHeight="15720" firstSheet="2" activeTab="3" xr2:uid="{2FB2480B-EF2B-43D5-879D-FA457C0551FB}"/>
  </bookViews>
  <sheets>
    <sheet name="CATALOGO y LISTAS" sheetId="1" state="hidden" r:id="rId1"/>
    <sheet name="BUSCADOR" sheetId="6" state="hidden" r:id="rId2"/>
    <sheet name="BASE DE DATOS" sheetId="2" r:id="rId3"/>
    <sheet name="Hoja2" sheetId="9" r:id="rId4"/>
    <sheet name="REPORTE" sheetId="3" r:id="rId5"/>
    <sheet name="Hoja1" sheetId="8" r:id="rId6"/>
    <sheet name="PAGADO" sheetId="5" r:id="rId7"/>
    <sheet name="ANALISIS" sheetId="4" r:id="rId8"/>
    <sheet name="compromisos" sheetId="7" state="hidden" r:id="rId9"/>
  </sheets>
  <definedNames>
    <definedName name="_xlnm.Print_Area" localSheetId="6">PAGADO!$B$2:$E$17</definedName>
  </definedNames>
  <calcPr calcId="191028"/>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8" i="2" l="1"/>
  <c r="O207" i="2"/>
  <c r="O177" i="2"/>
  <c r="O217" i="2"/>
  <c r="AD10" i="4"/>
  <c r="AD9" i="4"/>
  <c r="AD8" i="4"/>
  <c r="AD7" i="4"/>
  <c r="AD6" i="4"/>
  <c r="AC10" i="4"/>
  <c r="AC9" i="4"/>
  <c r="AC8" i="4"/>
  <c r="AC7" i="4"/>
  <c r="AC6" i="4"/>
  <c r="AB10" i="4"/>
  <c r="AB9" i="4"/>
  <c r="AB8" i="4"/>
  <c r="AB7" i="4"/>
  <c r="AB6" i="4"/>
  <c r="AA10" i="4"/>
  <c r="AA9" i="4"/>
  <c r="AA8" i="4"/>
  <c r="AA7" i="4"/>
  <c r="AA6" i="4"/>
  <c r="O179" i="2"/>
  <c r="A154" i="2"/>
  <c r="D154" i="2"/>
  <c r="E154" i="2"/>
  <c r="P154" i="2"/>
  <c r="A153" i="2"/>
  <c r="D153" i="2"/>
  <c r="E153" i="2"/>
  <c r="P153" i="2"/>
  <c r="D255" i="2"/>
  <c r="E255" i="2"/>
  <c r="E87" i="2"/>
  <c r="O254" i="2"/>
  <c r="P254" i="2" s="1"/>
  <c r="D254" i="2"/>
  <c r="E254" i="2"/>
  <c r="O233" i="2"/>
  <c r="O231" i="2"/>
  <c r="O253" i="2"/>
  <c r="P253" i="2" s="1"/>
  <c r="O212" i="2"/>
  <c r="O211" i="2"/>
  <c r="O252" i="2"/>
  <c r="P252" i="2" s="1"/>
  <c r="D253" i="2"/>
  <c r="E253" i="2"/>
  <c r="D252" i="2"/>
  <c r="E252" i="2"/>
  <c r="O238" i="2"/>
  <c r="D251" i="2"/>
  <c r="E251" i="2"/>
  <c r="P251" i="2"/>
  <c r="O249" i="2"/>
  <c r="P249" i="2" s="1"/>
  <c r="O250" i="2"/>
  <c r="P250" i="2" s="1"/>
  <c r="D250" i="2"/>
  <c r="E250" i="2"/>
  <c r="D249" i="2"/>
  <c r="E249" i="2"/>
  <c r="O248" i="2"/>
  <c r="P248" i="2" s="1"/>
  <c r="D248" i="2"/>
  <c r="E248" i="2"/>
  <c r="O247" i="2"/>
  <c r="P247" i="2" s="1"/>
  <c r="O246" i="2"/>
  <c r="P246" i="2" s="1"/>
  <c r="D247" i="2"/>
  <c r="E247" i="2"/>
  <c r="D246" i="2"/>
  <c r="E246" i="2"/>
  <c r="O206" i="2"/>
  <c r="O205" i="2"/>
  <c r="O237" i="2"/>
  <c r="O185" i="2"/>
  <c r="O245" i="2"/>
  <c r="P245" i="2" s="1"/>
  <c r="D245" i="2"/>
  <c r="E245" i="2"/>
  <c r="O236" i="2"/>
  <c r="O235" i="2"/>
  <c r="O234" i="2"/>
  <c r="P242" i="2"/>
  <c r="O243" i="2"/>
  <c r="P243" i="2" s="1"/>
  <c r="O244" i="2"/>
  <c r="P244" i="2" s="1"/>
  <c r="O241" i="2"/>
  <c r="P241" i="2" s="1"/>
  <c r="D244" i="2"/>
  <c r="E244" i="2"/>
  <c r="D243" i="2"/>
  <c r="E243" i="2"/>
  <c r="D242" i="2"/>
  <c r="E242" i="2"/>
  <c r="D241" i="2"/>
  <c r="E241" i="2"/>
  <c r="O240" i="2"/>
  <c r="P240" i="2" s="1"/>
  <c r="D240" i="2"/>
  <c r="E240" i="2"/>
  <c r="A152" i="2"/>
  <c r="D152" i="2"/>
  <c r="E152" i="2"/>
  <c r="P152" i="2"/>
  <c r="AE9" i="4" l="1"/>
  <c r="AE10" i="4"/>
  <c r="AE7" i="4"/>
  <c r="AE6" i="4"/>
  <c r="AE8" i="4"/>
  <c r="A151" i="2"/>
  <c r="D151" i="2"/>
  <c r="E151" i="2"/>
  <c r="P151" i="2"/>
  <c r="O255" i="2"/>
  <c r="P255" i="2" s="1"/>
  <c r="E162" i="2"/>
  <c r="O208" i="2"/>
  <c r="V6" i="4"/>
  <c r="A148" i="2"/>
  <c r="D148" i="2"/>
  <c r="E148" i="2"/>
  <c r="P148" i="2"/>
  <c r="A149" i="2"/>
  <c r="D149" i="2"/>
  <c r="E149" i="2"/>
  <c r="P149" i="2"/>
  <c r="E237" i="2"/>
  <c r="A147" i="2" l="1"/>
  <c r="D147" i="2"/>
  <c r="E147" i="2"/>
  <c r="P147" i="2"/>
  <c r="A150" i="2"/>
  <c r="D150" i="2"/>
  <c r="E150" i="2"/>
  <c r="P150" i="2"/>
  <c r="A144" i="2"/>
  <c r="D144" i="2"/>
  <c r="E144" i="2"/>
  <c r="P144" i="2"/>
  <c r="A145" i="2"/>
  <c r="D145" i="2"/>
  <c r="E145" i="2"/>
  <c r="P145" i="2"/>
  <c r="A146" i="2"/>
  <c r="D146" i="2"/>
  <c r="E146" i="2"/>
  <c r="P146" i="2"/>
  <c r="A138" i="2"/>
  <c r="D138" i="2"/>
  <c r="E138" i="2"/>
  <c r="P138" i="2"/>
  <c r="A139" i="2"/>
  <c r="D139" i="2"/>
  <c r="E139" i="2"/>
  <c r="P139" i="2"/>
  <c r="A140" i="2"/>
  <c r="D140" i="2"/>
  <c r="E140" i="2"/>
  <c r="P140" i="2"/>
  <c r="O239" i="2"/>
  <c r="P239" i="2" s="1"/>
  <c r="D239" i="2"/>
  <c r="E239" i="2"/>
  <c r="E238" i="2"/>
  <c r="P237" i="2"/>
  <c r="D238" i="2"/>
  <c r="D237" i="2"/>
  <c r="P233" i="2"/>
  <c r="P234" i="2"/>
  <c r="P235" i="2"/>
  <c r="P236" i="2"/>
  <c r="P231" i="2"/>
  <c r="D235" i="2"/>
  <c r="D236" i="2"/>
  <c r="E235" i="2"/>
  <c r="E236" i="2"/>
  <c r="D234" i="2"/>
  <c r="E234" i="2"/>
  <c r="D232" i="2"/>
  <c r="D233" i="2"/>
  <c r="E232" i="2"/>
  <c r="E233" i="2"/>
  <c r="D231" i="2"/>
  <c r="E231" i="2"/>
  <c r="P229" i="2"/>
  <c r="O230" i="2"/>
  <c r="P230" i="2" s="1"/>
  <c r="D230" i="2"/>
  <c r="E230" i="2"/>
  <c r="D229" i="2"/>
  <c r="E229" i="2"/>
  <c r="O228" i="2"/>
  <c r="P228" i="2" s="1"/>
  <c r="D228" i="2"/>
  <c r="E228" i="2"/>
  <c r="O193" i="2"/>
  <c r="P193" i="2" s="1"/>
  <c r="O227" i="2"/>
  <c r="P227" i="2" s="1"/>
  <c r="D227" i="2"/>
  <c r="E227" i="2"/>
  <c r="O226" i="2"/>
  <c r="P226" i="2" s="1"/>
  <c r="D226" i="2"/>
  <c r="E226" i="2"/>
  <c r="O225" i="2"/>
  <c r="D225" i="2"/>
  <c r="E225" i="2"/>
  <c r="D224" i="2"/>
  <c r="E224" i="2"/>
  <c r="O223" i="2"/>
  <c r="P223" i="2" s="1"/>
  <c r="D223" i="2"/>
  <c r="E223" i="2"/>
  <c r="A143" i="2"/>
  <c r="D143" i="2"/>
  <c r="E143" i="2"/>
  <c r="P143" i="2"/>
  <c r="D222" i="2"/>
  <c r="E222" i="2"/>
  <c r="P222" i="2"/>
  <c r="D221" i="2"/>
  <c r="E221" i="2"/>
  <c r="P221" i="2"/>
  <c r="D220" i="2"/>
  <c r="E220" i="2"/>
  <c r="P220" i="2"/>
  <c r="D219" i="2"/>
  <c r="E219" i="2"/>
  <c r="P219" i="2"/>
  <c r="D218" i="2"/>
  <c r="E218" i="2"/>
  <c r="P218" i="2"/>
  <c r="D217" i="2"/>
  <c r="E217" i="2"/>
  <c r="P217" i="2"/>
  <c r="D216" i="2"/>
  <c r="E216" i="2"/>
  <c r="P216" i="2"/>
  <c r="D215" i="2"/>
  <c r="E215" i="2"/>
  <c r="P215" i="2"/>
  <c r="D213" i="2"/>
  <c r="D214" i="2"/>
  <c r="E213" i="2"/>
  <c r="E214" i="2"/>
  <c r="P213" i="2"/>
  <c r="P214" i="2"/>
  <c r="D212" i="2"/>
  <c r="E212" i="2"/>
  <c r="P212" i="2"/>
  <c r="D211" i="2"/>
  <c r="E211" i="2"/>
  <c r="P211" i="2"/>
  <c r="D210" i="2"/>
  <c r="E210" i="2"/>
  <c r="P210" i="2"/>
  <c r="D209" i="2"/>
  <c r="E209" i="2"/>
  <c r="P209"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42" i="2"/>
  <c r="D142" i="2"/>
  <c r="E142" i="2"/>
  <c r="P142" i="2"/>
  <c r="D208" i="2"/>
  <c r="E208" i="2"/>
  <c r="P208" i="2"/>
  <c r="D207" i="2"/>
  <c r="E207" i="2"/>
  <c r="P207" i="2"/>
  <c r="D206" i="2"/>
  <c r="E206" i="2"/>
  <c r="P206" i="2"/>
  <c r="D205" i="2"/>
  <c r="E205" i="2"/>
  <c r="P205" i="2"/>
  <c r="J66" i="3"/>
  <c r="D204" i="2"/>
  <c r="E204" i="2"/>
  <c r="P204" i="2"/>
  <c r="D203" i="2"/>
  <c r="E203" i="2"/>
  <c r="P203" i="2"/>
  <c r="D202" i="2"/>
  <c r="E202" i="2"/>
  <c r="P202" i="2"/>
  <c r="D201" i="2"/>
  <c r="E201" i="2"/>
  <c r="P201" i="2"/>
  <c r="A155" i="2"/>
  <c r="D155" i="2"/>
  <c r="E155" i="2"/>
  <c r="P155" i="2"/>
  <c r="A133" i="2"/>
  <c r="D133" i="2"/>
  <c r="E133" i="2"/>
  <c r="P133" i="2"/>
  <c r="A141" i="2"/>
  <c r="D141" i="2"/>
  <c r="E141" i="2"/>
  <c r="P141"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00" i="2"/>
  <c r="E200" i="2"/>
  <c r="P200" i="2"/>
  <c r="D199" i="2"/>
  <c r="E199" i="2"/>
  <c r="P199" i="2"/>
  <c r="D198" i="2"/>
  <c r="E198" i="2"/>
  <c r="P198" i="2"/>
  <c r="D197" i="2"/>
  <c r="E197" i="2"/>
  <c r="P197" i="2"/>
  <c r="D196" i="2"/>
  <c r="E196" i="2"/>
  <c r="P196" i="2"/>
  <c r="D195" i="2"/>
  <c r="E195" i="2"/>
  <c r="P195" i="2"/>
  <c r="D194" i="2"/>
  <c r="E194" i="2"/>
  <c r="P194" i="2"/>
  <c r="D193" i="2"/>
  <c r="E193" i="2"/>
  <c r="D192" i="2"/>
  <c r="E192" i="2"/>
  <c r="P192" i="2"/>
  <c r="D191" i="2"/>
  <c r="E191" i="2"/>
  <c r="P191" i="2"/>
  <c r="D190" i="2"/>
  <c r="E190" i="2"/>
  <c r="P190" i="2"/>
  <c r="D189" i="2"/>
  <c r="E189" i="2"/>
  <c r="P189" i="2"/>
  <c r="D188" i="2"/>
  <c r="E188" i="2"/>
  <c r="P188" i="2"/>
  <c r="D187" i="2"/>
  <c r="E187" i="2"/>
  <c r="P187" i="2"/>
  <c r="D186" i="2"/>
  <c r="E186" i="2"/>
  <c r="P186" i="2"/>
  <c r="A254" i="2" l="1"/>
  <c r="A255" i="2"/>
  <c r="A251" i="2"/>
  <c r="A253" i="2"/>
  <c r="A252" i="2"/>
  <c r="P225" i="2"/>
  <c r="P238" i="2"/>
  <c r="A249" i="2"/>
  <c r="A250" i="2"/>
  <c r="A247" i="2"/>
  <c r="A248" i="2"/>
  <c r="A245" i="2"/>
  <c r="A246" i="2"/>
  <c r="A241" i="2"/>
  <c r="A242" i="2"/>
  <c r="A243" i="2"/>
  <c r="A244" i="2"/>
  <c r="A158" i="2"/>
  <c r="A240" i="2"/>
  <c r="A238" i="2"/>
  <c r="A237" i="2"/>
  <c r="A239" i="2"/>
  <c r="A236" i="2"/>
  <c r="A235" i="2"/>
  <c r="A232" i="2"/>
  <c r="A233" i="2"/>
  <c r="A234" i="2"/>
  <c r="A231" i="2"/>
  <c r="A230" i="2"/>
  <c r="A229" i="2"/>
  <c r="A228" i="2"/>
  <c r="A227" i="2"/>
  <c r="A226" i="2"/>
  <c r="A225" i="2"/>
  <c r="A224" i="2"/>
  <c r="A223" i="2"/>
  <c r="A222" i="2"/>
  <c r="A221" i="2"/>
  <c r="A220" i="2"/>
  <c r="A219" i="2"/>
  <c r="A218" i="2"/>
  <c r="A217" i="2"/>
  <c r="A216" i="2"/>
  <c r="A215" i="2"/>
  <c r="A214" i="2"/>
  <c r="A213" i="2"/>
  <c r="A211" i="2"/>
  <c r="A212" i="2"/>
  <c r="A210" i="2"/>
  <c r="A209" i="2"/>
  <c r="A208" i="2"/>
  <c r="A207" i="2"/>
  <c r="A206" i="2"/>
  <c r="A205" i="2"/>
  <c r="A204" i="2"/>
  <c r="A203" i="2"/>
  <c r="A202" i="2"/>
  <c r="A201" i="2"/>
  <c r="A189" i="2"/>
  <c r="A181" i="2"/>
  <c r="A173" i="2"/>
  <c r="A197" i="2"/>
  <c r="A165" i="2"/>
  <c r="A196" i="2"/>
  <c r="A188" i="2"/>
  <c r="A180" i="2"/>
  <c r="A172" i="2"/>
  <c r="A164" i="2"/>
  <c r="A157" i="2"/>
  <c r="A193" i="2"/>
  <c r="A185" i="2"/>
  <c r="A177" i="2"/>
  <c r="A169" i="2"/>
  <c r="A161" i="2"/>
  <c r="A200" i="2"/>
  <c r="A192" i="2"/>
  <c r="A184" i="2"/>
  <c r="A176" i="2"/>
  <c r="A168" i="2"/>
  <c r="A160" i="2"/>
  <c r="A199" i="2"/>
  <c r="A195" i="2"/>
  <c r="A191" i="2"/>
  <c r="A187" i="2"/>
  <c r="A183" i="2"/>
  <c r="A179" i="2"/>
  <c r="A175" i="2"/>
  <c r="A171" i="2"/>
  <c r="A167" i="2"/>
  <c r="A163" i="2"/>
  <c r="A159" i="2"/>
  <c r="A156" i="2"/>
  <c r="A198" i="2"/>
  <c r="A194" i="2"/>
  <c r="A190" i="2"/>
  <c r="A186" i="2"/>
  <c r="A182" i="2"/>
  <c r="A178" i="2"/>
  <c r="A174" i="2"/>
  <c r="A170" i="2"/>
  <c r="A166" i="2"/>
  <c r="A162" i="2"/>
  <c r="D185" i="2"/>
  <c r="E185" i="2"/>
  <c r="P185" i="2"/>
  <c r="D184" i="2"/>
  <c r="E184" i="2"/>
  <c r="P184"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56" i="2"/>
  <c r="E157" i="2"/>
  <c r="E158" i="2"/>
  <c r="E159" i="2"/>
  <c r="E160" i="2"/>
  <c r="E161" i="2"/>
  <c r="E163" i="2"/>
  <c r="E164" i="2"/>
  <c r="E165" i="2"/>
  <c r="E166" i="2"/>
  <c r="E167" i="2"/>
  <c r="E168" i="2"/>
  <c r="E169" i="2"/>
  <c r="E170" i="2"/>
  <c r="E171" i="2"/>
  <c r="E172" i="2"/>
  <c r="E173" i="2"/>
  <c r="E174" i="2"/>
  <c r="E175" i="2"/>
  <c r="E176" i="2"/>
  <c r="E177" i="2"/>
  <c r="E178" i="2"/>
  <c r="E179" i="2"/>
  <c r="E180" i="2"/>
  <c r="E181" i="2"/>
  <c r="E182" i="2"/>
  <c r="E183" i="2"/>
  <c r="D183" i="2"/>
  <c r="P183" i="2"/>
  <c r="D181" i="2"/>
  <c r="P181" i="2"/>
  <c r="D180" i="2"/>
  <c r="P180"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56" i="2"/>
  <c r="P156" i="2"/>
  <c r="D157" i="2"/>
  <c r="O157" i="2"/>
  <c r="O232" i="2" s="1"/>
  <c r="D158" i="2"/>
  <c r="P158" i="2"/>
  <c r="D159" i="2"/>
  <c r="P159" i="2"/>
  <c r="D160" i="2"/>
  <c r="P160" i="2"/>
  <c r="D161" i="2"/>
  <c r="P161" i="2"/>
  <c r="D162" i="2"/>
  <c r="P162" i="2"/>
  <c r="D163" i="2"/>
  <c r="P163" i="2"/>
  <c r="D164" i="2"/>
  <c r="P164" i="2"/>
  <c r="D165" i="2"/>
  <c r="P165" i="2"/>
  <c r="D166" i="2"/>
  <c r="P166" i="2"/>
  <c r="D167" i="2"/>
  <c r="P167" i="2"/>
  <c r="D168" i="2"/>
  <c r="P168" i="2"/>
  <c r="D169" i="2"/>
  <c r="P169" i="2"/>
  <c r="D170" i="2"/>
  <c r="P170" i="2"/>
  <c r="D171" i="2"/>
  <c r="P171" i="2"/>
  <c r="D172" i="2"/>
  <c r="P172" i="2"/>
  <c r="D173" i="2"/>
  <c r="P173" i="2"/>
  <c r="D174" i="2"/>
  <c r="P174" i="2"/>
  <c r="D175" i="2"/>
  <c r="P175" i="2"/>
  <c r="D176" i="2"/>
  <c r="P176" i="2"/>
  <c r="D177" i="2"/>
  <c r="P177" i="2"/>
  <c r="D178" i="2"/>
  <c r="P178" i="2"/>
  <c r="D179" i="2"/>
  <c r="P179" i="2"/>
  <c r="M8" i="4"/>
  <c r="M7" i="4"/>
  <c r="D6" i="4"/>
  <c r="D9" i="4"/>
  <c r="D8" i="4"/>
  <c r="D7" i="4"/>
  <c r="J307" i="1"/>
  <c r="J310" i="1" s="1"/>
  <c r="L8" i="4" l="1"/>
  <c r="P157" i="2"/>
  <c r="P232"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24" i="2"/>
  <c r="K7" i="4" s="1"/>
  <c r="N7" i="4" s="1"/>
  <c r="R6" i="4" s="1"/>
  <c r="K9" i="4" l="1"/>
  <c r="S6" i="4" l="1"/>
  <c r="N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<sst xmlns="http://schemas.openxmlformats.org/spreadsheetml/2006/main" count="2275" uniqueCount="777">
  <si>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</si>
  <si>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</si>
  <si>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</si>
  <si>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</si>
  <si>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</si>
  <si>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</si>
  <si>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</si>
  <si>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</si>
  <si>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</si>
  <si>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</si>
  <si>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</si>
  <si>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</si>
  <si>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</si>
  <si>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</si>
  <si>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</si>
  <si>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</si>
  <si>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</si>
  <si>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</si>
  <si>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</si>
  <si>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</si>
  <si>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</si>
  <si>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</si>
  <si>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</si>
  <si>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</si>
  <si>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</si>
  <si>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</si>
  <si>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</si>
  <si>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</si>
  <si>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</si>
  <si>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</si>
  <si>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</si>
  <si>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</si>
  <si>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</si>
  <si>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</si>
  <si>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</si>
  <si>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</si>
  <si>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</si>
  <si>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</si>
  <si>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</si>
  <si>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</si>
  <si>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</si>
  <si>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</si>
  <si>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</si>
  <si>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</si>
  <si>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</si>
  <si>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</si>
  <si>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</si>
  <si>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</si>
  <si>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</si>
  <si>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</si>
  <si>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</si>
  <si>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</si>
  <si>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</si>
  <si>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</si>
  <si>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</si>
  <si>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</si>
  <si>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</si>
  <si>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</si>
  <si>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</si>
  <si>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</si>
  <si>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</si>
  <si>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</si>
  <si>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</si>
  <si>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</si>
  <si>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</si>
  <si>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</si>
  <si>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</si>
  <si>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</si>
  <si>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</si>
  <si>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</si>
  <si>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</si>
  <si>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</si>
  <si>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</si>
  <si>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</si>
  <si>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</si>
  <si>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</si>
  <si>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</si>
  <si>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</si>
  <si>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</si>
  <si>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</si>
  <si>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</si>
  <si>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</si>
  <si>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</si>
  <si>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</si>
  <si>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</si>
  <si>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</si>
  <si>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</si>
  <si>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</si>
  <si>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</si>
  <si>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</si>
  <si>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</si>
  <si>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</si>
  <si>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</si>
  <si>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</si>
  <si>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</si>
  <si>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</si>
  <si>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</si>
  <si>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</si>
  <si>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</si>
  <si>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</si>
  <si>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</si>
  <si>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</si>
  <si>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</si>
  <si>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</si>
  <si>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</si>
  <si>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</si>
  <si>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</si>
  <si>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</si>
  <si>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</si>
  <si>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</si>
  <si>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</si>
  <si>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</si>
  <si>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</si>
  <si>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</si>
  <si>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</si>
  <si>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</si>
  <si>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</si>
  <si>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</si>
  <si>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</si>
  <si>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</si>
  <si>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</si>
  <si>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</si>
  <si>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</si>
  <si>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</si>
  <si>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</si>
  <si>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</si>
  <si>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</si>
  <si>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</si>
  <si>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</si>
  <si>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</si>
  <si>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</si>
  <si>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</si>
  <si>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</si>
  <si>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</si>
  <si>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</si>
  <si>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</si>
  <si>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</si>
  <si>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</si>
  <si>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</si>
  <si>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</si>
  <si>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</si>
  <si>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</si>
  <si>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</si>
  <si>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</si>
  <si>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</si>
  <si>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</si>
  <si>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</si>
  <si>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</si>
  <si>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</si>
  <si>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</si>
  <si>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</si>
  <si>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</si>
  <si>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</si>
  <si>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</si>
  <si>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</si>
  <si>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</si>
  <si>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</si>
  <si>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</si>
  <si>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</si>
  <si>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</si>
  <si>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</si>
  <si>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</si>
  <si>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</si>
  <si>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</si>
  <si>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</si>
  <si>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</si>
  <si>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</si>
  <si>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</si>
  <si>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</si>
  <si>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</si>
  <si>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</si>
  <si>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</si>
  <si>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</si>
  <si>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</si>
  <si>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</si>
  <si>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</si>
  <si>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</si>
  <si>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</si>
  <si>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</si>
  <si>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</si>
  <si>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</si>
  <si>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</si>
  <si>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</si>
  <si>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</si>
  <si>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</si>
  <si>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</si>
  <si>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</si>
  <si>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</si>
  <si>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</si>
  <si>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</si>
  <si>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</si>
  <si>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</si>
  <si>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</si>
  <si>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</si>
  <si>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</si>
  <si>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</si>
  <si>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</si>
  <si>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</si>
  <si>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</si>
  <si>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</si>
  <si>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</si>
  <si>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</si>
  <si>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</si>
  <si>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</si>
  <si>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</si>
  <si>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</si>
  <si>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</si>
  <si>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</si>
  <si>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</si>
  <si>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</si>
  <si>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</si>
  <si>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</si>
  <si>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</si>
  <si>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</si>
  <si>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</si>
  <si>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</si>
  <si>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</si>
  <si>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</si>
  <si>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</si>
  <si>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</si>
  <si>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</si>
  <si>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</si>
  <si>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</si>
  <si>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</si>
  <si>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</si>
  <si>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</si>
  <si>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</si>
  <si>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</si>
  <si>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</si>
  <si>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</si>
  <si>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</si>
  <si>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</si>
  <si>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</si>
  <si>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</si>
  <si>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</si>
  <si>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</si>
  <si>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</si>
  <si>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</si>
  <si>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</si>
  <si>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</si>
  <si>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</si>
  <si>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</si>
  <si>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</si>
  <si>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</si>
  <si>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</si>
  <si>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</si>
  <si>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</si>
  <si>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</si>
  <si>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</si>
  <si>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</si>
  <si>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</si>
  <si>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</si>
  <si>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</si>
  <si>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</si>
  <si>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</si>
  <si>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</si>
  <si>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</si>
  <si>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</si>
  <si>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</si>
  <si>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</si>
  <si>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</si>
  <si>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</si>
  <si>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</si>
  <si>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</si>
  <si>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</si>
  <si>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</si>
  <si>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</si>
  <si>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</si>
  <si>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</si>
  <si>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</si>
  <si>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</si>
  <si>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</si>
  <si>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</si>
  <si>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</si>
  <si>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</si>
  <si>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</si>
  <si>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</si>
  <si>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</si>
  <si>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</si>
  <si>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</si>
  <si>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</si>
  <si>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</si>
  <si>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</si>
  <si>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</si>
  <si>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</si>
  <si>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</si>
  <si>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</si>
  <si>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</si>
  <si>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</si>
  <si>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</si>
  <si>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</si>
  <si>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</si>
  <si>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</si>
  <si>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</si>
  <si>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</si>
  <si>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</si>
  <si>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</si>
  <si>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</si>
  <si>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</si>
  <si>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</si>
  <si>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</si>
  <si>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</si>
  <si>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</si>
  <si>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</si>
  <si>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</si>
  <si>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</si>
  <si>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</si>
  <si>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</si>
  <si>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</si>
  <si>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</si>
  <si>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</si>
  <si>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</si>
  <si>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</si>
  <si>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</si>
  <si>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</si>
  <si>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</si>
  <si>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</si>
  <si>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</si>
  <si>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</si>
  <si>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</si>
  <si>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</si>
  <si>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</si>
  <si>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</si>
  <si>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</si>
  <si>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</si>
  <si>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</si>
  <si>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</si>
  <si>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</si>
  <si>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</si>
  <si>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</si>
  <si>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</si>
  <si>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</si>
  <si>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</si>
  <si>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</si>
  <si>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</si>
  <si>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</si>
  <si>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</si>
  <si>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</si>
  <si>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</si>
  <si>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</si>
  <si>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</si>
  <si>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</si>
  <si>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</si>
  <si>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</si>
  <si>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</si>
  <si>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</si>
  <si>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</si>
  <si>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</si>
  <si>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</si>
  <si>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</si>
  <si>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</si>
  <si>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</si>
  <si>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</si>
  <si>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</si>
  <si>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</si>
  <si>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</si>
  <si>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</si>
  <si>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</si>
  <si>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</si>
  <si>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</si>
  <si>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</si>
  <si>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</si>
  <si>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</si>
  <si>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</si>
  <si>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</si>
  <si>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</si>
  <si>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</si>
  <si>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</si>
  <si>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</si>
  <si>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</si>
  <si>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</si>
  <si>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</si>
  <si>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</si>
  <si>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</si>
  <si>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</si>
  <si>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</si>
  <si>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</si>
  <si>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</si>
  <si>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</si>
  <si>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</si>
  <si>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</si>
  <si>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</si>
  <si>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</si>
  <si>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</si>
  <si>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</si>
  <si>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</si>
  <si>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</si>
  <si>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</si>
  <si>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</si>
  <si>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</si>
  <si>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</si>
  <si>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</si>
  <si>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</si>
  <si>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</si>
  <si>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</si>
  <si>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</si>
  <si>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</si>
  <si>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</si>
  <si>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</si>
  <si>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</si>
  <si>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</si>
  <si>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</si>
  <si>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</si>
  <si>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</si>
  <si>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</si>
  <si>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</si>
  <si>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</si>
  <si>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</si>
  <si>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</si>
  <si>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</si>
  <si>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</si>
  <si>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</si>
  <si>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</si>
  <si>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</si>
  <si>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</si>
  <si>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</si>
  <si>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</si>
  <si>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</si>
  <si>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</si>
  <si>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</si>
  <si>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</si>
  <si>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</si>
  <si>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</si>
  <si>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</si>
  <si>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</si>
  <si>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</si>
  <si>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</si>
  <si>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</si>
  <si>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</si>
  <si>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</si>
  <si>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</si>
  <si>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</si>
  <si>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</si>
  <si>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</si>
  <si>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</si>
  <si>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</si>
  <si>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</si>
  <si>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</si>
  <si>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</si>
  <si>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</si>
  <si>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</si>
  <si>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</si>
  <si>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</si>
  <si>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</si>
  <si>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</si>
  <si>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</si>
  <si>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</si>
  <si>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</si>
  <si>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</si>
  <si>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</si>
  <si>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</si>
  <si>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</si>
  <si>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</si>
  <si>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</si>
  <si>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</si>
  <si>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</si>
  <si>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</si>
  <si>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</si>
  <si>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</si>
  <si>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</si>
  <si>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</si>
  <si>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</si>
  <si>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</si>
  <si>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</si>
  <si>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</si>
  <si>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</si>
  <si>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</si>
  <si>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</si>
  <si>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</si>
  <si>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</si>
  <si>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</si>
  <si>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</si>
  <si>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</si>
  <si>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</si>
  <si>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</si>
  <si>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</si>
  <si>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</si>
  <si>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</si>
  <si>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</si>
  <si>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</si>
  <si>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</si>
  <si>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</si>
  <si>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</si>
  <si>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</si>
  <si>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</si>
  <si>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</si>
  <si>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</si>
  <si>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</si>
  <si>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</si>
  <si>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</si>
  <si>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</si>
  <si>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</si>
  <si>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</si>
  <si>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</si>
  <si>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</si>
  <si>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</si>
  <si>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</si>
  <si>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</si>
  <si>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</si>
  <si>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</si>
  <si>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</si>
  <si>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</si>
  <si>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</si>
  <si>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</si>
  <si>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</si>
  <si>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</si>
  <si>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</si>
  <si>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</si>
  <si>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</si>
  <si>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</si>
  <si>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</si>
  <si>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</si>
  <si>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</si>
  <si>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</si>
  <si>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</si>
  <si>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</si>
  <si>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</si>
  <si>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</si>
  <si>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</si>
  <si>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</si>
  <si>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</si>
  <si>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</si>
  <si>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</si>
  <si>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</si>
  <si>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</si>
  <si>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</si>
  <si>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</si>
  <si>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</si>
  <si>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</si>
  <si>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</si>
  <si>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</si>
  <si>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</si>
  <si>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</si>
  <si>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</si>
  <si>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</si>
  <si>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</si>
  <si>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</si>
  <si>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</si>
  <si>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</si>
  <si>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</si>
  <si>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</si>
  <si>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</si>
  <si>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</si>
  <si>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</si>
  <si>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</si>
  <si>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</si>
  <si>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</si>
  <si>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</si>
  <si>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</si>
  <si>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</si>
  <si>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</si>
  <si>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</si>
  <si>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</si>
  <si>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</si>
  <si>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</si>
  <si>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</si>
  <si>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</si>
  <si>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</si>
  <si>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</si>
  <si>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</si>
  <si>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</si>
  <si>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</si>
  <si>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</si>
  <si>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</si>
  <si>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</si>
  <si>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Total Grupo 100</t>
  </si>
  <si>
    <t>Total Grupo 200</t>
  </si>
  <si>
    <t>Total Grupo 300</t>
  </si>
  <si>
    <t>Aplicaciones</t>
  </si>
  <si>
    <t>Total Grupo 400</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</si>
  <si>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</si>
  <si>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</si>
  <si>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</si>
  <si>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</si>
  <si>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</si>
  <si>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</si>
  <si>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</si>
  <si>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</si>
  <si>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</si>
  <si>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</si>
  <si>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</si>
  <si>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</si>
  <si>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</si>
  <si>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</si>
  <si>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</si>
  <si>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</si>
  <si>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</si>
  <si>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</si>
  <si>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</si>
  <si>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</si>
  <si>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</si>
  <si>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</si>
  <si>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</si>
  <si>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</si>
  <si>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</si>
  <si>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</si>
  <si>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</si>
  <si>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</si>
  <si>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</si>
  <si>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</si>
  <si>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</si>
  <si>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</si>
  <si>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</si>
  <si>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</si>
  <si>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</si>
  <si>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</si>
  <si>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</si>
  <si>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</si>
  <si>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</si>
  <si>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</si>
  <si>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</si>
  <si>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</si>
  <si>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</si>
  <si>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</si>
  <si>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</si>
  <si>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</si>
  <si>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</si>
  <si>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</si>
  <si>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</si>
  <si>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</si>
  <si>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</si>
  <si>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</si>
  <si>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</si>
  <si>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</si>
  <si>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</si>
  <si>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</si>
  <si>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</si>
  <si>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</si>
  <si>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</si>
  <si>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</si>
  <si>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</si>
  <si>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</si>
  <si>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</si>
  <si>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</si>
  <si>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</si>
  <si>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</si>
  <si>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</si>
  <si>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</si>
  <si>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</si>
  <si>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</si>
  <si>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</si>
  <si>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</si>
  <si>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</si>
  <si>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</si>
  <si>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</si>
  <si>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</si>
  <si>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</si>
  <si>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</si>
  <si>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</si>
  <si>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</si>
  <si>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</si>
  <si>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</si>
  <si>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</si>
  <si>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</si>
  <si>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</si>
  <si>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</si>
  <si>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Agregado por presupuestos</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</si>
  <si>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</si>
  <si>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</si>
  <si>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</si>
  <si>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</si>
  <si>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</si>
  <si>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</si>
  <si>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</si>
  <si>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</si>
  <si>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</si>
  <si>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</si>
  <si>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</si>
  <si>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</si>
  <si>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</si>
  <si>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</si>
  <si>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</si>
  <si>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</si>
  <si>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</si>
  <si>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</si>
  <si>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</si>
  <si>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</si>
  <si>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</si>
  <si>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</si>
  <si>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</si>
  <si>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</si>
  <si>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</si>
  <si>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</si>
  <si>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</si>
  <si>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</si>
  <si>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</si>
  <si>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</si>
  <si>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</si>
  <si>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</si>
  <si>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</si>
  <si>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</si>
  <si>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</si>
  <si>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</si>
  <si>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</si>
  <si>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</si>
  <si>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</si>
  <si>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</si>
  <si>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</si>
  <si>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</si>
  <si>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</si>
  <si>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</si>
  <si>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</si>
  <si>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</si>
  <si>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</si>
  <si>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</si>
  <si>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</si>
  <si>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</si>
  <si>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</si>
  <si>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</si>
  <si>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</si>
  <si>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</si>
  <si>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</si>
  <si>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</si>
  <si>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</si>
  <si>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</si>
  <si>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</si>
  <si>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</si>
  <si>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</si>
  <si>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</si>
  <si>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</si>
  <si>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</si>
  <si>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</si>
  <si>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</si>
  <si>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</si>
  <si>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</si>
  <si>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</si>
  <si>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</si>
  <si>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</si>
  <si>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</si>
  <si>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</si>
  <si>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</si>
  <si>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</si>
  <si>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</si>
  <si>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</si>
  <si>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Grupo 500</t>
  </si>
  <si>
    <t>Total Grupo 500</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</si>
  <si>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</si>
  <si>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</si>
  <si>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</si>
  <si>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</si>
  <si>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</si>
  <si>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</si>
  <si>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</si>
  <si>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</si>
  <si>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</si>
  <si>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</si>
  <si>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</si>
  <si>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</si>
  <si>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</si>
  <si>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</si>
  <si>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</si>
  <si>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</si>
  <si>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</si>
  <si>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</si>
  <si>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</si>
  <si>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</si>
  <si>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</si>
  <si>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</si>
  <si>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</si>
  <si>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</si>
  <si>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</si>
  <si>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</si>
  <si>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</si>
  <si>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</si>
  <si>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</si>
  <si>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35800 Productos De Material Plastico</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</si>
  <si>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</si>
  <si>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</si>
  <si>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</si>
  <si>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</si>
  <si>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</si>
  <si>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</si>
  <si>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</si>
  <si>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</si>
  <si>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Total 39600 Otros Repuestos Y Accesorios Menores</t>
  </si>
  <si>
    <t>hola</t>
  </si>
  <si>
    <t>adios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</si>
</sst>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dd/mm/yyyy"/>
    <numFmt numFmtId="165" formatCode="_-[$L-480A]* #,##0.00_-;\-[$L-480A]* #,##0.00_-;_-[$L-480A]* &quot;-&quot;??_-;_-@_-"/>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sz val="11"/>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3" xfId="0" applyFill="1" applyBorder="1"/>
    <xf numFmtId="44" fontId="0" fillId="6" borderId="3" xfId="1" applyFont="1" applyFill="1" applyBorder="1"/>
    <xf numFmtId="9" fontId="2" fillId="6" borderId="3" xfId="2" applyFont="1" applyFill="1" applyBorder="1" applyAlignment="1">
      <alignment horizontal="center"/>
    </xf>
    <xf numFmtId="43" fontId="0" fillId="6" borderId="3" xfId="0" applyNumberFormat="1" applyFill="1" applyBorder="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2" fillId="3" borderId="4" xfId="0" applyFont="1" applyFill="1" applyBorder="1"/>
    <xf numFmtId="0" fontId="2" fillId="0" borderId="0" xfId="0" applyFont="1" applyAlignment="1">
      <alignment horizontal="center"/>
    </xf>
    <xf numFmtId="164" fontId="0" fillId="0" borderId="0" xfId="0" applyNumberForma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6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5" xfId="0" applyFont="1" applyFill="1" applyBorder="1" applyAlignment="1">
      <alignment horizontal="center"/>
    </xf>
    <xf numFmtId="44" fontId="8" fillId="3" borderId="5" xfId="1" applyFont="1" applyFill="1" applyBorder="1" applyAlignment="1">
      <alignment horizontal="center"/>
    </xf>
    <xf numFmtId="0" fontId="0" fillId="9" borderId="0" xfId="0" applyFill="1"/>
    <xf numFmtId="44" fontId="0" fillId="9" borderId="0" xfId="0" applyNumberFormat="1" applyFill="1"/>
    <xf numFmtId="0" fontId="0" fillId="9" borderId="6" xfId="0" applyFill="1" applyBorder="1"/>
    <xf numFmtId="0" fontId="0" fillId="9" borderId="7" xfId="0" applyFill="1" applyBorder="1"/>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14" fontId="9" fillId="7" borderId="10" xfId="0" applyNumberFormat="1" applyFont="1" applyFill="1" applyBorder="1" applyAlignment="1">
      <alignment horizontal="center" vertical="center" wrapText="1"/>
    </xf>
    <xf numFmtId="44" fontId="9" fillId="7" borderId="10" xfId="1" applyFont="1" applyFill="1" applyBorder="1" applyAlignment="1">
      <alignment horizontal="center" vertical="center" wrapText="1"/>
    </xf>
    <xf numFmtId="44" fontId="9" fillId="7" borderId="11" xfId="1" applyFont="1" applyFill="1" applyBorder="1" applyAlignment="1">
      <alignment horizontal="center" vertical="center" wrapText="1"/>
    </xf>
    <xf numFmtId="0" fontId="6" fillId="8" borderId="8" xfId="0" applyFont="1" applyFill="1" applyBorder="1" applyAlignment="1">
      <alignment horizontal="center" vertical="center"/>
    </xf>
    <xf numFmtId="0" fontId="2" fillId="0" borderId="3" xfId="0" applyFont="1" applyBorder="1" applyAlignment="1">
      <alignment horizontal="center"/>
    </xf>
    <xf numFmtId="0" fontId="2" fillId="0" borderId="3" xfId="0" applyFont="1" applyBorder="1"/>
    <xf numFmtId="0" fontId="2" fillId="0" borderId="3" xfId="0" applyFont="1" applyBorder="1" applyAlignment="1">
      <alignment horizontal="center" wrapText="1"/>
    </xf>
    <xf numFmtId="0" fontId="2" fillId="0" borderId="3" xfId="0" applyFont="1" applyBorder="1" applyAlignment="1">
      <alignment horizontal="center" vertical="center"/>
    </xf>
    <xf numFmtId="165" fontId="0" fillId="0" borderId="0" xfId="0" applyNumberFormat="1"/>
    <xf numFmtId="9" fontId="0" fillId="4" borderId="0" xfId="2" applyFont="1" applyFill="1"/>
    <xf numFmtId="0" fontId="2" fillId="5" borderId="0" xfId="0" applyFont="1" applyFill="1" applyAlignment="1">
      <alignment horizontal="center"/>
    </xf>
    <xf numFmtId="164" fontId="0" fillId="5" borderId="0" xfId="0" applyNumberFormat="1" applyFill="1" applyAlignment="1">
      <alignment horizontal="center"/>
    </xf>
    <xf numFmtId="0" fontId="9" fillId="8" borderId="4" xfId="0" applyFont="1" applyFill="1" applyBorder="1" applyAlignment="1">
      <alignment horizontal="center"/>
    </xf>
    <xf numFmtId="0" fontId="9" fillId="8" borderId="5" xfId="0" applyFont="1" applyFill="1" applyBorder="1" applyAlignment="1">
      <alignment horizontal="center"/>
    </xf>
    <xf numFmtId="10" fontId="2" fillId="4" borderId="13" xfId="2" applyNumberFormat="1" applyFont="1" applyFill="1" applyBorder="1" applyAlignment="1">
      <alignment horizontal="center"/>
    </xf>
    <xf numFmtId="0" fontId="9" fillId="8" borderId="16" xfId="0" applyFont="1" applyFill="1" applyBorder="1" applyAlignment="1">
      <alignment horizontal="center"/>
    </xf>
    <xf numFmtId="44" fontId="2" fillId="4" borderId="15" xfId="0" applyNumberFormat="1" applyFont="1" applyFill="1" applyBorder="1"/>
    <xf numFmtId="10" fontId="2" fillId="4" borderId="14" xfId="2" applyNumberFormat="1" applyFont="1" applyFill="1" applyBorder="1" applyAlignment="1">
      <alignment horizontal="center"/>
    </xf>
    <xf numFmtId="10" fontId="2" fillId="4" borderId="15" xfId="2" applyNumberFormat="1" applyFont="1" applyFill="1" applyBorder="1" applyAlignment="1">
      <alignment horizontal="center"/>
    </xf>
    <xf numFmtId="44" fontId="2" fillId="4" borderId="14"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13" fillId="0" borderId="0" xfId="0" applyFont="1" applyAlignment="1">
      <alignment horizontal="left" indent="1"/>
    </xf>
    <xf numFmtId="44" fontId="13" fillId="0" borderId="0" xfId="0" applyNumberFormat="1" applyFont="1"/>
    <xf numFmtId="0" fontId="14" fillId="5" borderId="0" xfId="0" applyFont="1" applyFill="1" applyAlignment="1">
      <alignment horizontal="center" vertical="center"/>
    </xf>
    <xf numFmtId="44" fontId="14" fillId="5" borderId="0" xfId="0" applyNumberFormat="1" applyFont="1" applyFill="1"/>
    <xf numFmtId="44" fontId="15" fillId="10" borderId="0" xfId="0" applyNumberFormat="1" applyFont="1" applyFill="1" applyAlignment="1">
      <alignment horizontal="center" vertical="center"/>
    </xf>
    <xf numFmtId="0" fontId="16" fillId="10" borderId="12" xfId="0" applyFont="1" applyFill="1" applyBorder="1"/>
    <xf numFmtId="0" fontId="18" fillId="0" borderId="0" xfId="0" applyFont="1" applyAlignment="1">
      <alignment horizontal="left"/>
    </xf>
    <xf numFmtId="0" fontId="17" fillId="4" borderId="1" xfId="0" applyFont="1" applyFill="1" applyBorder="1" applyAlignment="1">
      <alignment horizontal="left"/>
    </xf>
    <xf numFmtId="44" fontId="17" fillId="4" borderId="1" xfId="0" applyNumberFormat="1" applyFont="1" applyFill="1" applyBorder="1"/>
    <xf numFmtId="0" fontId="13" fillId="0" borderId="0" xfId="0" applyFont="1" applyAlignment="1">
      <alignment horizontal="left"/>
    </xf>
    <xf numFmtId="0" fontId="13" fillId="0" borderId="0" xfId="0" applyFont="1"/>
    <xf numFmtId="0" fontId="13" fillId="0" borderId="0" xfId="0" applyFont="1" applyAlignment="1">
      <alignment horizontal="center"/>
    </xf>
    <xf numFmtId="0" fontId="19" fillId="0" borderId="0" xfId="0" applyFont="1" applyAlignment="1">
      <alignment horizontal="left" indent="1"/>
    </xf>
    <xf numFmtId="0" fontId="20" fillId="0" borderId="0" xfId="0" applyFont="1" applyAlignment="1">
      <alignment horizontal="centerContinuous"/>
    </xf>
    <xf numFmtId="0" fontId="0" fillId="11" borderId="17" xfId="0" applyFill="1" applyBorder="1" applyAlignment="1">
      <alignment horizontal="center" vertical="center"/>
    </xf>
    <xf numFmtId="0" fontId="0" fillId="11" borderId="17" xfId="0" applyFill="1" applyBorder="1" applyAlignment="1">
      <alignment horizontal="left" vertical="center"/>
    </xf>
    <xf numFmtId="0" fontId="0" fillId="2" borderId="17" xfId="0" applyFill="1" applyBorder="1" applyAlignment="1">
      <alignment horizontal="left" vertical="center" wrapText="1"/>
    </xf>
    <xf numFmtId="0" fontId="0" fillId="11" borderId="17" xfId="0" applyFill="1" applyBorder="1" applyAlignment="1">
      <alignment horizontal="left"/>
    </xf>
    <xf numFmtId="0" fontId="0" fillId="11" borderId="17" xfId="0" applyFill="1" applyBorder="1" applyAlignment="1">
      <alignment horizontal="left" wrapText="1"/>
    </xf>
    <xf numFmtId="14" fontId="0" fillId="11" borderId="17" xfId="0" applyNumberFormat="1" applyFill="1" applyBorder="1" applyAlignment="1">
      <alignment horizontal="center"/>
    </xf>
    <xf numFmtId="0" fontId="0" fillId="0" borderId="17" xfId="0" applyBorder="1" applyAlignment="1">
      <alignment horizontal="center" vertical="center"/>
    </xf>
    <xf numFmtId="0" fontId="0" fillId="0" borderId="17" xfId="0" applyBorder="1" applyAlignment="1">
      <alignment horizontal="left" vertical="center"/>
    </xf>
    <xf numFmtId="0" fontId="0" fillId="0" borderId="17" xfId="0" applyBorder="1" applyAlignment="1">
      <alignment horizontal="left"/>
    </xf>
    <xf numFmtId="0" fontId="0" fillId="0" borderId="17" xfId="0" applyBorder="1" applyAlignment="1">
      <alignment horizontal="left" wrapText="1"/>
    </xf>
    <xf numFmtId="14" fontId="0" fillId="0" borderId="17" xfId="0" applyNumberFormat="1" applyBorder="1" applyAlignment="1">
      <alignment horizontal="center"/>
    </xf>
    <xf numFmtId="164" fontId="0" fillId="0" borderId="17" xfId="0" applyNumberFormat="1" applyBorder="1" applyAlignment="1">
      <alignment horizontal="center"/>
    </xf>
    <xf numFmtId="164" fontId="0" fillId="11" borderId="17" xfId="0" applyNumberFormat="1" applyFill="1" applyBorder="1" applyAlignment="1">
      <alignment horizontal="center"/>
    </xf>
    <xf numFmtId="0" fontId="9" fillId="7" borderId="17" xfId="0" applyFont="1" applyFill="1" applyBorder="1" applyAlignment="1">
      <alignment horizontal="center" vertical="center" wrapText="1"/>
    </xf>
    <xf numFmtId="14" fontId="9" fillId="7" borderId="17" xfId="0" applyNumberFormat="1" applyFont="1" applyFill="1" applyBorder="1" applyAlignment="1">
      <alignment horizontal="center" vertical="center" wrapText="1"/>
    </xf>
    <xf numFmtId="0" fontId="0" fillId="0" borderId="0" xfId="0" applyAlignment="1">
      <alignment wrapText="1"/>
    </xf>
    <xf numFmtId="14" fontId="0" fillId="0" borderId="17" xfId="0" applyNumberFormat="1" applyBorder="1" applyAlignment="1">
      <alignment horizontal="center" wrapText="1"/>
    </xf>
    <xf numFmtId="14" fontId="0" fillId="11" borderId="17" xfId="0" applyNumberFormat="1" applyFill="1" applyBorder="1" applyAlignment="1">
      <alignment horizontal="center" wrapText="1"/>
    </xf>
    <xf numFmtId="164" fontId="0" fillId="0" borderId="17" xfId="0" applyNumberFormat="1" applyBorder="1" applyAlignment="1">
      <alignment horizontal="center" wrapText="1"/>
    </xf>
    <xf numFmtId="164" fontId="0" fillId="11" borderId="17" xfId="0" applyNumberFormat="1" applyFill="1" applyBorder="1" applyAlignment="1">
      <alignment horizontal="center" wrapText="1"/>
    </xf>
    <xf numFmtId="0" fontId="13" fillId="0" borderId="0" xfId="0" applyFont="1" applyAlignment="1">
      <alignment horizontal="left" indent="2"/>
    </xf>
    <xf numFmtId="0" fontId="13" fillId="5" borderId="0" xfId="0" applyFont="1" applyFill="1" applyAlignment="1">
      <alignment horizontal="left" indent="1"/>
    </xf>
    <xf numFmtId="44" fontId="13" fillId="5" borderId="0" xfId="0" applyNumberFormat="1" applyFont="1" applyFill="1"/>
    <xf numFmtId="0" fontId="0" fillId="4" borderId="0" xfId="0" applyFill="1" applyAlignment="1">
      <alignment horizontal="center"/>
    </xf>
    <xf numFmtId="0" fontId="0" fillId="4" borderId="18" xfId="0" applyFill="1" applyBorder="1"/>
    <xf numFmtId="0" fontId="0" fillId="4" borderId="19" xfId="0" applyFill="1" applyBorder="1"/>
    <xf numFmtId="0" fontId="0" fillId="4" borderId="20" xfId="0" applyFill="1" applyBorder="1"/>
    <xf numFmtId="0" fontId="0" fillId="4" borderId="21" xfId="0" applyFill="1" applyBorder="1"/>
    <xf numFmtId="0" fontId="3" fillId="4" borderId="0" xfId="0" applyFont="1" applyFill="1"/>
    <xf numFmtId="0" fontId="0" fillId="4" borderId="22" xfId="0" applyFill="1" applyBorder="1"/>
    <xf numFmtId="0" fontId="0" fillId="4" borderId="22" xfId="0" applyFill="1" applyBorder="1" applyAlignment="1">
      <alignment horizontal="center"/>
    </xf>
    <xf numFmtId="44" fontId="0" fillId="0" borderId="0" xfId="1" applyFont="1" applyFill="1" applyBorder="1"/>
    <xf numFmtId="44" fontId="0" fillId="0" borderId="0" xfId="1" applyFont="1" applyBorder="1"/>
    <xf numFmtId="44" fontId="0" fillId="4" borderId="22" xfId="0" applyNumberFormat="1" applyFill="1" applyBorder="1"/>
    <xf numFmtId="0" fontId="2" fillId="0" borderId="0" xfId="0" applyFont="1"/>
    <xf numFmtId="44" fontId="1" fillId="0" borderId="0" xfId="1" applyFont="1" applyBorder="1"/>
    <xf numFmtId="44" fontId="0" fillId="4" borderId="22" xfId="1" applyFont="1" applyFill="1" applyBorder="1"/>
    <xf numFmtId="0" fontId="0" fillId="4" borderId="13" xfId="0" applyFill="1" applyBorder="1"/>
    <xf numFmtId="0" fontId="0" fillId="4" borderId="15" xfId="0" applyFill="1" applyBorder="1"/>
    <xf numFmtId="0" fontId="0" fillId="4" borderId="14"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2" xfId="0" applyNumberFormat="1" applyFont="1" applyFill="1" applyBorder="1"/>
    <xf numFmtId="44" fontId="0" fillId="0" borderId="21"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322">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21"/>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69117735.949455872</c:v>
                </c:pt>
                <c:pt idx="1">
                  <c:v>26702133.925780177</c:v>
                </c:pt>
                <c:pt idx="2">
                  <c:v>28462931.964763954</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70743685.194551155</c:v>
                </c:pt>
                <c:pt idx="1">
                  <c:v>25185597.376585081</c:v>
                </c:pt>
                <c:pt idx="2">
                  <c:v>11723042.227089077</c:v>
                </c:pt>
                <c:pt idx="3">
                  <c:v>133763420.10177468</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ANALISIS!$J$6:$M$6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10000</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189915451.31999999</c:v>
                </c:pt>
                <c:pt idx="1">
                  <c:v>44094786.310000002</c:v>
                </c:pt>
                <c:pt idx="2">
                  <c:v>31918921.57</c:v>
                </c:pt>
                <c:pt idx="3">
                  <c:v>25699434.800000001</c:v>
                </c:pt>
                <c:pt idx="4">
                  <c:v>291628594</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20000</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6726958</c:v>
                </c:pt>
                <c:pt idx="2">
                  <c:v>2607845</c:v>
                </c:pt>
                <c:pt idx="3">
                  <c:v>3543620</c:v>
                </c:pt>
                <c:pt idx="4">
                  <c:v>14276677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30000</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121577769.82135865</c:v>
                </c:pt>
                <c:pt idx="2">
                  <c:v>41088773.705243275</c:v>
                </c:pt>
                <c:pt idx="3">
                  <c:v>18929798.473398078</c:v>
                </c:pt>
                <c:pt idx="4">
                  <c:v>182329105</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40000</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50000</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7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466725</xdr:colOff>
      <xdr:row>13</xdr:row>
      <xdr:rowOff>23812</xdr:rowOff>
    </xdr:from>
    <xdr:to>
      <xdr:col>30</xdr:col>
      <xdr:colOff>123825</xdr:colOff>
      <xdr:row>27</xdr:row>
      <xdr:rowOff>100012</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47.589670949077" createdVersion="8" refreshedVersion="8" minRefreshableVersion="3" recordCount="254" xr:uid="{3BF091BB-69F0-4647-81AC-31417EDB906A}">
  <cacheSource type="worksheet">
    <worksheetSource name="DIARIO"/>
  </cacheSource>
  <cacheFields count="23">
    <cacheField name="# Reg." numFmtId="0">
      <sharedItems containsSemiMixedTypes="0" containsString="0" containsNumber="1" containsInteger="1" minValue="1" maxValue="154"/>
    </cacheField>
    <cacheField name="Tipo de Compra" numFmtId="0">
      <sharedItems containsBlank="1"/>
    </cacheField>
    <cacheField name="Objeto de Gasto" numFmtId="0">
      <sharedItems containsBlank="1" containsMixedTypes="1" containsNumber="1" containsInteger="1" minValue="26210" maxValue="42310" count="130">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n v="27210"/>
        <s v="42510-MALARIA"/>
        <m/>
        <n v="42310"/>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0"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1609807.880000003"/>
    <n v="-41609807.88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0"/>
  </r>
  <r>
    <n v="132"/>
    <m/>
    <x v="8"/>
    <n v="8"/>
    <x v="6"/>
    <m/>
    <s v="Pago de planilla"/>
    <m/>
    <m/>
    <m/>
    <m/>
    <m/>
    <m/>
    <m/>
    <n v="496353.94"/>
    <n v="-496353.94"/>
    <x v="1"/>
    <m/>
    <m/>
    <n v="496353.94"/>
  </r>
  <r>
    <n v="133"/>
    <m/>
    <x v="10"/>
    <n v="9"/>
    <x v="7"/>
    <m/>
    <s v="Pago de planilla"/>
    <m/>
    <m/>
    <m/>
    <m/>
    <m/>
    <m/>
    <m/>
    <n v="10493644.765463065"/>
    <n v="-10493644.765463065"/>
    <x v="1"/>
    <m/>
    <m/>
    <n v="10493644.765463065"/>
  </r>
  <r>
    <n v="134"/>
    <m/>
    <x v="11"/>
    <n v="9"/>
    <x v="7"/>
    <m/>
    <s v="Pago de planilla"/>
    <m/>
    <m/>
    <m/>
    <m/>
    <m/>
    <m/>
    <m/>
    <n v="7057580.6814250154"/>
    <n v="-7057580.6814250154"/>
    <x v="1"/>
    <m/>
    <m/>
    <n v="7057580.6814250154"/>
  </r>
  <r>
    <n v="135"/>
    <m/>
    <x v="12"/>
    <n v="9"/>
    <x v="7"/>
    <m/>
    <s v="Pago de planilla"/>
    <m/>
    <m/>
    <m/>
    <m/>
    <m/>
    <m/>
    <m/>
    <n v="7024261.0235421406"/>
    <n v="-7024261.0235421406"/>
    <x v="1"/>
    <m/>
    <m/>
    <n v="7024261.0235421406"/>
  </r>
  <r>
    <n v="136"/>
    <m/>
    <x v="9"/>
    <n v="9"/>
    <x v="7"/>
    <m/>
    <s v="Pago de planilla"/>
    <m/>
    <m/>
    <m/>
    <m/>
    <m/>
    <m/>
    <m/>
    <n v="7094454.389569778"/>
    <n v="-7094454.389569778"/>
    <x v="1"/>
    <m/>
    <m/>
    <n v="7094454.389569778"/>
  </r>
  <r>
    <n v="137"/>
    <m/>
    <x v="22"/>
    <n v="12"/>
    <x v="10"/>
    <m/>
    <s v="Pago de planilla"/>
    <m/>
    <m/>
    <m/>
    <m/>
    <m/>
    <m/>
    <m/>
    <n v="55648.055386624954"/>
    <n v="-55648.055386624954"/>
    <x v="1"/>
    <m/>
    <m/>
    <n v="55648.055386624954"/>
  </r>
  <r>
    <n v="138"/>
    <m/>
    <x v="23"/>
    <n v="12"/>
    <x v="10"/>
    <m/>
    <s v="Pago de planilla"/>
    <m/>
    <m/>
    <m/>
    <m/>
    <m/>
    <m/>
    <m/>
    <n v="109113.83340165881"/>
    <n v="-109113.83340165881"/>
    <x v="1"/>
    <m/>
    <m/>
    <n v="109113.83340165881"/>
  </r>
  <r>
    <n v="139"/>
    <m/>
    <x v="21"/>
    <n v="12"/>
    <x v="10"/>
    <m/>
    <s v="Pago de planilla"/>
    <m/>
    <m/>
    <m/>
    <m/>
    <m/>
    <m/>
    <m/>
    <n v="26023.571211716226"/>
    <n v="-26023.571211716226"/>
    <x v="1"/>
    <m/>
    <m/>
    <n v="26023.571211716226"/>
  </r>
  <r>
    <n v="140"/>
    <m/>
    <x v="24"/>
    <n v="63"/>
    <x v="11"/>
    <m/>
    <s v="Pago de planilla"/>
    <m/>
    <m/>
    <m/>
    <m/>
    <m/>
    <m/>
    <m/>
    <n v="216792.27"/>
    <n v="-216792.27"/>
    <x v="1"/>
    <m/>
    <m/>
    <n v="216792.27"/>
  </r>
  <r>
    <n v="141"/>
    <m/>
    <x v="30"/>
    <n v="15"/>
    <x v="13"/>
    <m/>
    <s v="Modificaciòn presupuestaria de malaria para reparaciòn de vehiculos en las regiones"/>
    <m/>
    <m/>
    <m/>
    <m/>
    <m/>
    <m/>
    <m/>
    <n v="660000"/>
    <n v="-660000"/>
    <x v="2"/>
    <m/>
    <m/>
    <m/>
  </r>
  <r>
    <n v="142"/>
    <m/>
    <x v="125"/>
    <n v="26"/>
    <x v="54"/>
    <m/>
    <s v="Agregado por presupuestos"/>
    <m/>
    <m/>
    <m/>
    <m/>
    <m/>
    <m/>
    <n v="300000"/>
    <m/>
    <n v="300000"/>
    <x v="2"/>
    <m/>
    <m/>
    <m/>
  </r>
  <r>
    <n v="143"/>
    <m/>
    <x v="78"/>
    <n v="66"/>
    <x v="34"/>
    <m/>
    <s v="Modificación presupuestaria de malaria para adquisición de vehiculos"/>
    <m/>
    <m/>
    <m/>
    <m/>
    <m/>
    <m/>
    <m/>
    <n v="428212"/>
    <n v="-428212"/>
    <x v="2"/>
    <m/>
    <m/>
    <m/>
  </r>
  <r>
    <n v="144"/>
    <m/>
    <x v="80"/>
    <n v="42"/>
    <x v="35"/>
    <m/>
    <s v="Modificación presupuestaria de malaria para adquisición de vehiculos"/>
    <m/>
    <m/>
    <m/>
    <m/>
    <m/>
    <m/>
    <m/>
    <n v="308901"/>
    <n v="-308901"/>
    <x v="2"/>
    <m/>
    <m/>
    <m/>
  </r>
  <r>
    <n v="145"/>
    <m/>
    <x v="83"/>
    <n v="44"/>
    <x v="36"/>
    <m/>
    <s v="Modificación presupuestaria de malaria para adquisición de vehiculos"/>
    <m/>
    <m/>
    <m/>
    <m/>
    <m/>
    <m/>
    <m/>
    <n v="200000"/>
    <n v="-200000"/>
    <x v="2"/>
    <m/>
    <m/>
    <m/>
  </r>
  <r>
    <n v="146"/>
    <m/>
    <x v="113"/>
    <n v="61"/>
    <x v="49"/>
    <m/>
    <s v="Modificación presupuestaria de malaria para adquisición de vehiculos"/>
    <m/>
    <m/>
    <m/>
    <m/>
    <m/>
    <m/>
    <n v="937113"/>
    <m/>
    <n v="937113"/>
    <x v="2"/>
    <m/>
    <m/>
    <m/>
  </r>
  <r>
    <n v="147"/>
    <m/>
    <x v="96"/>
    <n v="49"/>
    <x v="42"/>
    <m/>
    <s v="Modificación realizada por gerencia administrativa para fortalecer  este objeto"/>
    <m/>
    <m/>
    <m/>
    <m/>
    <m/>
    <m/>
    <n v="232334.82135864813"/>
    <m/>
    <n v="232334.82135864813"/>
    <x v="2"/>
    <m/>
    <m/>
    <m/>
  </r>
  <r>
    <n v="148"/>
    <m/>
    <x v="97"/>
    <n v="49"/>
    <x v="42"/>
    <m/>
    <s v="Modificación realizada por gerencia administrativa para fortalecer  este objeto"/>
    <m/>
    <m/>
    <m/>
    <m/>
    <m/>
    <m/>
    <n v="248213.70524327544"/>
    <m/>
    <n v="248213.70524327544"/>
    <x v="2"/>
    <m/>
    <m/>
    <m/>
  </r>
  <r>
    <n v="149"/>
    <m/>
    <x v="98"/>
    <n v="49"/>
    <x v="42"/>
    <m/>
    <s v="Modificación realizada por gerencia administrativa para fortalecer  este objeto"/>
    <m/>
    <m/>
    <m/>
    <m/>
    <m/>
    <m/>
    <n v="189451.47339807643"/>
    <m/>
    <n v="189451.47339807643"/>
    <x v="2"/>
    <m/>
    <m/>
    <m/>
  </r>
  <r>
    <n v="150"/>
    <m/>
    <x v="126"/>
    <n v="68"/>
    <x v="55"/>
    <m/>
    <s v="Modificación para la adquisición de data show y televisores"/>
    <m/>
    <m/>
    <m/>
    <m/>
    <m/>
    <m/>
    <n v="300000"/>
    <m/>
    <n v="300000"/>
    <x v="2"/>
    <m/>
    <m/>
    <m/>
  </r>
  <r>
    <n v="151"/>
    <m/>
    <x v="83"/>
    <n v="44"/>
    <x v="36"/>
    <m/>
    <s v="Modificación para la adquisición de data show y televisores"/>
    <m/>
    <m/>
    <m/>
    <m/>
    <m/>
    <m/>
    <m/>
    <n v="300000"/>
    <n v="-300000"/>
    <x v="2"/>
    <m/>
    <m/>
    <m/>
  </r>
  <r>
    <n v="152"/>
    <m/>
    <x v="45"/>
    <n v="25"/>
    <x v="20"/>
    <m/>
    <s v="Viaticos de la Subsecretaria de Redes Integradas de Servicios de Salud"/>
    <m/>
    <m/>
    <m/>
    <m/>
    <m/>
    <m/>
    <m/>
    <n v="159343.76999999999"/>
    <n v="-159343.76999999999"/>
    <x v="1"/>
    <m/>
    <m/>
    <n v="159343.76999999999"/>
  </r>
  <r>
    <n v="153"/>
    <m/>
    <x v="49"/>
    <n v="65"/>
    <x v="21"/>
    <m/>
    <s v="Pasajes de la Subsecretaria de Redes Integradas de Servicios de Salud"/>
    <m/>
    <m/>
    <m/>
    <m/>
    <m/>
    <m/>
    <m/>
    <n v="37554.769999999997"/>
    <n v="-37554.769999999997"/>
    <x v="1"/>
    <m/>
    <m/>
    <n v="37554.769999999997"/>
  </r>
  <r>
    <n v="154"/>
    <m/>
    <x v="127"/>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37497.20757273514"/>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28503.34085429992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51299.451572964899"/>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28"/>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22942.5"/>
    <n v="-22942.5"/>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19248.059999999998"/>
    <n v="-19248.059999999998"/>
    <x v="1"/>
    <m/>
    <m/>
    <m/>
  </r>
  <r>
    <n v="24"/>
    <s v="Catalago Electrónico"/>
    <x v="62"/>
    <n v="33"/>
    <x v="26"/>
    <s v="Lic. Nimrod"/>
    <s v="Papel Bond Tamaño oficio, carta, Folder carta, Folder Oficio."/>
    <s v="Of. 042-ETNEM-SS-2024"/>
    <d v="2024-02-05T00:00:00"/>
    <s v="Of.056-CNS-SSRISS-2024"/>
    <d v="2024-02-23T00:00:00"/>
    <m/>
    <m/>
    <m/>
    <n v="10810.92"/>
    <n v="-10810.92"/>
    <x v="1"/>
    <m/>
    <m/>
    <n v="3092.1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m/>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m/>
    <m/>
    <m/>
  </r>
  <r>
    <n v="47"/>
    <s v="Compra Menor"/>
    <x v="26"/>
    <n v="14"/>
    <x v="12"/>
    <s v="Lic. Josias"/>
    <s v="Reparación y mejoras de las areas de los laboratorios de VIH, Malaria y TB"/>
    <s v="Of. 370-UVS-2024"/>
    <d v="2024-03-11T00:00:00"/>
    <s v="Of. 110-CNS-SSRISS-2024"/>
    <d v="2024-03-14T00:00:00"/>
    <m/>
    <m/>
    <m/>
    <n v="569656"/>
    <n v="-569656"/>
    <x v="5"/>
    <m/>
    <m/>
    <m/>
  </r>
  <r>
    <n v="48"/>
    <s v="Compra Menor"/>
    <x v="27"/>
    <n v="14"/>
    <x v="12"/>
    <s v="Lic. Josias"/>
    <s v="Reparación y mejoras de las areas de los laboratorios de VIH, Malaria y TB"/>
    <s v="Of. 370-UVS-2024"/>
    <d v="2024-03-11T00:00:00"/>
    <s v="Of. 110-CNS-SSRISS-2024"/>
    <d v="2024-03-14T00:00:00"/>
    <m/>
    <m/>
    <m/>
    <n v="400000"/>
    <n v="-400000"/>
    <x v="5"/>
    <m/>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2192.23"/>
    <n v="-2192.2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m/>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10918871"/>
    <n v="-10918871"/>
    <x v="5"/>
    <m/>
    <s v="Numero de requerimiento,  REQ24-00003243 con un monto de USD 198,645.25 (L 4,906,493.63)"/>
    <m/>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476643.3487819391"/>
    <n v="-3476643.3487819391"/>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811582.8788806982"/>
    <n v="-3811582.8788806982"/>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2851951.9223373625"/>
    <n v="-2851951.9223373625"/>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10918871"/>
    <n v="-1091887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6"/>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m/>
    <x v="127"/>
    <e v="#N/A"/>
    <x v="56"/>
    <m/>
    <m/>
    <m/>
    <m/>
    <m/>
    <m/>
    <m/>
    <m/>
    <m/>
    <m/>
    <n v="0"/>
    <x v="7"/>
    <m/>
    <m/>
    <m/>
  </r>
  <r>
    <n v="97"/>
    <s v="Catalago Electrónico"/>
    <x v="69"/>
    <n v="35"/>
    <x v="28"/>
    <s v="Lic. Josias"/>
    <s v="Llantas para malaria"/>
    <s v="Of. 244-ETNEM-SS-2024"/>
    <d v="2024-05-29T00:00:00"/>
    <s v="Of. 235-CNS-SSRISS-2024"/>
    <d v="2024-05-29T00:00:00"/>
    <m/>
    <m/>
    <m/>
    <n v="209293"/>
    <n v="-209293"/>
    <x v="5"/>
    <m/>
    <m/>
    <m/>
  </r>
  <r>
    <n v="98"/>
    <s v="Catalago Electrónico"/>
    <x v="67"/>
    <n v="35"/>
    <x v="28"/>
    <s v="Lic. Josias"/>
    <s v="Llantas para vehiculo de la coodinación"/>
    <m/>
    <m/>
    <s v="Of. 235-CNS-SSRISS-2024"/>
    <d v="2024-05-29T00:00:00"/>
    <m/>
    <m/>
    <m/>
    <n v="255000"/>
    <n v="-255000"/>
    <x v="5"/>
    <m/>
    <m/>
    <m/>
  </r>
  <r>
    <n v="99"/>
    <s v="Compra Menor"/>
    <x v="30"/>
    <n v="15"/>
    <x v="13"/>
    <s v="Lic. Josias"/>
    <s v="Mantenimiento"/>
    <s v="Of. 210-ETNEM-SS-2024"/>
    <d v="2024-05-03T00:00:00"/>
    <s v="Of. 236-CNS-SSRISS-2024"/>
    <d v="2024-05-23T00:00:00"/>
    <m/>
    <m/>
    <m/>
    <n v="49780"/>
    <n v="-49780"/>
    <x v="5"/>
    <m/>
    <m/>
    <m/>
  </r>
  <r>
    <n v="100"/>
    <s v="Catalago Electrónico"/>
    <x v="105"/>
    <n v="52"/>
    <x v="45"/>
    <s v="Lic. Josias"/>
    <s v="Tintas, mouse y USB"/>
    <m/>
    <m/>
    <s v="Of. 257-CNS-SSRISS-2024"/>
    <d v="2024-06-03T00:00:00"/>
    <m/>
    <m/>
    <m/>
    <n v="296653.5"/>
    <n v="-296653.5"/>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5" firstHeaderRow="1" firstDataRow="2" firstDataCol="1"/>
  <pivotFields count="23">
    <pivotField subtotalTop="0" showAll="0"/>
    <pivotField subtotalTop="0" showAll="0"/>
    <pivotField axis="axisRow" subtotalTop="0"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 x="2"/>
        <item n="Grupo 200" x="3"/>
        <item n="Grupo 300" x="4"/>
        <item n="Grupo 400" x="5"/>
        <item n="Grupo 500" x="0"/>
        <item h="1" x="1"/>
        <item t="default"/>
      </items>
    </pivotField>
  </pivotFields>
  <rowFields count="3">
    <field x="22"/>
    <field x="4"/>
    <field x="2"/>
  </rowFields>
  <rowItems count="72">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16">
    <format dxfId="287">
      <pivotArea field="4" grandCol="1" collapsedLevelsAreSubtotals="1" axis="axisRow" fieldPosition="1">
        <references count="1">
          <reference field="4" count="1">
            <x v="0"/>
          </reference>
        </references>
      </pivotArea>
    </format>
    <format dxfId="286">
      <pivotArea field="4" grandCol="1" collapsedLevelsAreSubtotals="1" axis="axisRow" fieldPosition="1">
        <references count="1">
          <reference field="4" count="1">
            <x v="1"/>
          </reference>
        </references>
      </pivotArea>
    </format>
    <format dxfId="285">
      <pivotArea field="4" grandCol="1" collapsedLevelsAreSubtotals="1" axis="axisRow" fieldPosition="1">
        <references count="1">
          <reference field="4" count="1">
            <x v="2"/>
          </reference>
        </references>
      </pivotArea>
    </format>
    <format dxfId="284">
      <pivotArea field="4" grandCol="1" collapsedLevelsAreSubtotals="1" axis="axisRow" fieldPosition="1">
        <references count="1">
          <reference field="4" count="1">
            <x v="3"/>
          </reference>
        </references>
      </pivotArea>
    </format>
    <format dxfId="283">
      <pivotArea field="4" grandCol="1" collapsedLevelsAreSubtotals="1" axis="axisRow" fieldPosition="1">
        <references count="1">
          <reference field="4" count="1">
            <x v="4"/>
          </reference>
        </references>
      </pivotArea>
    </format>
    <format dxfId="282">
      <pivotArea field="4" grandCol="1" collapsedLevelsAreSubtotals="1" axis="axisRow" fieldPosition="1">
        <references count="1">
          <reference field="4" count="1">
            <x v="5"/>
          </reference>
        </references>
      </pivotArea>
    </format>
    <format dxfId="281">
      <pivotArea field="4" grandCol="1" collapsedLevelsAreSubtotals="1" axis="axisRow" fieldPosition="1">
        <references count="1">
          <reference field="4" count="1">
            <x v="6"/>
          </reference>
        </references>
      </pivotArea>
    </format>
    <format dxfId="280">
      <pivotArea field="4" grandCol="1" collapsedLevelsAreSubtotals="1" axis="axisRow" fieldPosition="1">
        <references count="1">
          <reference field="4" count="1">
            <x v="7"/>
          </reference>
        </references>
      </pivotArea>
    </format>
    <format dxfId="279">
      <pivotArea field="4" grandCol="1" collapsedLevelsAreSubtotals="1" axis="axisRow" fieldPosition="1">
        <references count="1">
          <reference field="4" count="1">
            <x v="8"/>
          </reference>
        </references>
      </pivotArea>
    </format>
    <format dxfId="278">
      <pivotArea field="4" grandCol="1" collapsedLevelsAreSubtotals="1" axis="axisRow" fieldPosition="1">
        <references count="1">
          <reference field="4" count="1">
            <x v="9"/>
          </reference>
        </references>
      </pivotArea>
    </format>
    <format dxfId="277">
      <pivotArea field="4" grandCol="1" collapsedLevelsAreSubtotals="1" axis="axisRow" fieldPosition="1">
        <references count="1">
          <reference field="4" count="1">
            <x v="10"/>
          </reference>
        </references>
      </pivotArea>
    </format>
    <format dxfId="276">
      <pivotArea field="4" grandCol="1" collapsedLevelsAreSubtotals="1" axis="axisRow" fieldPosition="1">
        <references count="1">
          <reference field="4" count="1">
            <x v="11"/>
          </reference>
        </references>
      </pivotArea>
    </format>
    <format dxfId="275">
      <pivotArea field="4" grandCol="1" collapsedLevelsAreSubtotals="1" axis="axisRow" fieldPosition="1">
        <references count="1">
          <reference field="4" count="1">
            <x v="12"/>
          </reference>
        </references>
      </pivotArea>
    </format>
    <format dxfId="274">
      <pivotArea field="4" grandCol="1" collapsedLevelsAreSubtotals="1" axis="axisRow" fieldPosition="1">
        <references count="1">
          <reference field="4" count="1">
            <x v="13"/>
          </reference>
        </references>
      </pivotArea>
    </format>
    <format dxfId="273">
      <pivotArea field="4" grandCol="1" collapsedLevelsAreSubtotals="1" axis="axisRow" fieldPosition="1">
        <references count="1">
          <reference field="4" count="1">
            <x v="14"/>
          </reference>
        </references>
      </pivotArea>
    </format>
    <format dxfId="272">
      <pivotArea field="4" grandCol="1" collapsedLevelsAreSubtotals="1" axis="axisRow" fieldPosition="1">
        <references count="1">
          <reference field="4" count="1">
            <x v="15"/>
          </reference>
        </references>
      </pivotArea>
    </format>
    <format dxfId="271">
      <pivotArea field="4" grandCol="1" collapsedLevelsAreSubtotals="1" axis="axisRow" fieldPosition="1">
        <references count="1">
          <reference field="4" count="1">
            <x v="16"/>
          </reference>
        </references>
      </pivotArea>
    </format>
    <format dxfId="270">
      <pivotArea field="4" grandCol="1" collapsedLevelsAreSubtotals="1" axis="axisRow" fieldPosition="1">
        <references count="1">
          <reference field="4" count="1">
            <x v="17"/>
          </reference>
        </references>
      </pivotArea>
    </format>
    <format dxfId="269">
      <pivotArea field="4" grandCol="1" collapsedLevelsAreSubtotals="1" axis="axisRow" fieldPosition="1">
        <references count="1">
          <reference field="4" count="1">
            <x v="18"/>
          </reference>
        </references>
      </pivotArea>
    </format>
    <format dxfId="268">
      <pivotArea field="4" grandCol="1" collapsedLevelsAreSubtotals="1" axis="axisRow" fieldPosition="1">
        <references count="1">
          <reference field="4" count="1">
            <x v="19"/>
          </reference>
        </references>
      </pivotArea>
    </format>
    <format dxfId="267">
      <pivotArea field="4" grandCol="1" collapsedLevelsAreSubtotals="1" axis="axisRow" fieldPosition="1">
        <references count="1">
          <reference field="4" count="1">
            <x v="20"/>
          </reference>
        </references>
      </pivotArea>
    </format>
    <format dxfId="266">
      <pivotArea field="4" grandCol="1" collapsedLevelsAreSubtotals="1" axis="axisRow" fieldPosition="1">
        <references count="1">
          <reference field="4" count="1">
            <x v="21"/>
          </reference>
        </references>
      </pivotArea>
    </format>
    <format dxfId="265">
      <pivotArea field="4" grandCol="1" collapsedLevelsAreSubtotals="1" axis="axisRow" fieldPosition="1">
        <references count="1">
          <reference field="4" count="1">
            <x v="23"/>
          </reference>
        </references>
      </pivotArea>
    </format>
    <format dxfId="264">
      <pivotArea field="4" grandCol="1" collapsedLevelsAreSubtotals="1" axis="axisRow" fieldPosition="1">
        <references count="1">
          <reference field="4" count="1">
            <x v="24"/>
          </reference>
        </references>
      </pivotArea>
    </format>
    <format dxfId="263">
      <pivotArea field="4" grandCol="1" collapsedLevelsAreSubtotals="1" axis="axisRow" fieldPosition="1">
        <references count="1">
          <reference field="4" count="1">
            <x v="25"/>
          </reference>
        </references>
      </pivotArea>
    </format>
    <format dxfId="262">
      <pivotArea field="4" grandCol="1" collapsedLevelsAreSubtotals="1" axis="axisRow" fieldPosition="1">
        <references count="1">
          <reference field="4" count="1">
            <x v="26"/>
          </reference>
        </references>
      </pivotArea>
    </format>
    <format dxfId="261">
      <pivotArea field="4" grandCol="1" collapsedLevelsAreSubtotals="1" axis="axisRow" fieldPosition="1">
        <references count="1">
          <reference field="4" count="1">
            <x v="27"/>
          </reference>
        </references>
      </pivotArea>
    </format>
    <format dxfId="260">
      <pivotArea field="4" grandCol="1" collapsedLevelsAreSubtotals="1" axis="axisRow" fieldPosition="1">
        <references count="1">
          <reference field="4" count="1">
            <x v="28"/>
          </reference>
        </references>
      </pivotArea>
    </format>
    <format dxfId="259">
      <pivotArea field="4" grandCol="1" collapsedLevelsAreSubtotals="1" axis="axisRow" fieldPosition="1">
        <references count="1">
          <reference field="4" count="1">
            <x v="29"/>
          </reference>
        </references>
      </pivotArea>
    </format>
    <format dxfId="258">
      <pivotArea field="4" grandCol="1" collapsedLevelsAreSubtotals="1" axis="axisRow" fieldPosition="1">
        <references count="1">
          <reference field="4" count="1">
            <x v="30"/>
          </reference>
        </references>
      </pivotArea>
    </format>
    <format dxfId="257">
      <pivotArea field="4" grandCol="1" collapsedLevelsAreSubtotals="1" axis="axisRow" fieldPosition="1">
        <references count="1">
          <reference field="4" count="1">
            <x v="31"/>
          </reference>
        </references>
      </pivotArea>
    </format>
    <format dxfId="256">
      <pivotArea field="4" grandCol="1" collapsedLevelsAreSubtotals="1" axis="axisRow" fieldPosition="1">
        <references count="1">
          <reference field="4" count="1">
            <x v="32"/>
          </reference>
        </references>
      </pivotArea>
    </format>
    <format dxfId="255">
      <pivotArea field="4" grandCol="1" collapsedLevelsAreSubtotals="1" axis="axisRow" fieldPosition="1">
        <references count="1">
          <reference field="4" count="1">
            <x v="33"/>
          </reference>
        </references>
      </pivotArea>
    </format>
    <format dxfId="254">
      <pivotArea collapsedLevelsAreSubtotals="1" fieldPosition="0">
        <references count="2">
          <reference field="4" count="1">
            <x v="34"/>
          </reference>
          <reference field="16" count="1" selected="0">
            <x v="0"/>
          </reference>
        </references>
      </pivotArea>
    </format>
    <format dxfId="253">
      <pivotArea field="4" grandCol="1" collapsedLevelsAreSubtotals="1" axis="axisRow" fieldPosition="1">
        <references count="1">
          <reference field="4" count="1">
            <x v="34"/>
          </reference>
        </references>
      </pivotArea>
    </format>
    <format dxfId="252">
      <pivotArea collapsedLevelsAreSubtotals="1" fieldPosition="0">
        <references count="2">
          <reference field="4" count="1">
            <x v="35"/>
          </reference>
          <reference field="16" count="1" selected="0">
            <x v="0"/>
          </reference>
        </references>
      </pivotArea>
    </format>
    <format dxfId="251">
      <pivotArea field="4" grandCol="1" collapsedLevelsAreSubtotals="1" axis="axisRow" fieldPosition="1">
        <references count="1">
          <reference field="4" count="1">
            <x v="35"/>
          </reference>
        </references>
      </pivotArea>
    </format>
    <format dxfId="250">
      <pivotArea collapsedLevelsAreSubtotals="1" fieldPosition="0">
        <references count="2">
          <reference field="4" count="1">
            <x v="36"/>
          </reference>
          <reference field="16" count="1" selected="0">
            <x v="0"/>
          </reference>
        </references>
      </pivotArea>
    </format>
    <format dxfId="249">
      <pivotArea field="4" grandCol="1" collapsedLevelsAreSubtotals="1" axis="axisRow" fieldPosition="1">
        <references count="1">
          <reference field="4" count="1">
            <x v="36"/>
          </reference>
        </references>
      </pivotArea>
    </format>
    <format dxfId="248">
      <pivotArea collapsedLevelsAreSubtotals="1" fieldPosition="0">
        <references count="2">
          <reference field="4" count="1">
            <x v="37"/>
          </reference>
          <reference field="16" count="1" selected="0">
            <x v="0"/>
          </reference>
        </references>
      </pivotArea>
    </format>
    <format dxfId="247">
      <pivotArea field="4" grandCol="1" collapsedLevelsAreSubtotals="1" axis="axisRow" fieldPosition="1">
        <references count="1">
          <reference field="4" count="1">
            <x v="37"/>
          </reference>
        </references>
      </pivotArea>
    </format>
    <format dxfId="246">
      <pivotArea collapsedLevelsAreSubtotals="1" fieldPosition="0">
        <references count="2">
          <reference field="4" count="1">
            <x v="38"/>
          </reference>
          <reference field="16" count="1" selected="0">
            <x v="0"/>
          </reference>
        </references>
      </pivotArea>
    </format>
    <format dxfId="245">
      <pivotArea field="4" grandCol="1" collapsedLevelsAreSubtotals="1" axis="axisRow" fieldPosition="1">
        <references count="1">
          <reference field="4" count="1">
            <x v="38"/>
          </reference>
        </references>
      </pivotArea>
    </format>
    <format dxfId="244">
      <pivotArea collapsedLevelsAreSubtotals="1" fieldPosition="0">
        <references count="2">
          <reference field="4" count="1">
            <x v="39"/>
          </reference>
          <reference field="16" count="1" selected="0">
            <x v="0"/>
          </reference>
        </references>
      </pivotArea>
    </format>
    <format dxfId="243">
      <pivotArea field="4" grandCol="1" collapsedLevelsAreSubtotals="1" axis="axisRow" fieldPosition="1">
        <references count="1">
          <reference field="4" count="1">
            <x v="39"/>
          </reference>
        </references>
      </pivotArea>
    </format>
    <format dxfId="242">
      <pivotArea collapsedLevelsAreSubtotals="1" fieldPosition="0">
        <references count="2">
          <reference field="4" count="1">
            <x v="40"/>
          </reference>
          <reference field="16" count="1" selected="0">
            <x v="0"/>
          </reference>
        </references>
      </pivotArea>
    </format>
    <format dxfId="241">
      <pivotArea field="4" grandCol="1" collapsedLevelsAreSubtotals="1" axis="axisRow" fieldPosition="1">
        <references count="1">
          <reference field="4" count="1">
            <x v="40"/>
          </reference>
        </references>
      </pivotArea>
    </format>
    <format dxfId="240">
      <pivotArea collapsedLevelsAreSubtotals="1" fieldPosition="0">
        <references count="2">
          <reference field="4" count="1">
            <x v="41"/>
          </reference>
          <reference field="16" count="1" selected="0">
            <x v="0"/>
          </reference>
        </references>
      </pivotArea>
    </format>
    <format dxfId="239">
      <pivotArea field="4" grandCol="1" collapsedLevelsAreSubtotals="1" axis="axisRow" fieldPosition="1">
        <references count="1">
          <reference field="4" count="1">
            <x v="41"/>
          </reference>
        </references>
      </pivotArea>
    </format>
    <format dxfId="238">
      <pivotArea collapsedLevelsAreSubtotals="1" fieldPosition="0">
        <references count="2">
          <reference field="4" count="1">
            <x v="42"/>
          </reference>
          <reference field="16" count="1" selected="0">
            <x v="0"/>
          </reference>
        </references>
      </pivotArea>
    </format>
    <format dxfId="237">
      <pivotArea field="4" grandCol="1" collapsedLevelsAreSubtotals="1" axis="axisRow" fieldPosition="1">
        <references count="1">
          <reference field="4" count="1">
            <x v="42"/>
          </reference>
        </references>
      </pivotArea>
    </format>
    <format dxfId="236">
      <pivotArea collapsedLevelsAreSubtotals="1" fieldPosition="0">
        <references count="2">
          <reference field="4" count="1">
            <x v="43"/>
          </reference>
          <reference field="16" count="1" selected="0">
            <x v="0"/>
          </reference>
        </references>
      </pivotArea>
    </format>
    <format dxfId="235">
      <pivotArea field="4" grandCol="1" collapsedLevelsAreSubtotals="1" axis="axisRow" fieldPosition="1">
        <references count="1">
          <reference field="4" count="1">
            <x v="43"/>
          </reference>
        </references>
      </pivotArea>
    </format>
    <format dxfId="234">
      <pivotArea collapsedLevelsAreSubtotals="1" fieldPosition="0">
        <references count="2">
          <reference field="4" count="1">
            <x v="44"/>
          </reference>
          <reference field="16" count="1" selected="0">
            <x v="0"/>
          </reference>
        </references>
      </pivotArea>
    </format>
    <format dxfId="233">
      <pivotArea field="4" grandCol="1" collapsedLevelsAreSubtotals="1" axis="axisRow" fieldPosition="1">
        <references count="1">
          <reference field="4" count="1">
            <x v="44"/>
          </reference>
        </references>
      </pivotArea>
    </format>
    <format dxfId="232">
      <pivotArea collapsedLevelsAreSubtotals="1" fieldPosition="0">
        <references count="2">
          <reference field="4" count="1">
            <x v="45"/>
          </reference>
          <reference field="16" count="1" selected="0">
            <x v="0"/>
          </reference>
        </references>
      </pivotArea>
    </format>
    <format dxfId="231">
      <pivotArea field="4" grandCol="1" collapsedLevelsAreSubtotals="1" axis="axisRow" fieldPosition="1">
        <references count="1">
          <reference field="4" count="1">
            <x v="45"/>
          </reference>
        </references>
      </pivotArea>
    </format>
    <format dxfId="230">
      <pivotArea collapsedLevelsAreSubtotals="1" fieldPosition="0">
        <references count="2">
          <reference field="4" count="1">
            <x v="46"/>
          </reference>
          <reference field="16" count="1" selected="0">
            <x v="0"/>
          </reference>
        </references>
      </pivotArea>
    </format>
    <format dxfId="229">
      <pivotArea field="4" grandCol="1" collapsedLevelsAreSubtotals="1" axis="axisRow" fieldPosition="1">
        <references count="1">
          <reference field="4" count="1">
            <x v="46"/>
          </reference>
        </references>
      </pivotArea>
    </format>
    <format dxfId="228">
      <pivotArea collapsedLevelsAreSubtotals="1" fieldPosition="0">
        <references count="2">
          <reference field="4" count="1">
            <x v="47"/>
          </reference>
          <reference field="16" count="1" selected="0">
            <x v="0"/>
          </reference>
        </references>
      </pivotArea>
    </format>
    <format dxfId="227">
      <pivotArea field="4" grandCol="1" collapsedLevelsAreSubtotals="1" axis="axisRow" fieldPosition="1">
        <references count="1">
          <reference field="4" count="1">
            <x v="47"/>
          </reference>
        </references>
      </pivotArea>
    </format>
    <format dxfId="226">
      <pivotArea collapsedLevelsAreSubtotals="1" fieldPosition="0">
        <references count="2">
          <reference field="4" count="1">
            <x v="48"/>
          </reference>
          <reference field="16" count="1" selected="0">
            <x v="0"/>
          </reference>
        </references>
      </pivotArea>
    </format>
    <format dxfId="225">
      <pivotArea field="4" grandCol="1" collapsedLevelsAreSubtotals="1" axis="axisRow" fieldPosition="1">
        <references count="1">
          <reference field="4" count="1">
            <x v="48"/>
          </reference>
        </references>
      </pivotArea>
    </format>
    <format dxfId="224">
      <pivotArea collapsedLevelsAreSubtotals="1" fieldPosition="0">
        <references count="2">
          <reference field="4" count="1">
            <x v="49"/>
          </reference>
          <reference field="16" count="1" selected="0">
            <x v="0"/>
          </reference>
        </references>
      </pivotArea>
    </format>
    <format dxfId="223">
      <pivotArea field="4" grandCol="1" collapsedLevelsAreSubtotals="1" axis="axisRow" fieldPosition="1">
        <references count="1">
          <reference field="4" count="1">
            <x v="49"/>
          </reference>
        </references>
      </pivotArea>
    </format>
    <format dxfId="222">
      <pivotArea collapsedLevelsAreSubtotals="1" fieldPosition="0">
        <references count="2">
          <reference field="4" count="1">
            <x v="50"/>
          </reference>
          <reference field="16" count="1" selected="0">
            <x v="0"/>
          </reference>
        </references>
      </pivotArea>
    </format>
    <format dxfId="221">
      <pivotArea field="4" grandCol="1" collapsedLevelsAreSubtotals="1" axis="axisRow" fieldPosition="1">
        <references count="1">
          <reference field="4" count="1">
            <x v="50"/>
          </reference>
        </references>
      </pivotArea>
    </format>
    <format dxfId="220">
      <pivotArea collapsedLevelsAreSubtotals="1" fieldPosition="0">
        <references count="2">
          <reference field="4" count="1">
            <x v="51"/>
          </reference>
          <reference field="16" count="1" selected="0">
            <x v="0"/>
          </reference>
        </references>
      </pivotArea>
    </format>
    <format dxfId="219">
      <pivotArea field="4" grandCol="1" collapsedLevelsAreSubtotals="1" axis="axisRow" fieldPosition="1">
        <references count="1">
          <reference field="4" count="1">
            <x v="51"/>
          </reference>
        </references>
      </pivotArea>
    </format>
    <format dxfId="218">
      <pivotArea collapsedLevelsAreSubtotals="1" fieldPosition="0">
        <references count="2">
          <reference field="4" count="1">
            <x v="53"/>
          </reference>
          <reference field="16" count="1" selected="0">
            <x v="0"/>
          </reference>
        </references>
      </pivotArea>
    </format>
    <format dxfId="217">
      <pivotArea field="4" grandCol="1" collapsedLevelsAreSubtotals="1" axis="axisRow" fieldPosition="1">
        <references count="1">
          <reference field="4" count="1">
            <x v="53"/>
          </reference>
        </references>
      </pivotArea>
    </format>
    <format dxfId="216">
      <pivotArea collapsedLevelsAreSubtotals="1" fieldPosition="0">
        <references count="2">
          <reference field="4" count="1">
            <x v="54"/>
          </reference>
          <reference field="16" count="1" selected="0">
            <x v="0"/>
          </reference>
        </references>
      </pivotArea>
    </format>
    <format dxfId="215">
      <pivotArea field="4" grandCol="1" collapsedLevelsAreSubtotals="1" axis="axisRow" fieldPosition="1">
        <references count="1">
          <reference field="4" count="1">
            <x v="54"/>
          </reference>
        </references>
      </pivotArea>
    </format>
    <format dxfId="214">
      <pivotArea collapsedLevelsAreSubtotals="1" fieldPosition="0">
        <references count="2">
          <reference field="4" count="1">
            <x v="55"/>
          </reference>
          <reference field="16" count="1" selected="0">
            <x v="0"/>
          </reference>
        </references>
      </pivotArea>
    </format>
    <format dxfId="213">
      <pivotArea field="4" grandCol="1" collapsedLevelsAreSubtotals="1" axis="axisRow" fieldPosition="1">
        <references count="1">
          <reference field="4" count="1">
            <x v="55"/>
          </reference>
        </references>
      </pivotArea>
    </format>
    <format dxfId="212">
      <pivotArea collapsedLevelsAreSubtotals="1" fieldPosition="0">
        <references count="1">
          <reference field="4" count="1">
            <x v="0"/>
          </reference>
        </references>
      </pivotArea>
    </format>
    <format dxfId="211">
      <pivotArea collapsedLevelsAreSubtotals="1" fieldPosition="0">
        <references count="1">
          <reference field="4" count="1">
            <x v="1"/>
          </reference>
        </references>
      </pivotArea>
    </format>
    <format dxfId="210">
      <pivotArea collapsedLevelsAreSubtotals="1" fieldPosition="0">
        <references count="1">
          <reference field="4" count="1">
            <x v="2"/>
          </reference>
        </references>
      </pivotArea>
    </format>
    <format dxfId="209">
      <pivotArea collapsedLevelsAreSubtotals="1" fieldPosition="0">
        <references count="1">
          <reference field="4" count="1">
            <x v="3"/>
          </reference>
        </references>
      </pivotArea>
    </format>
    <format dxfId="208">
      <pivotArea collapsedLevelsAreSubtotals="1" fieldPosition="0">
        <references count="1">
          <reference field="4" count="1">
            <x v="4"/>
          </reference>
        </references>
      </pivotArea>
    </format>
    <format dxfId="207">
      <pivotArea collapsedLevelsAreSubtotals="1" fieldPosition="0">
        <references count="1">
          <reference field="4" count="1">
            <x v="5"/>
          </reference>
        </references>
      </pivotArea>
    </format>
    <format dxfId="206">
      <pivotArea collapsedLevelsAreSubtotals="1" fieldPosition="0">
        <references count="1">
          <reference field="4" count="1">
            <x v="6"/>
          </reference>
        </references>
      </pivotArea>
    </format>
    <format dxfId="205">
      <pivotArea collapsedLevelsAreSubtotals="1" fieldPosition="0">
        <references count="1">
          <reference field="4" count="1">
            <x v="7"/>
          </reference>
        </references>
      </pivotArea>
    </format>
    <format dxfId="204">
      <pivotArea collapsedLevelsAreSubtotals="1" fieldPosition="0">
        <references count="1">
          <reference field="4" count="1">
            <x v="8"/>
          </reference>
        </references>
      </pivotArea>
    </format>
    <format dxfId="203">
      <pivotArea collapsedLevelsAreSubtotals="1" fieldPosition="0">
        <references count="1">
          <reference field="4" count="1">
            <x v="9"/>
          </reference>
        </references>
      </pivotArea>
    </format>
    <format dxfId="202">
      <pivotArea collapsedLevelsAreSubtotals="1" fieldPosition="0">
        <references count="1">
          <reference field="4" count="1">
            <x v="10"/>
          </reference>
        </references>
      </pivotArea>
    </format>
    <format dxfId="201">
      <pivotArea collapsedLevelsAreSubtotals="1" fieldPosition="0">
        <references count="1">
          <reference field="4" count="1">
            <x v="11"/>
          </reference>
        </references>
      </pivotArea>
    </format>
    <format dxfId="200">
      <pivotArea collapsedLevelsAreSubtotals="1" fieldPosition="0">
        <references count="1">
          <reference field="4" count="1">
            <x v="12"/>
          </reference>
        </references>
      </pivotArea>
    </format>
    <format dxfId="199">
      <pivotArea collapsedLevelsAreSubtotals="1" fieldPosition="0">
        <references count="1">
          <reference field="4" count="1">
            <x v="13"/>
          </reference>
        </references>
      </pivotArea>
    </format>
    <format dxfId="198">
      <pivotArea collapsedLevelsAreSubtotals="1" fieldPosition="0">
        <references count="1">
          <reference field="4" count="1">
            <x v="14"/>
          </reference>
        </references>
      </pivotArea>
    </format>
    <format dxfId="197">
      <pivotArea collapsedLevelsAreSubtotals="1" fieldPosition="0">
        <references count="1">
          <reference field="4" count="1">
            <x v="15"/>
          </reference>
        </references>
      </pivotArea>
    </format>
    <format dxfId="196">
      <pivotArea collapsedLevelsAreSubtotals="1" fieldPosition="0">
        <references count="1">
          <reference field="4" count="1">
            <x v="16"/>
          </reference>
        </references>
      </pivotArea>
    </format>
    <format dxfId="195">
      <pivotArea collapsedLevelsAreSubtotals="1" fieldPosition="0">
        <references count="1">
          <reference field="4" count="1">
            <x v="17"/>
          </reference>
        </references>
      </pivotArea>
    </format>
    <format dxfId="194">
      <pivotArea collapsedLevelsAreSubtotals="1" fieldPosition="0">
        <references count="1">
          <reference field="4" count="1">
            <x v="18"/>
          </reference>
        </references>
      </pivotArea>
    </format>
    <format dxfId="193">
      <pivotArea collapsedLevelsAreSubtotals="1" fieldPosition="0">
        <references count="1">
          <reference field="4" count="1">
            <x v="19"/>
          </reference>
        </references>
      </pivotArea>
    </format>
    <format dxfId="192">
      <pivotArea collapsedLevelsAreSubtotals="1" fieldPosition="0">
        <references count="1">
          <reference field="4" count="1">
            <x v="20"/>
          </reference>
        </references>
      </pivotArea>
    </format>
    <format dxfId="191">
      <pivotArea collapsedLevelsAreSubtotals="1" fieldPosition="0">
        <references count="1">
          <reference field="4" count="1">
            <x v="21"/>
          </reference>
        </references>
      </pivotArea>
    </format>
    <format dxfId="190">
      <pivotArea collapsedLevelsAreSubtotals="1" fieldPosition="0">
        <references count="1">
          <reference field="4" count="1">
            <x v="23"/>
          </reference>
        </references>
      </pivotArea>
    </format>
    <format dxfId="189">
      <pivotArea collapsedLevelsAreSubtotals="1" fieldPosition="0">
        <references count="1">
          <reference field="4" count="1">
            <x v="24"/>
          </reference>
        </references>
      </pivotArea>
    </format>
    <format dxfId="188">
      <pivotArea collapsedLevelsAreSubtotals="1" fieldPosition="0">
        <references count="1">
          <reference field="4" count="1">
            <x v="25"/>
          </reference>
        </references>
      </pivotArea>
    </format>
    <format dxfId="187">
      <pivotArea collapsedLevelsAreSubtotals="1" fieldPosition="0">
        <references count="1">
          <reference field="4" count="1">
            <x v="26"/>
          </reference>
        </references>
      </pivotArea>
    </format>
    <format dxfId="186">
      <pivotArea collapsedLevelsAreSubtotals="1" fieldPosition="0">
        <references count="1">
          <reference field="4" count="1">
            <x v="27"/>
          </reference>
        </references>
      </pivotArea>
    </format>
    <format dxfId="185">
      <pivotArea collapsedLevelsAreSubtotals="1" fieldPosition="0">
        <references count="1">
          <reference field="4" count="1">
            <x v="28"/>
          </reference>
        </references>
      </pivotArea>
    </format>
    <format dxfId="184">
      <pivotArea collapsedLevelsAreSubtotals="1" fieldPosition="0">
        <references count="1">
          <reference field="4" count="1">
            <x v="29"/>
          </reference>
        </references>
      </pivotArea>
    </format>
    <format dxfId="183">
      <pivotArea collapsedLevelsAreSubtotals="1" fieldPosition="0">
        <references count="1">
          <reference field="4" count="1">
            <x v="30"/>
          </reference>
        </references>
      </pivotArea>
    </format>
    <format dxfId="182">
      <pivotArea collapsedLevelsAreSubtotals="1" fieldPosition="0">
        <references count="1">
          <reference field="4" count="1">
            <x v="31"/>
          </reference>
        </references>
      </pivotArea>
    </format>
    <format dxfId="181">
      <pivotArea collapsedLevelsAreSubtotals="1" fieldPosition="0">
        <references count="1">
          <reference field="4" count="1">
            <x v="32"/>
          </reference>
        </references>
      </pivotArea>
    </format>
    <format dxfId="180">
      <pivotArea collapsedLevelsAreSubtotals="1" fieldPosition="0">
        <references count="1">
          <reference field="4" count="1">
            <x v="33"/>
          </reference>
        </references>
      </pivotArea>
    </format>
    <format dxfId="179">
      <pivotArea grandRow="1" outline="0" collapsedLevelsAreSubtotals="1" fieldPosition="0"/>
    </format>
    <format dxfId="178">
      <pivotArea collapsedLevelsAreSubtotals="1" fieldPosition="0">
        <references count="2">
          <reference field="4" count="1">
            <x v="0"/>
          </reference>
          <reference field="16" count="1" selected="0">
            <x v="3"/>
          </reference>
        </references>
      </pivotArea>
    </format>
    <format dxfId="177">
      <pivotArea collapsedLevelsAreSubtotals="1" fieldPosition="0">
        <references count="2">
          <reference field="4" count="1">
            <x v="1"/>
          </reference>
          <reference field="16" count="1" selected="0">
            <x v="3"/>
          </reference>
        </references>
      </pivotArea>
    </format>
    <format dxfId="176">
      <pivotArea collapsedLevelsAreSubtotals="1" fieldPosition="0">
        <references count="2">
          <reference field="4" count="1">
            <x v="2"/>
          </reference>
          <reference field="16" count="1" selected="0">
            <x v="3"/>
          </reference>
        </references>
      </pivotArea>
    </format>
    <format dxfId="175">
      <pivotArea collapsedLevelsAreSubtotals="1" fieldPosition="0">
        <references count="2">
          <reference field="4" count="1">
            <x v="3"/>
          </reference>
          <reference field="16" count="1" selected="0">
            <x v="3"/>
          </reference>
        </references>
      </pivotArea>
    </format>
    <format dxfId="174">
      <pivotArea collapsedLevelsAreSubtotals="1" fieldPosition="0">
        <references count="2">
          <reference field="4" count="1">
            <x v="4"/>
          </reference>
          <reference field="16" count="1" selected="0">
            <x v="3"/>
          </reference>
        </references>
      </pivotArea>
    </format>
    <format dxfId="173">
      <pivotArea collapsedLevelsAreSubtotals="1" fieldPosition="0">
        <references count="2">
          <reference field="4" count="1">
            <x v="5"/>
          </reference>
          <reference field="16" count="1" selected="0">
            <x v="3"/>
          </reference>
        </references>
      </pivotArea>
    </format>
    <format dxfId="172">
      <pivotArea collapsedLevelsAreSubtotals="1" fieldPosition="0">
        <references count="2">
          <reference field="4" count="1">
            <x v="6"/>
          </reference>
          <reference field="16" count="1" selected="0">
            <x v="3"/>
          </reference>
        </references>
      </pivotArea>
    </format>
    <format dxfId="171">
      <pivotArea collapsedLevelsAreSubtotals="1" fieldPosition="0">
        <references count="2">
          <reference field="4" count="1">
            <x v="7"/>
          </reference>
          <reference field="16" count="1" selected="0">
            <x v="3"/>
          </reference>
        </references>
      </pivotArea>
    </format>
    <format dxfId="170">
      <pivotArea collapsedLevelsAreSubtotals="1" fieldPosition="0">
        <references count="2">
          <reference field="4" count="1">
            <x v="8"/>
          </reference>
          <reference field="16" count="1" selected="0">
            <x v="3"/>
          </reference>
        </references>
      </pivotArea>
    </format>
    <format dxfId="169">
      <pivotArea collapsedLevelsAreSubtotals="1" fieldPosition="0">
        <references count="2">
          <reference field="4" count="1">
            <x v="9"/>
          </reference>
          <reference field="16" count="1" selected="0">
            <x v="3"/>
          </reference>
        </references>
      </pivotArea>
    </format>
    <format dxfId="168">
      <pivotArea collapsedLevelsAreSubtotals="1" fieldPosition="0">
        <references count="2">
          <reference field="4" count="1">
            <x v="10"/>
          </reference>
          <reference field="16" count="1" selected="0">
            <x v="3"/>
          </reference>
        </references>
      </pivotArea>
    </format>
    <format dxfId="167">
      <pivotArea collapsedLevelsAreSubtotals="1" fieldPosition="0">
        <references count="2">
          <reference field="4" count="1">
            <x v="11"/>
          </reference>
          <reference field="16" count="1" selected="0">
            <x v="3"/>
          </reference>
        </references>
      </pivotArea>
    </format>
    <format dxfId="166">
      <pivotArea collapsedLevelsAreSubtotals="1" fieldPosition="0">
        <references count="2">
          <reference field="4" count="1">
            <x v="12"/>
          </reference>
          <reference field="16" count="1" selected="0">
            <x v="3"/>
          </reference>
        </references>
      </pivotArea>
    </format>
    <format dxfId="165">
      <pivotArea collapsedLevelsAreSubtotals="1" fieldPosition="0">
        <references count="2">
          <reference field="4" count="1">
            <x v="13"/>
          </reference>
          <reference field="16" count="1" selected="0">
            <x v="3"/>
          </reference>
        </references>
      </pivotArea>
    </format>
    <format dxfId="164">
      <pivotArea collapsedLevelsAreSubtotals="1" fieldPosition="0">
        <references count="2">
          <reference field="4" count="1">
            <x v="14"/>
          </reference>
          <reference field="16" count="1" selected="0">
            <x v="3"/>
          </reference>
        </references>
      </pivotArea>
    </format>
    <format dxfId="163">
      <pivotArea collapsedLevelsAreSubtotals="1" fieldPosition="0">
        <references count="2">
          <reference field="4" count="1">
            <x v="15"/>
          </reference>
          <reference field="16" count="1" selected="0">
            <x v="3"/>
          </reference>
        </references>
      </pivotArea>
    </format>
    <format dxfId="162">
      <pivotArea collapsedLevelsAreSubtotals="1" fieldPosition="0">
        <references count="2">
          <reference field="4" count="1">
            <x v="16"/>
          </reference>
          <reference field="16" count="1" selected="0">
            <x v="3"/>
          </reference>
        </references>
      </pivotArea>
    </format>
    <format dxfId="161">
      <pivotArea collapsedLevelsAreSubtotals="1" fieldPosition="0">
        <references count="2">
          <reference field="4" count="1">
            <x v="17"/>
          </reference>
          <reference field="16" count="1" selected="0">
            <x v="3"/>
          </reference>
        </references>
      </pivotArea>
    </format>
    <format dxfId="160">
      <pivotArea collapsedLevelsAreSubtotals="1" fieldPosition="0">
        <references count="2">
          <reference field="4" count="1">
            <x v="18"/>
          </reference>
          <reference field="16" count="1" selected="0">
            <x v="3"/>
          </reference>
        </references>
      </pivotArea>
    </format>
    <format dxfId="159">
      <pivotArea collapsedLevelsAreSubtotals="1" fieldPosition="0">
        <references count="2">
          <reference field="4" count="1">
            <x v="19"/>
          </reference>
          <reference field="16" count="1" selected="0">
            <x v="3"/>
          </reference>
        </references>
      </pivotArea>
    </format>
    <format dxfId="158">
      <pivotArea collapsedLevelsAreSubtotals="1" fieldPosition="0">
        <references count="2">
          <reference field="4" count="1">
            <x v="20"/>
          </reference>
          <reference field="16" count="1" selected="0">
            <x v="3"/>
          </reference>
        </references>
      </pivotArea>
    </format>
    <format dxfId="157">
      <pivotArea collapsedLevelsAreSubtotals="1" fieldPosition="0">
        <references count="2">
          <reference field="4" count="1">
            <x v="21"/>
          </reference>
          <reference field="16" count="1" selected="0">
            <x v="3"/>
          </reference>
        </references>
      </pivotArea>
    </format>
    <format dxfId="156">
      <pivotArea collapsedLevelsAreSubtotals="1" fieldPosition="0">
        <references count="2">
          <reference field="4" count="1">
            <x v="23"/>
          </reference>
          <reference field="16" count="1" selected="0">
            <x v="3"/>
          </reference>
        </references>
      </pivotArea>
    </format>
    <format dxfId="155">
      <pivotArea collapsedLevelsAreSubtotals="1" fieldPosition="0">
        <references count="2">
          <reference field="4" count="1">
            <x v="24"/>
          </reference>
          <reference field="16" count="1" selected="0">
            <x v="3"/>
          </reference>
        </references>
      </pivotArea>
    </format>
    <format dxfId="154">
      <pivotArea collapsedLevelsAreSubtotals="1" fieldPosition="0">
        <references count="2">
          <reference field="4" count="1">
            <x v="25"/>
          </reference>
          <reference field="16" count="1" selected="0">
            <x v="3"/>
          </reference>
        </references>
      </pivotArea>
    </format>
    <format dxfId="153">
      <pivotArea collapsedLevelsAreSubtotals="1" fieldPosition="0">
        <references count="2">
          <reference field="4" count="1">
            <x v="26"/>
          </reference>
          <reference field="16" count="1" selected="0">
            <x v="3"/>
          </reference>
        </references>
      </pivotArea>
    </format>
    <format dxfId="152">
      <pivotArea collapsedLevelsAreSubtotals="1" fieldPosition="0">
        <references count="2">
          <reference field="4" count="1">
            <x v="27"/>
          </reference>
          <reference field="16" count="1" selected="0">
            <x v="3"/>
          </reference>
        </references>
      </pivotArea>
    </format>
    <format dxfId="151">
      <pivotArea collapsedLevelsAreSubtotals="1" fieldPosition="0">
        <references count="2">
          <reference field="4" count="1">
            <x v="28"/>
          </reference>
          <reference field="16" count="1" selected="0">
            <x v="3"/>
          </reference>
        </references>
      </pivotArea>
    </format>
    <format dxfId="150">
      <pivotArea collapsedLevelsAreSubtotals="1" fieldPosition="0">
        <references count="2">
          <reference field="4" count="1">
            <x v="29"/>
          </reference>
          <reference field="16" count="1" selected="0">
            <x v="3"/>
          </reference>
        </references>
      </pivotArea>
    </format>
    <format dxfId="149">
      <pivotArea collapsedLevelsAreSubtotals="1" fieldPosition="0">
        <references count="2">
          <reference field="4" count="1">
            <x v="30"/>
          </reference>
          <reference field="16" count="1" selected="0">
            <x v="3"/>
          </reference>
        </references>
      </pivotArea>
    </format>
    <format dxfId="148">
      <pivotArea collapsedLevelsAreSubtotals="1" fieldPosition="0">
        <references count="2">
          <reference field="4" count="1">
            <x v="31"/>
          </reference>
          <reference field="16" count="1" selected="0">
            <x v="3"/>
          </reference>
        </references>
      </pivotArea>
    </format>
    <format dxfId="147">
      <pivotArea collapsedLevelsAreSubtotals="1" fieldPosition="0">
        <references count="2">
          <reference field="4" count="1">
            <x v="32"/>
          </reference>
          <reference field="16" count="1" selected="0">
            <x v="3"/>
          </reference>
        </references>
      </pivotArea>
    </format>
    <format dxfId="146">
      <pivotArea collapsedLevelsAreSubtotals="1" fieldPosition="0">
        <references count="2">
          <reference field="4" count="1">
            <x v="33"/>
          </reference>
          <reference field="16" count="1" selected="0">
            <x v="3"/>
          </reference>
        </references>
      </pivotArea>
    </format>
    <format dxfId="145">
      <pivotArea collapsedLevelsAreSubtotals="1" fieldPosition="0">
        <references count="2">
          <reference field="4" count="1">
            <x v="34"/>
          </reference>
          <reference field="16" count="1" selected="0">
            <x v="3"/>
          </reference>
        </references>
      </pivotArea>
    </format>
    <format dxfId="144">
      <pivotArea collapsedLevelsAreSubtotals="1" fieldPosition="0">
        <references count="2">
          <reference field="4" count="1">
            <x v="35"/>
          </reference>
          <reference field="16" count="1" selected="0">
            <x v="3"/>
          </reference>
        </references>
      </pivotArea>
    </format>
    <format dxfId="143">
      <pivotArea collapsedLevelsAreSubtotals="1" fieldPosition="0">
        <references count="2">
          <reference field="4" count="1">
            <x v="36"/>
          </reference>
          <reference field="16" count="1" selected="0">
            <x v="3"/>
          </reference>
        </references>
      </pivotArea>
    </format>
    <format dxfId="142">
      <pivotArea collapsedLevelsAreSubtotals="1" fieldPosition="0">
        <references count="2">
          <reference field="4" count="1">
            <x v="37"/>
          </reference>
          <reference field="16" count="1" selected="0">
            <x v="3"/>
          </reference>
        </references>
      </pivotArea>
    </format>
    <format dxfId="141">
      <pivotArea collapsedLevelsAreSubtotals="1" fieldPosition="0">
        <references count="2">
          <reference field="4" count="1">
            <x v="38"/>
          </reference>
          <reference field="16" count="1" selected="0">
            <x v="3"/>
          </reference>
        </references>
      </pivotArea>
    </format>
    <format dxfId="140">
      <pivotArea collapsedLevelsAreSubtotals="1" fieldPosition="0">
        <references count="2">
          <reference field="4" count="1">
            <x v="39"/>
          </reference>
          <reference field="16" count="1" selected="0">
            <x v="3"/>
          </reference>
        </references>
      </pivotArea>
    </format>
    <format dxfId="139">
      <pivotArea collapsedLevelsAreSubtotals="1" fieldPosition="0">
        <references count="2">
          <reference field="4" count="1">
            <x v="40"/>
          </reference>
          <reference field="16" count="1" selected="0">
            <x v="3"/>
          </reference>
        </references>
      </pivotArea>
    </format>
    <format dxfId="138">
      <pivotArea collapsedLevelsAreSubtotals="1" fieldPosition="0">
        <references count="2">
          <reference field="4" count="1">
            <x v="41"/>
          </reference>
          <reference field="16" count="1" selected="0">
            <x v="3"/>
          </reference>
        </references>
      </pivotArea>
    </format>
    <format dxfId="137">
      <pivotArea collapsedLevelsAreSubtotals="1" fieldPosition="0">
        <references count="2">
          <reference field="4" count="1">
            <x v="42"/>
          </reference>
          <reference field="16" count="1" selected="0">
            <x v="3"/>
          </reference>
        </references>
      </pivotArea>
    </format>
    <format dxfId="136">
      <pivotArea collapsedLevelsAreSubtotals="1" fieldPosition="0">
        <references count="2">
          <reference field="4" count="1">
            <x v="43"/>
          </reference>
          <reference field="16" count="1" selected="0">
            <x v="3"/>
          </reference>
        </references>
      </pivotArea>
    </format>
    <format dxfId="135">
      <pivotArea collapsedLevelsAreSubtotals="1" fieldPosition="0">
        <references count="2">
          <reference field="4" count="1">
            <x v="44"/>
          </reference>
          <reference field="16" count="1" selected="0">
            <x v="3"/>
          </reference>
        </references>
      </pivotArea>
    </format>
    <format dxfId="134">
      <pivotArea collapsedLevelsAreSubtotals="1" fieldPosition="0">
        <references count="2">
          <reference field="4" count="1">
            <x v="45"/>
          </reference>
          <reference field="16" count="1" selected="0">
            <x v="3"/>
          </reference>
        </references>
      </pivotArea>
    </format>
    <format dxfId="133">
      <pivotArea collapsedLevelsAreSubtotals="1" fieldPosition="0">
        <references count="2">
          <reference field="4" count="1">
            <x v="46"/>
          </reference>
          <reference field="16" count="1" selected="0">
            <x v="3"/>
          </reference>
        </references>
      </pivotArea>
    </format>
    <format dxfId="132">
      <pivotArea collapsedLevelsAreSubtotals="1" fieldPosition="0">
        <references count="2">
          <reference field="4" count="1">
            <x v="47"/>
          </reference>
          <reference field="16" count="1" selected="0">
            <x v="3"/>
          </reference>
        </references>
      </pivotArea>
    </format>
    <format dxfId="131">
      <pivotArea collapsedLevelsAreSubtotals="1" fieldPosition="0">
        <references count="2">
          <reference field="4" count="1">
            <x v="48"/>
          </reference>
          <reference field="16" count="1" selected="0">
            <x v="3"/>
          </reference>
        </references>
      </pivotArea>
    </format>
    <format dxfId="130">
      <pivotArea collapsedLevelsAreSubtotals="1" fieldPosition="0">
        <references count="2">
          <reference field="4" count="1">
            <x v="49"/>
          </reference>
          <reference field="16" count="1" selected="0">
            <x v="3"/>
          </reference>
        </references>
      </pivotArea>
    </format>
    <format dxfId="129">
      <pivotArea collapsedLevelsAreSubtotals="1" fieldPosition="0">
        <references count="2">
          <reference field="4" count="1">
            <x v="50"/>
          </reference>
          <reference field="16" count="1" selected="0">
            <x v="3"/>
          </reference>
        </references>
      </pivotArea>
    </format>
    <format dxfId="128">
      <pivotArea collapsedLevelsAreSubtotals="1" fieldPosition="0">
        <references count="2">
          <reference field="4" count="1">
            <x v="51"/>
          </reference>
          <reference field="16" count="1" selected="0">
            <x v="3"/>
          </reference>
        </references>
      </pivotArea>
    </format>
    <format dxfId="127">
      <pivotArea collapsedLevelsAreSubtotals="1" fieldPosition="0">
        <references count="2">
          <reference field="4" count="1">
            <x v="53"/>
          </reference>
          <reference field="16" count="1" selected="0">
            <x v="3"/>
          </reference>
        </references>
      </pivotArea>
    </format>
    <format dxfId="126">
      <pivotArea collapsedLevelsAreSubtotals="1" fieldPosition="0">
        <references count="2">
          <reference field="4" count="1">
            <x v="54"/>
          </reference>
          <reference field="16" count="1" selected="0">
            <x v="3"/>
          </reference>
        </references>
      </pivotArea>
    </format>
    <format dxfId="125">
      <pivotArea collapsedLevelsAreSubtotals="1" fieldPosition="0">
        <references count="2">
          <reference field="4" count="1">
            <x v="55"/>
          </reference>
          <reference field="16" count="1" selected="0">
            <x v="3"/>
          </reference>
        </references>
      </pivotArea>
    </format>
    <format dxfId="124">
      <pivotArea type="origin" dataOnly="0" labelOnly="1" outline="0" fieldPosition="0"/>
    </format>
    <format dxfId="123">
      <pivotArea field="16" type="button" dataOnly="0" labelOnly="1" outline="0" axis="axisCol" fieldPosition="0"/>
    </format>
    <format dxfId="122">
      <pivotArea type="topRight" dataOnly="0" labelOnly="1" outline="0" fieldPosition="0"/>
    </format>
    <format dxfId="121">
      <pivotArea dataOnly="0" labelOnly="1" fieldPosition="0">
        <references count="1">
          <reference field="16" count="0"/>
        </references>
      </pivotArea>
    </format>
    <format dxfId="120">
      <pivotArea dataOnly="0" labelOnly="1" grandCol="1" outline="0" fieldPosition="0"/>
    </format>
    <format dxfId="119">
      <pivotArea type="origin" dataOnly="0" labelOnly="1" outline="0" fieldPosition="0"/>
    </format>
    <format dxfId="118">
      <pivotArea field="16" type="button" dataOnly="0" labelOnly="1" outline="0" axis="axisCol"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type="all" dataOnly="0" outline="0" fieldPosition="0"/>
    </format>
    <format dxfId="113">
      <pivotArea dataOnly="0" labelOnly="1" fieldPosition="0">
        <references count="1">
          <reference field="16" count="0"/>
        </references>
      </pivotArea>
    </format>
    <format dxfId="112">
      <pivotArea dataOnly="0" labelOnly="1" grandCol="1"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grandRow="1" outline="0" fieldPosition="0"/>
    </format>
    <format dxfId="102">
      <pivotArea dataOnly="0" labelOnly="1" grandRow="1" outline="0" fieldPosition="0"/>
    </format>
    <format dxfId="101">
      <pivotArea dataOnly="0" fieldPosition="0">
        <references count="1">
          <reference field="4" count="0" defaultSubtotal="1"/>
        </references>
      </pivotArea>
    </format>
    <format dxfId="100">
      <pivotArea dataOnly="0" grandRow="1" fieldPosition="0"/>
    </format>
    <format dxfId="99">
      <pivotArea dataOnly="0" outline="0" fieldPosition="0">
        <references count="1">
          <reference field="16" count="2">
            <x v="2"/>
            <x v="3"/>
          </reference>
        </references>
      </pivotArea>
    </format>
    <format dxfId="98">
      <pivotArea dataOnly="0" outline="0" fieldPosition="0">
        <references count="1">
          <reference field="16" count="1">
            <x v="0"/>
          </reference>
        </references>
      </pivotArea>
    </format>
    <format dxfId="97">
      <pivotArea dataOnly="0" grandCol="1" outline="0" fieldPosition="0"/>
    </format>
    <format dxfId="96">
      <pivotArea dataOnly="0" outline="0" fieldPosition="0">
        <references count="1">
          <reference field="16" count="1">
            <x v="1"/>
          </reference>
        </references>
      </pivotArea>
    </format>
    <format dxfId="95">
      <pivotArea dataOnly="0" labelOnly="1" fieldPosition="0">
        <references count="1">
          <reference field="16" count="0"/>
        </references>
      </pivotArea>
    </format>
    <format dxfId="94">
      <pivotArea dataOnly="0" labelOnly="1" grandCol="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dataOnly="0" labelOnly="1" fieldPosition="0">
        <references count="1">
          <reference field="16" count="0"/>
        </references>
      </pivotArea>
    </format>
    <format dxfId="89">
      <pivotArea dataOnly="0" labelOnly="1" grandCol="1" outline="0" fieldPosition="0"/>
    </format>
    <format dxfId="88">
      <pivotArea type="origin" dataOnly="0" labelOnly="1" outline="0" fieldPosition="0"/>
    </format>
    <format dxfId="87">
      <pivotArea field="16"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16" type="button" dataOnly="0" labelOnly="1" outline="0" axis="axisCol" fieldPosition="0"/>
    </format>
    <format dxfId="83">
      <pivotArea type="topRight" dataOnly="0" labelOnly="1" outline="0" fieldPosition="0"/>
    </format>
    <format dxfId="82">
      <pivotArea field="22" type="button" dataOnly="0" labelOnly="1" outline="0" axis="axisRow" fieldPosition="0"/>
    </format>
    <format dxfId="81">
      <pivotArea dataOnly="0" labelOnly="1" fieldPosition="0">
        <references count="1">
          <reference field="22" count="0"/>
        </references>
      </pivotArea>
    </format>
    <format dxfId="80">
      <pivotArea dataOnly="0" labelOnly="1" fieldPosition="0">
        <references count="1">
          <reference field="22" count="0"/>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 dxfId="74">
      <pivotArea dataOnly="0" fieldPosition="0">
        <references count="1">
          <reference field="22" count="0" defaultSubtotal="1"/>
        </references>
      </pivotArea>
    </format>
    <format dxfId="73">
      <pivotArea dataOnly="0" fieldPosition="0">
        <references count="1">
          <reference field="22" count="0" defaultSubtotal="1"/>
        </references>
      </pivotArea>
    </format>
    <format dxfId="72">
      <pivotArea dataOnly="0" fieldPosition="0">
        <references count="1">
          <reference field="22" count="0" defaultSubtotal="1"/>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showHeaders="0" outline="1" outlineData="1" multipleFieldFilters="0" rowHeaderCaption="Objeto de Gasto">
  <location ref="B2:E30" firstHeaderRow="0" firstDataRow="2" firstDataCol="1"/>
  <pivotFields count="23">
    <pivotField showAll="0"/>
    <pivotField showAll="0"/>
    <pivotField axis="axisRow"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h="1" sd="0" x="56"/>
        <item h="1" x="54"/>
        <item h="1"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x="2"/>
        <item n="Grupo 200" x="3"/>
        <item n="Grupo 300" x="4"/>
        <item n="Grupo 400" x="5"/>
        <item sd="0" x="0"/>
        <item h="1" sd="0" x="1"/>
        <item t="default"/>
      </items>
    </pivotField>
  </pivotFields>
  <rowFields count="3">
    <field x="22"/>
    <field x="4"/>
    <field x="2"/>
  </rowFields>
  <rowItems count="27">
    <i>
      <x/>
    </i>
    <i r="1">
      <x/>
    </i>
    <i r="1">
      <x v="1"/>
    </i>
    <i r="1">
      <x v="4"/>
    </i>
    <i r="1">
      <x v="5"/>
    </i>
    <i r="1">
      <x v="6"/>
    </i>
    <i r="1">
      <x v="7"/>
    </i>
    <i r="1">
      <x v="10"/>
    </i>
    <i r="1">
      <x v="11"/>
    </i>
    <i>
      <x v="1"/>
    </i>
    <i r="1">
      <x v="18"/>
    </i>
    <i r="1">
      <x v="20"/>
    </i>
    <i r="1">
      <x v="21"/>
    </i>
    <i r="1">
      <x v="22"/>
    </i>
    <i>
      <x v="2"/>
    </i>
    <i r="1">
      <x v="26"/>
    </i>
    <i r="1">
      <x v="31"/>
    </i>
    <i r="1">
      <x v="32"/>
    </i>
    <i r="1">
      <x v="33"/>
    </i>
    <i r="1">
      <x v="39"/>
    </i>
    <i r="1">
      <x v="40"/>
    </i>
    <i r="1">
      <x v="42"/>
    </i>
    <i r="1">
      <x v="44"/>
    </i>
    <i r="1">
      <x v="45"/>
    </i>
    <i>
      <x v="3"/>
    </i>
    <i r="1">
      <x v="50"/>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71">
      <pivotArea outline="0" collapsedLevelsAreSubtotals="1" fieldPosition="0"/>
    </format>
    <format dxfId="70">
      <pivotArea dataOnly="0" labelOnly="1" fieldPosition="0">
        <references count="1">
          <reference field="4" count="0"/>
        </references>
      </pivotArea>
    </format>
    <format dxfId="69">
      <pivotArea dataOnly="0" labelOnly="1" outline="0" fieldPosition="0">
        <references count="2">
          <reference field="4294967294" count="3">
            <x v="0"/>
            <x v="1"/>
            <x v="2"/>
          </reference>
          <reference field="16" count="0" selected="0"/>
        </references>
      </pivotArea>
    </format>
    <format dxfId="68">
      <pivotArea field="4" type="button" dataOnly="0" labelOnly="1" outline="0" axis="axisRow" fieldPosition="1"/>
    </format>
    <format dxfId="67">
      <pivotArea type="all" dataOnly="0" outline="0" fieldPosition="0"/>
    </format>
    <format dxfId="66">
      <pivotArea dataOnly="0" labelOnly="1" fieldPosition="0">
        <references count="1">
          <reference field="16" count="0"/>
        </references>
      </pivotArea>
    </format>
    <format dxfId="65">
      <pivotArea dataOnly="0" labelOnly="1" fieldPosition="0">
        <references count="1">
          <reference field="16" count="0"/>
        </references>
      </pivotArea>
    </format>
    <format dxfId="64">
      <pivotArea collapsedLevelsAreSubtotals="1" fieldPosition="0">
        <references count="2">
          <reference field="4" count="1">
            <x v="0"/>
          </reference>
          <reference field="22" count="1" selected="0">
            <x v="0"/>
          </reference>
        </references>
      </pivotArea>
    </format>
    <format dxfId="63">
      <pivotArea collapsedLevelsAreSubtotals="1" fieldPosition="0">
        <references count="2">
          <reference field="4" count="1">
            <x v="1"/>
          </reference>
          <reference field="22" count="1" selected="0">
            <x v="0"/>
          </reference>
        </references>
      </pivotArea>
    </format>
    <format dxfId="62">
      <pivotArea collapsedLevelsAreSubtotals="1" fieldPosition="0">
        <references count="2">
          <reference field="4" count="1">
            <x v="4"/>
          </reference>
          <reference field="22" count="1" selected="0">
            <x v="0"/>
          </reference>
        </references>
      </pivotArea>
    </format>
    <format dxfId="61">
      <pivotArea collapsedLevelsAreSubtotals="1" fieldPosition="0">
        <references count="2">
          <reference field="4" count="1">
            <x v="5"/>
          </reference>
          <reference field="22" count="1" selected="0">
            <x v="0"/>
          </reference>
        </references>
      </pivotArea>
    </format>
    <format dxfId="60">
      <pivotArea collapsedLevelsAreSubtotals="1" fieldPosition="0">
        <references count="2">
          <reference field="4" count="1">
            <x v="6"/>
          </reference>
          <reference field="22" count="1" selected="0">
            <x v="0"/>
          </reference>
        </references>
      </pivotArea>
    </format>
    <format dxfId="59">
      <pivotArea collapsedLevelsAreSubtotals="1" fieldPosition="0">
        <references count="2">
          <reference field="4" count="1">
            <x v="7"/>
          </reference>
          <reference field="22" count="1" selected="0">
            <x v="0"/>
          </reference>
        </references>
      </pivotArea>
    </format>
    <format dxfId="58">
      <pivotArea collapsedLevelsAreSubtotals="1" fieldPosition="0">
        <references count="2">
          <reference field="4" count="1">
            <x v="10"/>
          </reference>
          <reference field="22" count="1" selected="0">
            <x v="0"/>
          </reference>
        </references>
      </pivotArea>
    </format>
    <format dxfId="57">
      <pivotArea collapsedLevelsAreSubtotals="1" fieldPosition="0">
        <references count="2">
          <reference field="4" count="1">
            <x v="11"/>
          </reference>
          <reference field="22" count="1" selected="0">
            <x v="0"/>
          </reference>
        </references>
      </pivotArea>
    </format>
    <format dxfId="56">
      <pivotArea collapsedLevelsAreSubtotals="1" fieldPosition="0">
        <references count="2">
          <reference field="4" count="1">
            <x v="26"/>
          </reference>
          <reference field="22" count="1" selected="0">
            <x v="2"/>
          </reference>
        </references>
      </pivotArea>
    </format>
    <format dxfId="55">
      <pivotArea collapsedLevelsAreSubtotals="1" fieldPosition="0">
        <references count="2">
          <reference field="4" count="1">
            <x v="31"/>
          </reference>
          <reference field="22" count="1" selected="0">
            <x v="2"/>
          </reference>
        </references>
      </pivotArea>
    </format>
    <format dxfId="54">
      <pivotArea collapsedLevelsAreSubtotals="1" fieldPosition="0">
        <references count="2">
          <reference field="4" count="1">
            <x v="32"/>
          </reference>
          <reference field="22" count="1" selected="0">
            <x v="2"/>
          </reference>
        </references>
      </pivotArea>
    </format>
    <format dxfId="53">
      <pivotArea collapsedLevelsAreSubtotals="1" fieldPosition="0">
        <references count="2">
          <reference field="4" count="1">
            <x v="33"/>
          </reference>
          <reference field="22" count="1" selected="0">
            <x v="2"/>
          </reference>
        </references>
      </pivotArea>
    </format>
    <format dxfId="52">
      <pivotArea collapsedLevelsAreSubtotals="1" fieldPosition="0">
        <references count="2">
          <reference field="4" count="1">
            <x v="39"/>
          </reference>
          <reference field="22" count="1" selected="0">
            <x v="2"/>
          </reference>
        </references>
      </pivotArea>
    </format>
    <format dxfId="51">
      <pivotArea collapsedLevelsAreSubtotals="1" fieldPosition="0">
        <references count="2">
          <reference field="4" count="1">
            <x v="40"/>
          </reference>
          <reference field="22" count="1" selected="0">
            <x v="2"/>
          </reference>
        </references>
      </pivotArea>
    </format>
    <format dxfId="50">
      <pivotArea collapsedLevelsAreSubtotals="1" fieldPosition="0">
        <references count="2">
          <reference field="4" count="1">
            <x v="42"/>
          </reference>
          <reference field="22" count="1" selected="0">
            <x v="2"/>
          </reference>
        </references>
      </pivotArea>
    </format>
    <format dxfId="49">
      <pivotArea collapsedLevelsAreSubtotals="1" fieldPosition="0">
        <references count="2">
          <reference field="4" count="1">
            <x v="44"/>
          </reference>
          <reference field="22" count="1" selected="0">
            <x v="2"/>
          </reference>
        </references>
      </pivotArea>
    </format>
    <format dxfId="48">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20"/>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55" totalsRowShown="0" headerRowDxfId="309" dataDxfId="308" dataCellStyle="Moneda">
  <autoFilter ref="A1:T255"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07">
      <calculatedColumnFormula>ROW(DIARIO[[#This Row],[Nombre de Cuenta]])-1</calculatedColumnFormula>
    </tableColumn>
    <tableColumn id="2" xr3:uid="{FC2729A6-8780-4E89-B983-343448558747}" name="Tipo de Compra" dataDxfId="306"/>
    <tableColumn id="3" xr3:uid="{F52E2A0D-14ED-49E6-929B-A7B45A573605}" name="Objeto de Gasto" dataDxfId="305"/>
    <tableColumn id="4" xr3:uid="{90BBECC0-2345-4772-9712-7CAB62D762DF}" name="Código de orden" dataDxfId="304">
      <calculatedColumnFormula>VLOOKUP(C2,CATALOGO[],2,FALSE)</calculatedColumnFormula>
    </tableColumn>
    <tableColumn id="5" xr3:uid="{CCB9CE21-D601-4181-8E09-808963A89EDC}" name="Nombre de Cuenta" dataDxfId="303">
      <calculatedColumnFormula>VLOOKUP(DIARIO[[#This Row],[Objeto de Gasto]],CATALOGO[],3,FALSE)</calculatedColumnFormula>
    </tableColumn>
    <tableColumn id="6" xr3:uid="{DB10CB65-E7F5-477B-9F1B-DAA4CCE25D23}" name="Responsable" dataDxfId="302"/>
    <tableColumn id="7" xr3:uid="{60557A1B-F36B-4144-B4EE-4319C4BDC087}" name="Especificaciones Técnicas" dataDxfId="301"/>
    <tableColumn id="8" xr3:uid="{B8F63D65-7E45-481A-B968-02577D1CC35A}" name="No. de Oficio de solicitud ETN" dataDxfId="300"/>
    <tableColumn id="9" xr3:uid="{9A89F2EF-2A75-47F5-AC69-65572195F40E}" name="Fecha de ingreso del Of. ETN a CNS" dataDxfId="299"/>
    <tableColumn id="10" xr3:uid="{E0D80095-861F-48AB-9701-043F0AFE9BD3}" name="Número de Of. De CNS a GA" dataDxfId="298"/>
    <tableColumn id="11" xr3:uid="{05234ABC-F53B-4942-A98E-D333775A01D3}" name="Fecha solicitud de SSRISS a GA2" dataDxfId="297"/>
    <tableColumn id="12" xr3:uid="{D73AD363-9EC6-489D-BC5B-12C748A5EB6F}" name="Numero de Of. de CNS a SSRISS" dataDxfId="296"/>
    <tableColumn id="13" xr3:uid="{AB0C3C9B-912C-4CE8-8D10-3C6D382FAC2D}" name="Fecha de Of. de SSRISS a DGN2" dataDxfId="295"/>
    <tableColumn id="14" xr3:uid="{35D94959-4188-4C5C-9AAA-2F81CC01AA17}" name="Entrada" dataDxfId="294" dataCellStyle="Moneda"/>
    <tableColumn id="15" xr3:uid="{68EBABEF-6409-4EF3-B510-FD808A1A0DE7}" name="Salida" dataDxfId="293" dataCellStyle="Moneda"/>
    <tableColumn id="16" xr3:uid="{08C0AF4D-6545-4548-AB14-AB0307FAB982}" name="Saldo" dataDxfId="292" dataCellStyle="Moneda">
      <calculatedColumnFormula>N2-O2</calculatedColumnFormula>
    </tableColumn>
    <tableColumn id="17" xr3:uid="{14091832-84B7-4A1A-9EFA-2DA5CD0298D0}" name="Estatus" dataDxfId="291"/>
    <tableColumn id="22" xr3:uid="{3B23ECAC-6B6A-46CE-A7DD-D2A6B1668819}" name="# de Proceso" dataDxfId="290"/>
    <tableColumn id="18" xr3:uid="{55E3DCA5-2FC4-45DA-95CB-1321E1F6AB60}" name="Comentarios Finales" dataDxfId="289"/>
    <tableColumn id="19" xr3:uid="{758086F1-4761-47DF-90AD-AB9494CD3928}" name="Pagado" dataDxfId="288"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47" dataDxfId="46">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45" totalsRowDxfId="44"/>
    <tableColumn id="2" xr3:uid="{4944A3DA-BBEF-42FE-B9AF-317DCDFCB550}" name="APROBADO" totalsRowFunction="sum" dataDxfId="43" totalsRowDxfId="42" dataCellStyle="Moneda"/>
    <tableColumn id="3" xr3:uid="{8DD81181-703C-446E-AED7-EC959C5786E5}" name="MODIFICACIONES" totalsRowFunction="sum" dataDxfId="41" totalsRowDxfId="40" dataCellStyle="Moneda" totalsRowCellStyle="Moneda"/>
    <tableColumn id="4" xr3:uid="{7AC914FB-6AF6-47C9-911D-415D4F78F233}" name="DISPONIBLE" totalsRowFunction="sum" dataDxfId="39" totalsRowDxfId="38">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37" dataDxfId="36" totalsRowDxfId="35">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4" totalsRowDxfId="33"/>
    <tableColumn id="2" xr3:uid="{06A87F87-5B47-48FC-8548-2E642C3772D8}" name="VIH" totalsRowFunction="custom" dataDxfId="32" totalsRowDxfId="31"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30" totalsRowDxfId="29"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28" totalsRowDxfId="27"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26" totalsRowDxfId="25"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24" totalsRowDxfId="23"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22" dataDxfId="21" dataCellStyle="Moneda">
  <autoFilter ref="Z5:AE10" xr:uid="{BF0D6635-A8B9-46D0-81D2-656295F74490}"/>
  <tableColumns count="6">
    <tableColumn id="1" xr3:uid="{82995C1E-0A44-4A6E-B4B1-8F0CF6962D8C}" name="Grupo" dataDxfId="20"/>
    <tableColumn id="2" xr3:uid="{0C82A2B4-9F3C-439D-AE1C-6E8E6D1A7690}" name="SSRISS" dataDxfId="19" dataCellStyle="Moneda"/>
    <tableColumn id="3" xr3:uid="{9729D6CC-9484-4809-B1EE-54821A52A277}" name="VIH" dataDxfId="18" dataCellStyle="Moneda"/>
    <tableColumn id="4" xr3:uid="{62D4FAB6-D263-4900-90C1-69E53DE411FF}" name="MALARIA" dataDxfId="17" dataCellStyle="Moneda"/>
    <tableColumn id="5" xr3:uid="{115023FD-6FB3-4CEA-A5FE-DB4520F8F237}" name="TB" dataDxfId="16" dataCellStyle="Moneda"/>
    <tableColumn id="6" xr3:uid="{2E8D4625-0FE7-4863-A8A1-BF1495D525FF}" name="Total" dataDxfId="15">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700</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723</v>
      </c>
      <c r="D342">
        <v>4</v>
      </c>
    </row>
    <row r="343" spans="1:4" x14ac:dyDescent="0.25">
      <c r="A343" s="1" t="s">
        <v>719</v>
      </c>
      <c r="B343">
        <v>68</v>
      </c>
      <c r="C343" t="s">
        <v>723</v>
      </c>
      <c r="D343">
        <v>5</v>
      </c>
    </row>
    <row r="344" spans="1:4" x14ac:dyDescent="0.25">
      <c r="A344" s="1" t="s">
        <v>720</v>
      </c>
      <c r="B344">
        <v>68</v>
      </c>
      <c r="C344" t="s">
        <v>723</v>
      </c>
      <c r="D344">
        <v>5</v>
      </c>
    </row>
    <row r="345" spans="1:4" x14ac:dyDescent="0.25">
      <c r="A345" s="1" t="s">
        <v>721</v>
      </c>
      <c r="B345">
        <v>68</v>
      </c>
      <c r="C345" t="s">
        <v>723</v>
      </c>
      <c r="D345">
        <v>5</v>
      </c>
    </row>
    <row r="346" spans="1:4" x14ac:dyDescent="0.25">
      <c r="A346" s="1" t="s">
        <v>722</v>
      </c>
      <c r="B346">
        <v>68</v>
      </c>
      <c r="C346" t="s">
        <v>723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6" bestFit="1" customWidth="1"/>
    <col min="2" max="2" width="15.28515625" style="66" customWidth="1"/>
    <col min="3" max="3" width="16.140625" style="66" customWidth="1"/>
    <col min="4" max="4" width="0" style="66" hidden="1" customWidth="1"/>
    <col min="5" max="5" width="39" style="66" customWidth="1"/>
    <col min="6" max="6" width="15" style="66" customWidth="1"/>
    <col min="7" max="7" width="24.28515625" style="66" customWidth="1"/>
    <col min="8" max="8" width="22.42578125" style="66" customWidth="1"/>
    <col min="9" max="9" width="19.7109375" style="66" customWidth="1"/>
    <col min="10" max="10" width="18.28515625" style="66" customWidth="1"/>
    <col min="11" max="11" width="20.28515625" style="66" customWidth="1"/>
    <col min="12" max="12" width="17.85546875" style="66" customWidth="1"/>
    <col min="13" max="13" width="14.42578125" style="66" customWidth="1"/>
    <col min="14" max="14" width="17.140625" style="67" customWidth="1"/>
    <col min="15" max="15" width="15.28515625" style="67" customWidth="1"/>
    <col min="16" max="16" width="6" style="66" hidden="1" customWidth="1"/>
    <col min="17" max="17" width="14.7109375" style="66" customWidth="1"/>
    <col min="18" max="18" width="17.7109375" style="66" customWidth="1"/>
    <col min="19" max="19" width="31.85546875" style="66" customWidth="1"/>
    <col min="20" max="20" width="14.7109375" style="67" customWidth="1"/>
    <col min="21" max="16384" width="9.140625" style="66"/>
  </cols>
  <sheetData>
    <row r="2" spans="1:20" ht="15.75" x14ac:dyDescent="0.25">
      <c r="C2" s="75" t="s">
        <v>588</v>
      </c>
      <c r="D2" s="68"/>
      <c r="E2" s="69" t="s">
        <v>617</v>
      </c>
    </row>
    <row r="4" spans="1:20" ht="45" x14ac:dyDescent="0.25">
      <c r="A4" s="70" t="s">
        <v>373</v>
      </c>
      <c r="B4" s="71" t="s">
        <v>4</v>
      </c>
      <c r="C4" s="71" t="s">
        <v>374</v>
      </c>
      <c r="D4" s="71" t="s">
        <v>375</v>
      </c>
      <c r="E4" s="71" t="s">
        <v>376</v>
      </c>
      <c r="F4" s="71" t="s">
        <v>377</v>
      </c>
      <c r="G4" s="71" t="s">
        <v>378</v>
      </c>
      <c r="H4" s="71" t="s">
        <v>379</v>
      </c>
      <c r="I4" s="72" t="s">
        <v>380</v>
      </c>
      <c r="J4" s="71" t="s">
        <v>381</v>
      </c>
      <c r="K4" s="72" t="s">
        <v>382</v>
      </c>
      <c r="L4" s="71" t="s">
        <v>383</v>
      </c>
      <c r="M4" s="72" t="s">
        <v>384</v>
      </c>
      <c r="N4" s="73" t="s">
        <v>385</v>
      </c>
      <c r="O4" s="73" t="s">
        <v>386</v>
      </c>
      <c r="P4" s="71" t="s">
        <v>387</v>
      </c>
      <c r="Q4" s="71" t="s">
        <v>5</v>
      </c>
      <c r="R4" s="71" t="s">
        <v>388</v>
      </c>
      <c r="S4" s="71" t="s">
        <v>389</v>
      </c>
      <c r="T4" s="74" t="s">
        <v>390</v>
      </c>
    </row>
    <row r="5" spans="1:20" x14ac:dyDescent="0.25">
      <c r="A5" s="66" t="e" cm="1">
        <f t="array" ref="A5:T10" ca="1">_xlfn._xlws.FILTER(DIARIO[],(ISNUMBER(SEARCH(E2,DIARIO[Objeto de Gasto])))+(ISNUMBER(SEARCH(E2,DIARIO[Nombre de Cuenta]))),"No existe")</f>
        <v>#NAME?</v>
      </c>
      <c r="B5" s="66" t="e">
        <f ca="1"/>
        <v>#NAME?</v>
      </c>
      <c r="C5" s="66" t="e">
        <f ca="1"/>
        <v>#NAME?</v>
      </c>
      <c r="D5" s="66" t="e">
        <f ca="1"/>
        <v>#NAME?</v>
      </c>
      <c r="E5" s="66" t="e">
        <f ca="1"/>
        <v>#NAME?</v>
      </c>
      <c r="F5" s="66" t="e">
        <f ca="1"/>
        <v>#NAME?</v>
      </c>
      <c r="G5" s="66" t="e">
        <f ca="1"/>
        <v>#NAME?</v>
      </c>
      <c r="H5" s="66" t="e">
        <f ca="1"/>
        <v>#NAME?</v>
      </c>
      <c r="I5" s="66" t="e">
        <f ca="1"/>
        <v>#NAME?</v>
      </c>
      <c r="J5" s="66" t="e">
        <f ca="1"/>
        <v>#NAME?</v>
      </c>
      <c r="K5" s="66" t="e">
        <f ca="1"/>
        <v>#NAME?</v>
      </c>
      <c r="L5" s="66" t="e">
        <f ca="1"/>
        <v>#NAME?</v>
      </c>
      <c r="M5" s="66" t="e">
        <f ca="1"/>
        <v>#NAME?</v>
      </c>
      <c r="N5" s="67" t="e">
        <f ca="1"/>
        <v>#NAME?</v>
      </c>
      <c r="O5" s="67" t="e">
        <f ca="1"/>
        <v>#NAME?</v>
      </c>
      <c r="P5" s="66" t="e">
        <f ca="1"/>
        <v>#NAME?</v>
      </c>
      <c r="Q5" s="66" t="e">
        <f ca="1"/>
        <v>#NAME?</v>
      </c>
      <c r="R5" s="66" t="e">
        <f ca="1"/>
        <v>#NAME?</v>
      </c>
      <c r="S5" s="66" t="e">
        <f ca="1"/>
        <v>#NAME?</v>
      </c>
      <c r="T5" s="67" t="e">
        <f ca="1"/>
        <v>#NAME?</v>
      </c>
    </row>
    <row r="6" spans="1:20" x14ac:dyDescent="0.25">
      <c r="A6" s="66" t="e">
        <f ca="1"/>
        <v>#NAME?</v>
      </c>
      <c r="B6" s="66" t="e">
        <f ca="1"/>
        <v>#NAME?</v>
      </c>
      <c r="C6" s="66" t="e">
        <f ca="1"/>
        <v>#NAME?</v>
      </c>
      <c r="D6" s="66" t="e">
        <f ca="1"/>
        <v>#NAME?</v>
      </c>
      <c r="E6" s="66" t="e">
        <f ca="1"/>
        <v>#NAME?</v>
      </c>
      <c r="F6" s="66" t="e">
        <f ca="1"/>
        <v>#NAME?</v>
      </c>
      <c r="G6" s="66" t="e">
        <f ca="1"/>
        <v>#NAME?</v>
      </c>
      <c r="H6" s="66" t="e">
        <f ca="1"/>
        <v>#NAME?</v>
      </c>
      <c r="I6" s="66" t="e">
        <f ca="1"/>
        <v>#NAME?</v>
      </c>
      <c r="J6" s="66" t="e">
        <f ca="1"/>
        <v>#NAME?</v>
      </c>
      <c r="K6" s="66" t="e">
        <f ca="1"/>
        <v>#NAME?</v>
      </c>
      <c r="L6" s="66" t="e">
        <f ca="1"/>
        <v>#NAME?</v>
      </c>
      <c r="M6" s="66" t="e">
        <f ca="1"/>
        <v>#NAME?</v>
      </c>
      <c r="N6" s="67" t="e">
        <f ca="1"/>
        <v>#NAME?</v>
      </c>
      <c r="O6" s="67" t="e">
        <f ca="1"/>
        <v>#NAME?</v>
      </c>
      <c r="P6" s="66" t="e">
        <f ca="1"/>
        <v>#NAME?</v>
      </c>
      <c r="Q6" s="66" t="e">
        <f ca="1"/>
        <v>#NAME?</v>
      </c>
      <c r="R6" s="66" t="e">
        <f ca="1"/>
        <v>#NAME?</v>
      </c>
      <c r="S6" s="66" t="e">
        <f ca="1"/>
        <v>#NAME?</v>
      </c>
      <c r="T6" s="67" t="e">
        <f ca="1"/>
        <v>#NAME?</v>
      </c>
    </row>
    <row r="7" spans="1:20" x14ac:dyDescent="0.25">
      <c r="A7" s="66" t="e">
        <f ca="1"/>
        <v>#NAME?</v>
      </c>
      <c r="B7" s="66" t="e">
        <f ca="1"/>
        <v>#NAME?</v>
      </c>
      <c r="C7" s="66" t="e">
        <f ca="1"/>
        <v>#NAME?</v>
      </c>
      <c r="D7" s="66" t="e">
        <f ca="1"/>
        <v>#NAME?</v>
      </c>
      <c r="E7" s="66" t="e">
        <f ca="1"/>
        <v>#NAME?</v>
      </c>
      <c r="F7" s="66" t="e">
        <f ca="1"/>
        <v>#NAME?</v>
      </c>
      <c r="G7" s="66" t="e">
        <f ca="1"/>
        <v>#NAME?</v>
      </c>
      <c r="H7" s="66" t="e">
        <f ca="1"/>
        <v>#NAME?</v>
      </c>
      <c r="I7" s="66" t="e">
        <f ca="1"/>
        <v>#NAME?</v>
      </c>
      <c r="J7" s="66" t="e">
        <f ca="1"/>
        <v>#NAME?</v>
      </c>
      <c r="K7" s="66" t="e">
        <f ca="1"/>
        <v>#NAME?</v>
      </c>
      <c r="L7" s="66" t="e">
        <f ca="1"/>
        <v>#NAME?</v>
      </c>
      <c r="M7" s="66" t="e">
        <f ca="1"/>
        <v>#NAME?</v>
      </c>
      <c r="N7" s="67" t="e">
        <f ca="1"/>
        <v>#NAME?</v>
      </c>
      <c r="O7" s="67" t="e">
        <f ca="1"/>
        <v>#NAME?</v>
      </c>
      <c r="P7" s="66" t="e">
        <f ca="1"/>
        <v>#NAME?</v>
      </c>
      <c r="Q7" s="66" t="e">
        <f ca="1"/>
        <v>#NAME?</v>
      </c>
      <c r="R7" s="66" t="e">
        <f ca="1"/>
        <v>#NAME?</v>
      </c>
      <c r="S7" s="66" t="e">
        <f ca="1"/>
        <v>#NAME?</v>
      </c>
      <c r="T7" s="67" t="e">
        <f ca="1"/>
        <v>#NAME?</v>
      </c>
    </row>
    <row r="8" spans="1:20" x14ac:dyDescent="0.25">
      <c r="A8" s="66" t="e">
        <f ca="1"/>
        <v>#NAME?</v>
      </c>
      <c r="B8" s="66" t="e">
        <f ca="1"/>
        <v>#NAME?</v>
      </c>
      <c r="C8" s="66" t="e">
        <f ca="1"/>
        <v>#NAME?</v>
      </c>
      <c r="D8" s="66" t="e">
        <f ca="1"/>
        <v>#NAME?</v>
      </c>
      <c r="E8" s="66" t="e">
        <f ca="1"/>
        <v>#NAME?</v>
      </c>
      <c r="F8" s="66" t="e">
        <f ca="1"/>
        <v>#NAME?</v>
      </c>
      <c r="G8" s="66" t="e">
        <f ca="1"/>
        <v>#NAME?</v>
      </c>
      <c r="H8" s="66" t="e">
        <f ca="1"/>
        <v>#NAME?</v>
      </c>
      <c r="I8" s="66" t="e">
        <f ca="1"/>
        <v>#NAME?</v>
      </c>
      <c r="J8" s="66" t="e">
        <f ca="1"/>
        <v>#NAME?</v>
      </c>
      <c r="K8" s="66" t="e">
        <f ca="1"/>
        <v>#NAME?</v>
      </c>
      <c r="L8" s="66" t="e">
        <f ca="1"/>
        <v>#NAME?</v>
      </c>
      <c r="M8" s="66" t="e">
        <f ca="1"/>
        <v>#NAME?</v>
      </c>
      <c r="N8" s="67" t="e">
        <f ca="1"/>
        <v>#NAME?</v>
      </c>
      <c r="O8" s="67" t="e">
        <f ca="1"/>
        <v>#NAME?</v>
      </c>
      <c r="P8" s="66" t="e">
        <f ca="1"/>
        <v>#NAME?</v>
      </c>
      <c r="Q8" s="66" t="e">
        <f ca="1"/>
        <v>#NAME?</v>
      </c>
      <c r="R8" s="66" t="e">
        <f ca="1"/>
        <v>#NAME?</v>
      </c>
      <c r="S8" s="66" t="e">
        <f ca="1"/>
        <v>#NAME?</v>
      </c>
      <c r="T8" s="67" t="e">
        <f ca="1"/>
        <v>#NAME?</v>
      </c>
    </row>
    <row r="9" spans="1:20" x14ac:dyDescent="0.25">
      <c r="A9" s="66" t="e">
        <f ca="1"/>
        <v>#NAME?</v>
      </c>
      <c r="B9" s="66" t="e">
        <f ca="1"/>
        <v>#NAME?</v>
      </c>
      <c r="C9" s="66" t="e">
        <f ca="1"/>
        <v>#NAME?</v>
      </c>
      <c r="D9" s="66" t="e">
        <f ca="1"/>
        <v>#NAME?</v>
      </c>
      <c r="E9" s="66" t="e">
        <f ca="1"/>
        <v>#NAME?</v>
      </c>
      <c r="F9" s="66" t="e">
        <f ca="1"/>
        <v>#NAME?</v>
      </c>
      <c r="G9" s="66" t="e">
        <f ca="1"/>
        <v>#NAME?</v>
      </c>
      <c r="H9" s="66" t="e">
        <f ca="1"/>
        <v>#NAME?</v>
      </c>
      <c r="I9" s="66" t="e">
        <f ca="1"/>
        <v>#NAME?</v>
      </c>
      <c r="J9" s="66" t="e">
        <f ca="1"/>
        <v>#NAME?</v>
      </c>
      <c r="K9" s="66" t="e">
        <f ca="1"/>
        <v>#NAME?</v>
      </c>
      <c r="L9" s="66" t="e">
        <f ca="1"/>
        <v>#NAME?</v>
      </c>
      <c r="M9" s="66" t="e">
        <f ca="1"/>
        <v>#NAME?</v>
      </c>
      <c r="N9" s="67" t="e">
        <f ca="1"/>
        <v>#NAME?</v>
      </c>
      <c r="O9" s="67" t="e">
        <f ca="1"/>
        <v>#NAME?</v>
      </c>
      <c r="P9" s="66" t="e">
        <f ca="1"/>
        <v>#NAME?</v>
      </c>
      <c r="Q9" s="66" t="e">
        <f ca="1"/>
        <v>#NAME?</v>
      </c>
      <c r="R9" s="66" t="e">
        <f ca="1"/>
        <v>#NAME?</v>
      </c>
      <c r="S9" s="66" t="e">
        <f ca="1"/>
        <v>#NAME?</v>
      </c>
      <c r="T9" s="67" t="e">
        <f ca="1"/>
        <v>#NAME?</v>
      </c>
    </row>
    <row r="10" spans="1:20" x14ac:dyDescent="0.25">
      <c r="A10" s="66" t="e">
        <f ca="1"/>
        <v>#NAME?</v>
      </c>
      <c r="B10" s="66" t="e">
        <f ca="1"/>
        <v>#NAME?</v>
      </c>
      <c r="C10" s="66" t="e">
        <f ca="1"/>
        <v>#NAME?</v>
      </c>
      <c r="D10" s="66" t="e">
        <f ca="1"/>
        <v>#NAME?</v>
      </c>
      <c r="E10" s="66" t="e">
        <f ca="1"/>
        <v>#NAME?</v>
      </c>
      <c r="F10" s="66" t="e">
        <f ca="1"/>
        <v>#NAME?</v>
      </c>
      <c r="G10" s="66" t="e">
        <f ca="1"/>
        <v>#NAME?</v>
      </c>
      <c r="H10" s="66" t="e">
        <f ca="1"/>
        <v>#NAME?</v>
      </c>
      <c r="I10" s="66" t="e">
        <f ca="1"/>
        <v>#NAME?</v>
      </c>
      <c r="J10" s="66" t="e">
        <f ca="1"/>
        <v>#NAME?</v>
      </c>
      <c r="K10" s="66" t="e">
        <f ca="1"/>
        <v>#NAME?</v>
      </c>
      <c r="L10" s="66" t="e">
        <f ca="1"/>
        <v>#NAME?</v>
      </c>
      <c r="M10" s="66" t="e">
        <f ca="1"/>
        <v>#NAME?</v>
      </c>
      <c r="N10" s="67" t="e">
        <f ca="1"/>
        <v>#NAME?</v>
      </c>
      <c r="O10" s="67" t="e">
        <f ca="1"/>
        <v>#NAME?</v>
      </c>
      <c r="P10" s="66" t="e">
        <f ca="1"/>
        <v>#NAME?</v>
      </c>
      <c r="Q10" s="66" t="e">
        <f ca="1"/>
        <v>#NAME?</v>
      </c>
      <c r="R10" s="66" t="e">
        <f ca="1"/>
        <v>#NAME?</v>
      </c>
      <c r="S10" s="66" t="e">
        <f ca="1"/>
        <v>#NAME?</v>
      </c>
      <c r="T10" s="67"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55"/>
  <sheetViews>
    <sheetView zoomScale="76" zoomScaleNormal="100" workbookViewId="0">
      <selection activeCell="G157" sqref="G157"/>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7" style="4" customWidth="1"/>
    <col min="16" max="16" width="10.7109375" hidden="1" customWidth="1"/>
    <col min="17" max="17" width="14" customWidth="1"/>
    <col min="18" max="18" width="16.85546875"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668</v>
      </c>
      <c r="J1" s="2" t="s">
        <v>669</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69"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41609807.880000003</v>
      </c>
      <c r="P127" s="14">
        <f t="shared" ref="P127:P155" si="15">N127-O127</f>
        <v>-41609807.880000003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0</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496353.94</v>
      </c>
      <c r="P133" s="14">
        <f t="shared" si="15"/>
        <v>-496353.94</v>
      </c>
      <c r="Q133" s="2" t="s">
        <v>18</v>
      </c>
      <c r="R133" s="38"/>
      <c r="S133" s="12"/>
      <c r="T133" s="13">
        <v>496353.94</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10493644.765463065</v>
      </c>
      <c r="P134" s="14">
        <f t="shared" ref="P134:P140" si="16">N134-O134</f>
        <v>-10493644.765463065</v>
      </c>
      <c r="Q134" s="2" t="s">
        <v>18</v>
      </c>
      <c r="R134" s="38"/>
      <c r="S134" s="12"/>
      <c r="T134" s="13">
        <v>10493644.765463065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7057580.6814250154</v>
      </c>
      <c r="P135" s="14">
        <f t="shared" si="16"/>
        <v>-7057580.6814250154</v>
      </c>
      <c r="Q135" s="2" t="s">
        <v>18</v>
      </c>
      <c r="R135" s="38"/>
      <c r="S135" s="12"/>
      <c r="T135" s="13">
        <v>7057580.6814250154</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7024261.0235421406</v>
      </c>
      <c r="P136" s="14">
        <f t="shared" si="16"/>
        <v>-7024261.0235421406</v>
      </c>
      <c r="Q136" s="2" t="s">
        <v>18</v>
      </c>
      <c r="R136" s="38"/>
      <c r="S136" s="12"/>
      <c r="T136" s="13">
        <v>7024261.0235421406</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7094454.389569778</v>
      </c>
      <c r="P137" s="14">
        <f t="shared" si="16"/>
        <v>-7094454.389569778</v>
      </c>
      <c r="Q137" s="2" t="s">
        <v>18</v>
      </c>
      <c r="R137" s="38"/>
      <c r="S137" s="12"/>
      <c r="T137" s="13">
        <v>7094454.389569778</v>
      </c>
    </row>
    <row r="138" spans="1:20" s="3" customFormat="1" hidden="1" outlineLevel="1" x14ac:dyDescent="0.25">
      <c r="A138" s="2">
        <f>ROW(DIARIO[[#This Row],[Nombre de Cuenta]])-1</f>
        <v>137</v>
      </c>
      <c r="B138" s="2"/>
      <c r="C138" s="12" t="s">
        <v>84</v>
      </c>
      <c r="D138" s="2">
        <f>VLOOKUP(C138,CATALOGO[],2,FALSE)</f>
        <v>12</v>
      </c>
      <c r="E138" s="12" t="str">
        <f>VLOOKUP(DIARIO[[#This Row],[Objeto de Gasto]],CATALOGO[],3,FALSE)</f>
        <v>12550 Contribuciones Para El Seguro Social</v>
      </c>
      <c r="F138" s="12"/>
      <c r="G138" s="12" t="s">
        <v>427</v>
      </c>
      <c r="H138" s="2"/>
      <c r="I138" s="8"/>
      <c r="J138" s="2"/>
      <c r="K138" s="8"/>
      <c r="L138" s="2"/>
      <c r="M138" s="8"/>
      <c r="N138" s="13"/>
      <c r="O138" s="13">
        <v>55648.055386624954</v>
      </c>
      <c r="P138" s="14">
        <f t="shared" si="16"/>
        <v>-55648.055386624954</v>
      </c>
      <c r="Q138" s="2" t="s">
        <v>18</v>
      </c>
      <c r="R138" s="38"/>
      <c r="S138" s="12"/>
      <c r="T138" s="13">
        <v>55648.055386624954</v>
      </c>
    </row>
    <row r="139" spans="1:20" s="3" customFormat="1" hidden="1" outlineLevel="1" x14ac:dyDescent="0.25">
      <c r="A139" s="2">
        <f>ROW(DIARIO[[#This Row],[Nombre de Cuenta]])-1</f>
        <v>138</v>
      </c>
      <c r="B139" s="2"/>
      <c r="C139" s="12" t="s">
        <v>395</v>
      </c>
      <c r="D139" s="2">
        <f>VLOOKUP(C139,CATALOGO[],2,FALSE)</f>
        <v>12</v>
      </c>
      <c r="E139" s="12" t="str">
        <f>VLOOKUP(DIARIO[[#This Row],[Objeto de Gasto]],CATALOGO[],3,FALSE)</f>
        <v>12550 Contribuciones Para El Seguro Social</v>
      </c>
      <c r="F139" s="12"/>
      <c r="G139" s="12" t="s">
        <v>427</v>
      </c>
      <c r="H139" s="2"/>
      <c r="I139" s="8"/>
      <c r="J139" s="2"/>
      <c r="K139" s="8"/>
      <c r="L139" s="2"/>
      <c r="M139" s="8"/>
      <c r="N139" s="13"/>
      <c r="O139" s="13">
        <v>109113.83340165881</v>
      </c>
      <c r="P139" s="14">
        <f t="shared" si="16"/>
        <v>-109113.83340165881</v>
      </c>
      <c r="Q139" s="2" t="s">
        <v>18</v>
      </c>
      <c r="R139" s="38"/>
      <c r="S139" s="12"/>
      <c r="T139" s="13">
        <v>109113.83340165881</v>
      </c>
    </row>
    <row r="140" spans="1:20" s="3" customFormat="1" hidden="1" outlineLevel="1" x14ac:dyDescent="0.25">
      <c r="A140" s="2">
        <f>ROW(DIARIO[[#This Row],[Nombre de Cuenta]])-1</f>
        <v>139</v>
      </c>
      <c r="B140" s="2"/>
      <c r="C140" s="12" t="s">
        <v>81</v>
      </c>
      <c r="D140" s="2">
        <f>VLOOKUP(C140,CATALOGO[],2,FALSE)</f>
        <v>12</v>
      </c>
      <c r="E140" s="12" t="str">
        <f>VLOOKUP(DIARIO[[#This Row],[Objeto de Gasto]],CATALOGO[],3,FALSE)</f>
        <v>12550 Contribuciones Para El Seguro Social</v>
      </c>
      <c r="F140" s="12"/>
      <c r="G140" s="12" t="s">
        <v>427</v>
      </c>
      <c r="H140" s="2"/>
      <c r="I140" s="8"/>
      <c r="J140" s="2"/>
      <c r="K140" s="8"/>
      <c r="L140" s="2"/>
      <c r="M140" s="8"/>
      <c r="N140" s="13"/>
      <c r="O140" s="13">
        <v>26023.571211716226</v>
      </c>
      <c r="P140" s="14">
        <f t="shared" si="16"/>
        <v>-26023.571211716226</v>
      </c>
      <c r="Q140" s="2" t="s">
        <v>18</v>
      </c>
      <c r="R140" s="38"/>
      <c r="S140" s="12"/>
      <c r="T140" s="13">
        <v>26023.571211716226</v>
      </c>
    </row>
    <row r="141" spans="1:20" s="3" customFormat="1" hidden="1" outlineLevel="1" x14ac:dyDescent="0.25">
      <c r="A141" s="2">
        <f>ROW(DIARIO[[#This Row],[Nombre de Cuenta]])-1</f>
        <v>140</v>
      </c>
      <c r="B141" s="2"/>
      <c r="C141" s="12" t="s">
        <v>352</v>
      </c>
      <c r="D141" s="2">
        <f>VLOOKUP(C141,CATALOGO[],2,FALSE)</f>
        <v>63</v>
      </c>
      <c r="E141" s="12" t="str">
        <f>VLOOKUP(DIARIO[[#This Row],[Objeto de Gasto]],CATALOGO[],3,FALSE)</f>
        <v>14100 Horas Extraordinarias</v>
      </c>
      <c r="F141" s="12"/>
      <c r="G141" s="12" t="s">
        <v>427</v>
      </c>
      <c r="H141" s="2"/>
      <c r="I141" s="8"/>
      <c r="J141" s="2"/>
      <c r="K141" s="8"/>
      <c r="L141" s="2"/>
      <c r="M141" s="8"/>
      <c r="N141" s="13"/>
      <c r="O141" s="13">
        <v>216792.27</v>
      </c>
      <c r="P141" s="14">
        <f t="shared" si="15"/>
        <v>-216792.27</v>
      </c>
      <c r="Q141" s="2" t="s">
        <v>18</v>
      </c>
      <c r="R141" s="38"/>
      <c r="S141" s="12"/>
      <c r="T141" s="13">
        <v>216792.27</v>
      </c>
    </row>
    <row r="142" spans="1:20" s="3" customFormat="1" ht="45" hidden="1" outlineLevel="1" x14ac:dyDescent="0.25">
      <c r="A142" s="53">
        <f>ROW(DIARIO[[#This Row],[Nombre de Cuenta]])-1</f>
        <v>141</v>
      </c>
      <c r="B142" s="56"/>
      <c r="C142" s="57" t="s">
        <v>397</v>
      </c>
      <c r="D142" s="58">
        <f>VLOOKUP(C142,CATALOGO[],2,FALSE)</f>
        <v>15</v>
      </c>
      <c r="E142" s="59" t="str">
        <f>VLOOKUP(DIARIO[[#This Row],[Objeto de Gasto]],CATALOGO[],3,FALSE)</f>
        <v>23200 Mantenimiento Y Reparacion De Equipos Y Medios De Transporte Terrestre</v>
      </c>
      <c r="F142" s="60"/>
      <c r="G142" s="63" t="s">
        <v>428</v>
      </c>
      <c r="H142" s="60"/>
      <c r="I142" s="61"/>
      <c r="J142" s="60"/>
      <c r="K142" s="61"/>
      <c r="L142" s="60"/>
      <c r="M142" s="61"/>
      <c r="N142" s="62"/>
      <c r="O142" s="13">
        <v>660000</v>
      </c>
      <c r="P142" s="62">
        <f t="shared" ref="P142:P150" si="17">N142-O142</f>
        <v>-660000</v>
      </c>
      <c r="Q142" s="56" t="s">
        <v>33</v>
      </c>
      <c r="R142" s="39"/>
      <c r="S142" s="63"/>
      <c r="T142" s="62"/>
    </row>
    <row r="143" spans="1:20" s="3" customFormat="1" hidden="1" outlineLevel="1" x14ac:dyDescent="0.25">
      <c r="A143" s="53">
        <f>ROW(DIARIO[[#This Row],[Nombre de Cuenta]])-1</f>
        <v>142</v>
      </c>
      <c r="B143" s="56"/>
      <c r="C143" s="57">
        <v>27210</v>
      </c>
      <c r="D143" s="58">
        <f>VLOOKUP(C143,CATALOGO[],2,FALSE)</f>
        <v>26</v>
      </c>
      <c r="E143" s="59" t="str">
        <f>VLOOKUP(DIARIO[[#This Row],[Objeto de Gasto]],CATALOGO[],3,FALSE)</f>
        <v>27210 Tasas</v>
      </c>
      <c r="F143" s="60"/>
      <c r="G143" s="63" t="s">
        <v>656</v>
      </c>
      <c r="H143" s="60"/>
      <c r="I143" s="61"/>
      <c r="J143" s="60"/>
      <c r="K143" s="61"/>
      <c r="L143" s="60"/>
      <c r="M143" s="61"/>
      <c r="N143" s="62">
        <v>300000</v>
      </c>
      <c r="O143" s="13"/>
      <c r="P143" s="62">
        <f t="shared" si="17"/>
        <v>300000</v>
      </c>
      <c r="Q143" s="56" t="s">
        <v>33</v>
      </c>
      <c r="R143" s="39"/>
      <c r="S143" s="63"/>
      <c r="T143" s="62"/>
    </row>
    <row r="144" spans="1:20" s="3" customFormat="1" ht="45" hidden="1" outlineLevel="1" x14ac:dyDescent="0.25">
      <c r="A144" s="53">
        <f>ROW(DIARIO[[#This Row],[Nombre de Cuenta]])-1</f>
        <v>143</v>
      </c>
      <c r="B144" s="56"/>
      <c r="C144" s="57" t="s">
        <v>411</v>
      </c>
      <c r="D144" s="58">
        <f>VLOOKUP(C144,CATALOGO[],2,FALSE)</f>
        <v>66</v>
      </c>
      <c r="E144" s="59" t="str">
        <f>VLOOKUP(DIARIO[[#This Row],[Objeto de Gasto]],CATALOGO[],3,FALSE)</f>
        <v>35610 Gasolina</v>
      </c>
      <c r="F144" s="60"/>
      <c r="G144" s="63" t="s">
        <v>709</v>
      </c>
      <c r="H144" s="60"/>
      <c r="I144" s="61"/>
      <c r="J144" s="60"/>
      <c r="K144" s="61"/>
      <c r="L144" s="60"/>
      <c r="M144" s="61"/>
      <c r="N144" s="62"/>
      <c r="O144" s="13">
        <v>428212</v>
      </c>
      <c r="P144" s="62">
        <f t="shared" si="17"/>
        <v>-428212</v>
      </c>
      <c r="Q144" s="56" t="s">
        <v>33</v>
      </c>
      <c r="R144" s="39"/>
      <c r="S144" s="63"/>
      <c r="T144" s="62"/>
    </row>
    <row r="145" spans="1:25" s="3" customFormat="1" ht="45" hidden="1" outlineLevel="1" x14ac:dyDescent="0.25">
      <c r="A145" s="53">
        <f>ROW(DIARIO[[#This Row],[Nombre de Cuenta]])-1</f>
        <v>144</v>
      </c>
      <c r="B145" s="56"/>
      <c r="C145" s="57" t="s">
        <v>412</v>
      </c>
      <c r="D145" s="58">
        <f>VLOOKUP(C145,CATALOGO[],2,FALSE)</f>
        <v>42</v>
      </c>
      <c r="E145" s="59" t="str">
        <f>VLOOKUP(DIARIO[[#This Row],[Objeto de Gasto]],CATALOGO[],3,FALSE)</f>
        <v>35620 Diesel</v>
      </c>
      <c r="F145" s="60"/>
      <c r="G145" s="63" t="s">
        <v>709</v>
      </c>
      <c r="H145" s="60"/>
      <c r="I145" s="61"/>
      <c r="J145" s="60"/>
      <c r="K145" s="61"/>
      <c r="L145" s="60"/>
      <c r="M145" s="61"/>
      <c r="N145" s="62"/>
      <c r="O145" s="13">
        <v>308901</v>
      </c>
      <c r="P145" s="62">
        <f t="shared" si="17"/>
        <v>-308901</v>
      </c>
      <c r="Q145" s="56" t="s">
        <v>33</v>
      </c>
      <c r="R145" s="39"/>
      <c r="S145" s="63"/>
      <c r="T145" s="62"/>
    </row>
    <row r="146" spans="1:25" s="3" customFormat="1" ht="45" hidden="1" outlineLevel="1" x14ac:dyDescent="0.25">
      <c r="A146" s="53">
        <f>ROW(DIARIO[[#This Row],[Nombre de Cuenta]])-1</f>
        <v>145</v>
      </c>
      <c r="B146" s="56"/>
      <c r="C146" s="57" t="s">
        <v>413</v>
      </c>
      <c r="D146" s="58">
        <f>VLOOKUP(C146,CATALOGO[],2,FALSE)</f>
        <v>44</v>
      </c>
      <c r="E146" s="59" t="str">
        <f>VLOOKUP(DIARIO[[#This Row],[Objeto de Gasto]],CATALOGO[],3,FALSE)</f>
        <v>35650 Aceites Y Grasas Lubricantes</v>
      </c>
      <c r="F146" s="60"/>
      <c r="G146" s="63" t="s">
        <v>709</v>
      </c>
      <c r="H146" s="60"/>
      <c r="I146" s="61"/>
      <c r="J146" s="60"/>
      <c r="K146" s="61"/>
      <c r="L146" s="60"/>
      <c r="M146" s="61"/>
      <c r="N146" s="62"/>
      <c r="O146" s="13">
        <v>200000</v>
      </c>
      <c r="P146" s="62">
        <f t="shared" si="17"/>
        <v>-200000</v>
      </c>
      <c r="Q146" s="56" t="s">
        <v>33</v>
      </c>
      <c r="R146" s="39"/>
      <c r="S146" s="63"/>
      <c r="T146" s="62"/>
    </row>
    <row r="147" spans="1:25" s="3" customFormat="1" ht="45" hidden="1" outlineLevel="1" x14ac:dyDescent="0.25">
      <c r="A147" s="53">
        <f>ROW(DIARIO[[#This Row],[Nombre de Cuenta]])-1</f>
        <v>146</v>
      </c>
      <c r="B147" s="56"/>
      <c r="C147" s="57" t="s">
        <v>423</v>
      </c>
      <c r="D147" s="58">
        <f>VLOOKUP(C147,CATALOGO[],2,FALSE)</f>
        <v>61</v>
      </c>
      <c r="E147" s="59" t="str">
        <f>VLOOKUP(DIARIO[[#This Row],[Objeto de Gasto]],CATALOGO[],3,FALSE)</f>
        <v>42310 Equipo De Transporte Terrestre Para Personas</v>
      </c>
      <c r="F147" s="60"/>
      <c r="G147" s="63" t="s">
        <v>709</v>
      </c>
      <c r="H147" s="60"/>
      <c r="I147" s="61"/>
      <c r="J147" s="60"/>
      <c r="K147" s="61"/>
      <c r="L147" s="60"/>
      <c r="M147" s="61"/>
      <c r="N147" s="62">
        <v>937113</v>
      </c>
      <c r="O147" s="13"/>
      <c r="P147" s="62">
        <f t="shared" si="17"/>
        <v>937113</v>
      </c>
      <c r="Q147" s="56" t="s">
        <v>33</v>
      </c>
      <c r="R147" s="39"/>
      <c r="S147" s="63"/>
      <c r="T147" s="62"/>
    </row>
    <row r="148" spans="1:25" s="3" customFormat="1" ht="45" hidden="1" outlineLevel="1" x14ac:dyDescent="0.25">
      <c r="A148" s="53">
        <f>ROW(DIARIO[[#This Row],[Nombre de Cuenta]])-1</f>
        <v>147</v>
      </c>
      <c r="B148" s="56"/>
      <c r="C148" s="57" t="s">
        <v>271</v>
      </c>
      <c r="D148" s="58">
        <f>VLOOKUP(C148,CATALOGO[],2,FALSE)</f>
        <v>49</v>
      </c>
      <c r="E148" s="59" t="str">
        <f>VLOOKUP(DIARIO[[#This Row],[Objeto de Gasto]],CATALOGO[],3,FALSE)</f>
        <v xml:space="preserve">39520 Intrumental Y Material Para Laboratorio </v>
      </c>
      <c r="F148" s="60"/>
      <c r="G148" s="63" t="s">
        <v>712</v>
      </c>
      <c r="H148" s="60"/>
      <c r="I148" s="61"/>
      <c r="J148" s="60"/>
      <c r="K148" s="61"/>
      <c r="L148" s="60"/>
      <c r="M148" s="61"/>
      <c r="N148" s="62">
        <v>232334.82135864813</v>
      </c>
      <c r="O148" s="13"/>
      <c r="P148" s="62">
        <f t="shared" si="17"/>
        <v>232334.82135864813</v>
      </c>
      <c r="Q148" s="56" t="s">
        <v>33</v>
      </c>
      <c r="R148" s="39"/>
      <c r="S148" s="63"/>
      <c r="T148" s="62"/>
    </row>
    <row r="149" spans="1:25" s="3" customFormat="1" ht="45" hidden="1" outlineLevel="1" x14ac:dyDescent="0.25">
      <c r="A149" s="53">
        <f>ROW(DIARIO[[#This Row],[Nombre de Cuenta]])-1</f>
        <v>148</v>
      </c>
      <c r="B149" s="56"/>
      <c r="C149" s="57" t="s">
        <v>417</v>
      </c>
      <c r="D149" s="58">
        <f>VLOOKUP(C149,CATALOGO[],2,FALSE)</f>
        <v>49</v>
      </c>
      <c r="E149" s="59" t="str">
        <f>VLOOKUP(DIARIO[[#This Row],[Objeto de Gasto]],CATALOGO[],3,FALSE)</f>
        <v xml:space="preserve">39520 Intrumental Y Material Para Laboratorio </v>
      </c>
      <c r="F149" s="60"/>
      <c r="G149" s="63" t="s">
        <v>712</v>
      </c>
      <c r="H149" s="60"/>
      <c r="I149" s="61"/>
      <c r="J149" s="60"/>
      <c r="K149" s="61"/>
      <c r="L149" s="60"/>
      <c r="M149" s="61"/>
      <c r="N149" s="62">
        <v>248213.70524327544</v>
      </c>
      <c r="O149" s="13"/>
      <c r="P149" s="62">
        <f t="shared" si="17"/>
        <v>248213.70524327544</v>
      </c>
      <c r="Q149" s="56" t="s">
        <v>33</v>
      </c>
      <c r="R149" s="39"/>
      <c r="S149" s="63"/>
      <c r="T149" s="62"/>
    </row>
    <row r="150" spans="1:25" s="3" customFormat="1" ht="45" hidden="1" outlineLevel="1" x14ac:dyDescent="0.25">
      <c r="A150" s="53">
        <f>ROW(DIARIO[[#This Row],[Nombre de Cuenta]])-1</f>
        <v>149</v>
      </c>
      <c r="B150" s="56"/>
      <c r="C150" s="57" t="s">
        <v>272</v>
      </c>
      <c r="D150" s="58">
        <f>VLOOKUP(C150,CATALOGO[],2,FALSE)</f>
        <v>49</v>
      </c>
      <c r="E150" s="59" t="str">
        <f>VLOOKUP(DIARIO[[#This Row],[Objeto de Gasto]],CATALOGO[],3,FALSE)</f>
        <v xml:space="preserve">39520 Intrumental Y Material Para Laboratorio </v>
      </c>
      <c r="F150" s="60"/>
      <c r="G150" s="63" t="s">
        <v>712</v>
      </c>
      <c r="H150" s="60"/>
      <c r="I150" s="61"/>
      <c r="J150" s="60"/>
      <c r="K150" s="61"/>
      <c r="L150" s="60"/>
      <c r="M150" s="61"/>
      <c r="N150" s="62">
        <v>189451.47339807643</v>
      </c>
      <c r="O150" s="13"/>
      <c r="P150" s="62">
        <f t="shared" si="17"/>
        <v>189451.47339807643</v>
      </c>
      <c r="Q150" s="56" t="s">
        <v>33</v>
      </c>
      <c r="R150" s="39"/>
      <c r="S150" s="63"/>
      <c r="T150" s="62"/>
    </row>
    <row r="151" spans="1:25" s="3" customFormat="1" ht="30" hidden="1" outlineLevel="1" x14ac:dyDescent="0.25">
      <c r="A151" s="53">
        <f>ROW(DIARIO[[#This Row],[Nombre de Cuenta]])-1</f>
        <v>150</v>
      </c>
      <c r="B151" s="56"/>
      <c r="C151" s="57" t="s">
        <v>724</v>
      </c>
      <c r="D151" s="58">
        <f>VLOOKUP(C151,CATALOGO[],2,FALSE)</f>
        <v>68</v>
      </c>
      <c r="E151" s="59" t="str">
        <f>VLOOKUP(DIARIO[[#This Row],[Objeto de Gasto]],CATALOGO[],3,FALSE)</f>
        <v>42510 Equipo de Comunicación</v>
      </c>
      <c r="F151" s="60"/>
      <c r="G151" s="63" t="s">
        <v>725</v>
      </c>
      <c r="H151" s="60"/>
      <c r="I151" s="61"/>
      <c r="J151" s="60"/>
      <c r="K151" s="61"/>
      <c r="L151" s="60"/>
      <c r="M151" s="61"/>
      <c r="N151" s="62">
        <v>300000</v>
      </c>
      <c r="O151" s="13"/>
      <c r="P151" s="62">
        <f>N151-O151</f>
        <v>300000</v>
      </c>
      <c r="Q151" s="56" t="s">
        <v>33</v>
      </c>
      <c r="R151" s="39"/>
      <c r="S151" s="63"/>
      <c r="T151" s="62"/>
    </row>
    <row r="152" spans="1:25" s="3" customFormat="1" ht="30" hidden="1" outlineLevel="1" x14ac:dyDescent="0.25">
      <c r="A152" s="53">
        <f>ROW(DIARIO[[#This Row],[Nombre de Cuenta]])-1</f>
        <v>151</v>
      </c>
      <c r="B152" s="56"/>
      <c r="C152" s="57" t="s">
        <v>413</v>
      </c>
      <c r="D152" s="58">
        <f>VLOOKUP(C152,CATALOGO[],2,FALSE)</f>
        <v>44</v>
      </c>
      <c r="E152" s="59" t="str">
        <f>VLOOKUP(DIARIO[[#This Row],[Objeto de Gasto]],CATALOGO[],3,FALSE)</f>
        <v>35650 Aceites Y Grasas Lubricantes</v>
      </c>
      <c r="F152" s="60"/>
      <c r="G152" s="63" t="s">
        <v>725</v>
      </c>
      <c r="H152" s="60"/>
      <c r="I152" s="61"/>
      <c r="J152" s="60"/>
      <c r="K152" s="61"/>
      <c r="L152" s="60"/>
      <c r="M152" s="61"/>
      <c r="N152" s="62"/>
      <c r="O152" s="13">
        <v>300000</v>
      </c>
      <c r="P152" s="62">
        <f>N152-O152</f>
        <v>-300000</v>
      </c>
      <c r="Q152" s="56" t="s">
        <v>33</v>
      </c>
      <c r="R152" s="39"/>
      <c r="S152" s="63"/>
      <c r="T152" s="62"/>
    </row>
    <row r="153" spans="1:25" s="3" customFormat="1" ht="45" hidden="1" outlineLevel="1" x14ac:dyDescent="0.25">
      <c r="A153" s="53">
        <f>ROW(DIARIO[[#This Row],[Nombre de Cuenta]])-1</f>
        <v>152</v>
      </c>
      <c r="B153" s="56"/>
      <c r="C153" s="57" t="s">
        <v>147</v>
      </c>
      <c r="D153" s="58">
        <f>VLOOKUP(C153,CATALOGO[],2,FALSE)</f>
        <v>25</v>
      </c>
      <c r="E153" s="59" t="str">
        <f>VLOOKUP(DIARIO[[#This Row],[Objeto de Gasto]],CATALOGO[],3,FALSE)</f>
        <v>26210 Viaticos Nacionales</v>
      </c>
      <c r="F153" s="60"/>
      <c r="G153" s="63" t="s">
        <v>769</v>
      </c>
      <c r="H153" s="60"/>
      <c r="I153" s="61"/>
      <c r="J153" s="60"/>
      <c r="K153" s="61"/>
      <c r="L153" s="60"/>
      <c r="M153" s="61"/>
      <c r="N153" s="62"/>
      <c r="O153" s="13">
        <v>159343.76999999999</v>
      </c>
      <c r="P153" s="62">
        <f>N153-O153</f>
        <v>-159343.76999999999</v>
      </c>
      <c r="Q153" s="56" t="s">
        <v>18</v>
      </c>
      <c r="R153" s="39"/>
      <c r="S153" s="63"/>
      <c r="T153" s="62">
        <v>159343.76999999999</v>
      </c>
    </row>
    <row r="154" spans="1:25" s="3" customFormat="1" ht="45" hidden="1" outlineLevel="1" x14ac:dyDescent="0.25">
      <c r="A154" s="53">
        <f>ROW(DIARIO[[#This Row],[Nombre de Cuenta]])-1</f>
        <v>153</v>
      </c>
      <c r="B154" s="56"/>
      <c r="C154" s="57" t="s">
        <v>362</v>
      </c>
      <c r="D154" s="58">
        <f>VLOOKUP(C154,CATALOGO[],2,FALSE)</f>
        <v>65</v>
      </c>
      <c r="E154" s="59" t="str">
        <f>VLOOKUP(DIARIO[[#This Row],[Objeto de Gasto]],CATALOGO[],3,FALSE)</f>
        <v>26220 Viáticos Al Exterior</v>
      </c>
      <c r="F154" s="60"/>
      <c r="G154" s="63" t="s">
        <v>770</v>
      </c>
      <c r="H154" s="60"/>
      <c r="I154" s="61"/>
      <c r="J154" s="60"/>
      <c r="K154" s="61"/>
      <c r="L154" s="60"/>
      <c r="M154" s="61"/>
      <c r="N154" s="62"/>
      <c r="O154" s="13">
        <v>37554.769999999997</v>
      </c>
      <c r="P154" s="62">
        <f>N154-O154</f>
        <v>-37554.769999999997</v>
      </c>
      <c r="Q154" s="56" t="s">
        <v>18</v>
      </c>
      <c r="R154" s="39"/>
      <c r="S154" s="63"/>
      <c r="T154" s="62">
        <v>37554.769999999997</v>
      </c>
    </row>
    <row r="155" spans="1:25" s="3" customFormat="1" hidden="1" outlineLevel="1" x14ac:dyDescent="0.25">
      <c r="A155" s="2">
        <f>ROW(DIARIO[[#This Row],[Nombre de Cuenta]])-1</f>
        <v>154</v>
      </c>
      <c r="B155" s="2"/>
      <c r="C155" s="12"/>
      <c r="D155" s="2" t="e">
        <f>VLOOKUP(C155,CATALOGO[],2,FALSE)</f>
        <v>#N/A</v>
      </c>
      <c r="E155" s="12" t="e">
        <f>VLOOKUP(DIARIO[[#This Row],[Objeto de Gasto]],CATALOGO[],3,FALSE)</f>
        <v>#N/A</v>
      </c>
      <c r="F155" s="12"/>
      <c r="G155" s="12"/>
      <c r="H155" s="2"/>
      <c r="I155" s="8"/>
      <c r="J155" s="2"/>
      <c r="K155" s="8"/>
      <c r="L155" s="2"/>
      <c r="M155" s="8"/>
      <c r="N155" s="13"/>
      <c r="O155" s="13"/>
      <c r="P155" s="14">
        <f t="shared" si="15"/>
        <v>0</v>
      </c>
      <c r="Q155" s="2" t="s">
        <v>18</v>
      </c>
      <c r="R155" s="38"/>
      <c r="S155" s="12"/>
      <c r="T155" s="13"/>
    </row>
    <row r="156" spans="1:25" s="3" customFormat="1" ht="25.5" collapsed="1" x14ac:dyDescent="0.25">
      <c r="A156" s="2">
        <f>ROW(DIARIO[[#This Row],[Nombre de Cuenta]])-$A$155-1</f>
        <v>1</v>
      </c>
      <c r="B156" s="15" t="s">
        <v>21</v>
      </c>
      <c r="C156" s="16" t="s">
        <v>226</v>
      </c>
      <c r="D156" s="15">
        <f>VLOOKUP(C156,CATALOGO[],2,FALSE)</f>
        <v>40</v>
      </c>
      <c r="E156" s="36" t="str">
        <f>VLOOKUP(DIARIO[[#This Row],[Objeto de Gasto]],CATALOGO[],3,FALSE)</f>
        <v>35252 Reactivo (VIH)</v>
      </c>
      <c r="F156" s="16"/>
      <c r="G156" s="16" t="s">
        <v>429</v>
      </c>
      <c r="H156" s="15" t="s">
        <v>430</v>
      </c>
      <c r="I156" s="17">
        <v>45117</v>
      </c>
      <c r="J156" s="15" t="s">
        <v>431</v>
      </c>
      <c r="K156" s="17">
        <v>45152</v>
      </c>
      <c r="L156" s="15" t="s">
        <v>432</v>
      </c>
      <c r="M156" s="17">
        <v>45146</v>
      </c>
      <c r="N156" s="18"/>
      <c r="O156" s="18">
        <v>23605072.5</v>
      </c>
      <c r="P156" s="14">
        <f t="shared" ref="P156:P163" si="18">N156-O156</f>
        <v>-23605072.5</v>
      </c>
      <c r="Q156" s="2" t="s">
        <v>18</v>
      </c>
      <c r="R156" s="38" t="s">
        <v>433</v>
      </c>
      <c r="S156" s="16" t="s">
        <v>434</v>
      </c>
      <c r="T156" s="13">
        <v>23605072.5</v>
      </c>
    </row>
    <row r="157" spans="1:25" s="3" customFormat="1" ht="45" x14ac:dyDescent="0.25">
      <c r="A157" s="2">
        <f>ROW(DIARIO[[#This Row],[Nombre de Cuenta]])-$A$155-1</f>
        <v>2</v>
      </c>
      <c r="B157" s="15" t="s">
        <v>21</v>
      </c>
      <c r="C157" s="16" t="s">
        <v>270</v>
      </c>
      <c r="D157" s="15">
        <f>VLOOKUP(C157,CATALOGO[],2,FALSE)</f>
        <v>49</v>
      </c>
      <c r="E157" s="36" t="str">
        <f>VLOOKUP(DIARIO[[#This Row],[Objeto de Gasto]],CATALOGO[],3,FALSE)</f>
        <v xml:space="preserve">39520 Intrumental Y Material Para Laboratorio </v>
      </c>
      <c r="F157" s="16"/>
      <c r="G157" s="16" t="s">
        <v>435</v>
      </c>
      <c r="H157" s="15" t="s">
        <v>436</v>
      </c>
      <c r="I157" s="17">
        <v>45065</v>
      </c>
      <c r="J157" s="15" t="s">
        <v>437</v>
      </c>
      <c r="K157" s="17">
        <v>45078</v>
      </c>
      <c r="L157" s="15"/>
      <c r="M157" s="17"/>
      <c r="N157" s="18"/>
      <c r="O157" s="18">
        <f>816464.826362577-75040</f>
        <v>741424.82636257703</v>
      </c>
      <c r="P157" s="14">
        <f t="shared" si="18"/>
        <v>-741424.82636257703</v>
      </c>
      <c r="Q157" s="2" t="s">
        <v>18</v>
      </c>
      <c r="R157" s="38" t="s">
        <v>438</v>
      </c>
      <c r="S157" s="16" t="s">
        <v>439</v>
      </c>
      <c r="T157" s="13">
        <v>583769.57070558181</v>
      </c>
    </row>
    <row r="158" spans="1:25" s="3" customFormat="1" ht="45" x14ac:dyDescent="0.25">
      <c r="A158" s="2">
        <f>ROW(DIARIO[[#This Row],[Nombre de Cuenta]])-$A$155-1</f>
        <v>3</v>
      </c>
      <c r="B158" s="15" t="s">
        <v>21</v>
      </c>
      <c r="C158" s="16" t="s">
        <v>271</v>
      </c>
      <c r="D158" s="15">
        <f>VLOOKUP(C158,CATALOGO[],2,FALSE)</f>
        <v>49</v>
      </c>
      <c r="E158" s="36" t="str">
        <f>VLOOKUP(DIARIO[[#This Row],[Objeto de Gasto]],CATALOGO[],3,FALSE)</f>
        <v xml:space="preserve">39520 Intrumental Y Material Para Laboratorio </v>
      </c>
      <c r="F158" s="16"/>
      <c r="G158" s="16" t="s">
        <v>435</v>
      </c>
      <c r="H158" s="15" t="s">
        <v>436</v>
      </c>
      <c r="I158" s="17">
        <v>45065</v>
      </c>
      <c r="J158" s="15" t="s">
        <v>437</v>
      </c>
      <c r="K158" s="17">
        <v>45078</v>
      </c>
      <c r="L158" s="15"/>
      <c r="M158" s="17"/>
      <c r="N158" s="18"/>
      <c r="O158" s="18">
        <v>785096.472576709</v>
      </c>
      <c r="P158" s="14">
        <f t="shared" si="18"/>
        <v>-785096.472576709</v>
      </c>
      <c r="Q158" s="2" t="s">
        <v>18</v>
      </c>
      <c r="R158" s="38" t="s">
        <v>438</v>
      </c>
      <c r="S158" s="16" t="s">
        <v>439</v>
      </c>
      <c r="T158" s="13">
        <v>618154.95578568999</v>
      </c>
    </row>
    <row r="159" spans="1:25" s="3" customFormat="1" ht="45" x14ac:dyDescent="0.25">
      <c r="A159" s="2">
        <f>ROW(DIARIO[[#This Row],[Nombre de Cuenta]])-$A$155-1</f>
        <v>4</v>
      </c>
      <c r="B159" s="15" t="s">
        <v>21</v>
      </c>
      <c r="C159" s="16" t="s">
        <v>272</v>
      </c>
      <c r="D159" s="15">
        <f>VLOOKUP(C159,CATALOGO[],2,FALSE)</f>
        <v>49</v>
      </c>
      <c r="E159" s="36" t="str">
        <f>VLOOKUP(DIARIO[[#This Row],[Objeto de Gasto]],CATALOGO[],3,FALSE)</f>
        <v xml:space="preserve">39520 Intrumental Y Material Para Laboratorio </v>
      </c>
      <c r="F159" s="16"/>
      <c r="G159" s="16" t="s">
        <v>435</v>
      </c>
      <c r="H159" s="15" t="s">
        <v>436</v>
      </c>
      <c r="I159" s="17">
        <v>45065</v>
      </c>
      <c r="J159" s="15" t="s">
        <v>437</v>
      </c>
      <c r="K159" s="17">
        <v>45078</v>
      </c>
      <c r="L159" s="15"/>
      <c r="M159" s="17"/>
      <c r="N159" s="18"/>
      <c r="O159" s="18">
        <v>623174.55106071406</v>
      </c>
      <c r="P159" s="14">
        <f t="shared" si="18"/>
        <v>-623174.55106071406</v>
      </c>
      <c r="Q159" s="2" t="s">
        <v>18</v>
      </c>
      <c r="R159" s="38" t="s">
        <v>438</v>
      </c>
      <c r="S159" s="16" t="s">
        <v>439</v>
      </c>
      <c r="T159" s="13">
        <v>490663.82350872795</v>
      </c>
    </row>
    <row r="160" spans="1:25" s="3" customFormat="1" ht="30" x14ac:dyDescent="0.25">
      <c r="A160" s="2">
        <f>ROW(DIARIO[[#This Row],[Nombre de Cuenta]])-$A$155-1</f>
        <v>5</v>
      </c>
      <c r="B160" s="15" t="s">
        <v>21</v>
      </c>
      <c r="C160" s="16" t="s">
        <v>316</v>
      </c>
      <c r="D160" s="15">
        <f>VLOOKUP(C160,CATALOGO[],2,FALSE)</f>
        <v>58</v>
      </c>
      <c r="E160" s="36" t="str">
        <f>VLOOKUP(DIARIO[[#This Row],[Objeto de Gasto]],CATALOGO[],3,FALSE)</f>
        <v>42420 Equipo De Laboratorio Medico</v>
      </c>
      <c r="F160" s="16"/>
      <c r="G160" s="16" t="s">
        <v>440</v>
      </c>
      <c r="H160" s="15" t="s">
        <v>441</v>
      </c>
      <c r="I160" s="17">
        <v>45065</v>
      </c>
      <c r="J160" s="15" t="s">
        <v>442</v>
      </c>
      <c r="K160" s="17">
        <v>45078</v>
      </c>
      <c r="L160" s="15"/>
      <c r="M160" s="17"/>
      <c r="N160" s="18"/>
      <c r="O160" s="18">
        <v>6025770.7636850812</v>
      </c>
      <c r="P160" s="14">
        <f t="shared" si="18"/>
        <v>-6025770.7636850812</v>
      </c>
      <c r="Q160" s="2" t="s">
        <v>18</v>
      </c>
      <c r="R160" s="38" t="s">
        <v>443</v>
      </c>
      <c r="S160" s="16" t="s">
        <v>444</v>
      </c>
      <c r="T160" s="13">
        <v>37497.20757273514</v>
      </c>
      <c r="Y160" s="92"/>
    </row>
    <row r="161" spans="1:25" s="3" customFormat="1" ht="30" x14ac:dyDescent="0.25">
      <c r="A161" s="2">
        <f>ROW(DIARIO[[#This Row],[Nombre de Cuenta]])-$A$155-1</f>
        <v>6</v>
      </c>
      <c r="B161" s="15" t="s">
        <v>21</v>
      </c>
      <c r="C161" s="16" t="s">
        <v>318</v>
      </c>
      <c r="D161" s="15">
        <f>VLOOKUP(C161,CATALOGO[],2,FALSE)</f>
        <v>58</v>
      </c>
      <c r="E161" s="36" t="str">
        <f>VLOOKUP(DIARIO[[#This Row],[Objeto de Gasto]],CATALOGO[],3,FALSE)</f>
        <v>42420 Equipo De Laboratorio Medico</v>
      </c>
      <c r="F161" s="16"/>
      <c r="G161" s="16" t="s">
        <v>440</v>
      </c>
      <c r="H161" s="15" t="s">
        <v>441</v>
      </c>
      <c r="I161" s="17">
        <v>45065</v>
      </c>
      <c r="J161" s="15" t="s">
        <v>442</v>
      </c>
      <c r="K161" s="17">
        <v>45078</v>
      </c>
      <c r="L161" s="15"/>
      <c r="M161" s="17"/>
      <c r="N161" s="18"/>
      <c r="O161" s="18">
        <v>4580463.6959707029</v>
      </c>
      <c r="P161" s="14">
        <f t="shared" si="18"/>
        <v>-4580463.6959707029</v>
      </c>
      <c r="Q161" s="2" t="s">
        <v>18</v>
      </c>
      <c r="R161" s="38" t="s">
        <v>443</v>
      </c>
      <c r="S161" s="16" t="s">
        <v>444</v>
      </c>
      <c r="T161" s="13">
        <v>28503.340854299924</v>
      </c>
      <c r="Y161" s="92"/>
    </row>
    <row r="162" spans="1:25" s="3" customFormat="1" ht="30" x14ac:dyDescent="0.25">
      <c r="A162" s="2">
        <f>ROW(DIARIO[[#This Row],[Nombre de Cuenta]])-$A$155-1</f>
        <v>7</v>
      </c>
      <c r="B162" s="15" t="s">
        <v>21</v>
      </c>
      <c r="C162" s="16" t="s">
        <v>317</v>
      </c>
      <c r="D162" s="15">
        <f>VLOOKUP(C162,CATALOGO[],2,FALSE)</f>
        <v>58</v>
      </c>
      <c r="E162" s="36" t="str">
        <f>VLOOKUP(DIARIO[[#This Row],[Objeto de Gasto]],CATALOGO[],3,FALSE)</f>
        <v>42420 Equipo De Laboratorio Medico</v>
      </c>
      <c r="F162" s="16"/>
      <c r="G162" s="16" t="s">
        <v>440</v>
      </c>
      <c r="H162" s="15" t="s">
        <v>441</v>
      </c>
      <c r="I162" s="17">
        <v>45065</v>
      </c>
      <c r="J162" s="15" t="s">
        <v>442</v>
      </c>
      <c r="K162" s="17">
        <v>45078</v>
      </c>
      <c r="L162" s="15"/>
      <c r="M162" s="17"/>
      <c r="N162" s="18"/>
      <c r="O162" s="18">
        <v>8243780.15034422</v>
      </c>
      <c r="P162" s="14">
        <f t="shared" si="18"/>
        <v>-8243780.15034422</v>
      </c>
      <c r="Q162" s="2" t="s">
        <v>18</v>
      </c>
      <c r="R162" s="38" t="s">
        <v>443</v>
      </c>
      <c r="S162" s="16" t="s">
        <v>444</v>
      </c>
      <c r="T162" s="13">
        <v>51299.451572964899</v>
      </c>
      <c r="Y162" s="92"/>
    </row>
    <row r="163" spans="1:25" s="3" customFormat="1" ht="60" x14ac:dyDescent="0.25">
      <c r="A163" s="2">
        <f>ROW(DIARIO[[#This Row],[Nombre de Cuenta]])-$A$155-1</f>
        <v>8</v>
      </c>
      <c r="B163" s="15" t="s">
        <v>17</v>
      </c>
      <c r="C163" s="16" t="s">
        <v>409</v>
      </c>
      <c r="D163" s="15">
        <f>VLOOKUP(C163,CATALOGO[],2,FALSE)</f>
        <v>37</v>
      </c>
      <c r="E163" s="36" t="str">
        <f>VLOOKUP(DIARIO[[#This Row],[Objeto de Gasto]],CATALOGO[],3,FALSE)</f>
        <v>35251 Reactivos</v>
      </c>
      <c r="F163" s="16"/>
      <c r="G163" s="16" t="s">
        <v>445</v>
      </c>
      <c r="H163" s="15" t="s">
        <v>446</v>
      </c>
      <c r="I163" s="17">
        <v>45154</v>
      </c>
      <c r="J163" s="15" t="s">
        <v>447</v>
      </c>
      <c r="K163" s="17"/>
      <c r="L163" s="15" t="s">
        <v>448</v>
      </c>
      <c r="M163" s="17">
        <v>45159</v>
      </c>
      <c r="N163" s="18"/>
      <c r="O163" s="18">
        <v>389530</v>
      </c>
      <c r="P163" s="14">
        <f t="shared" si="18"/>
        <v>-389530</v>
      </c>
      <c r="Q163" s="2" t="s">
        <v>18</v>
      </c>
      <c r="R163" s="38" t="s">
        <v>449</v>
      </c>
      <c r="S163" s="16" t="s">
        <v>450</v>
      </c>
      <c r="T163" s="13"/>
    </row>
    <row r="164" spans="1:25" s="3" customFormat="1" ht="30" x14ac:dyDescent="0.25">
      <c r="A164" s="2">
        <f>ROW(DIARIO[[#This Row],[Nombre de Cuenta]])-$A$155-1</f>
        <v>9</v>
      </c>
      <c r="B164" s="15" t="s">
        <v>21</v>
      </c>
      <c r="C164" s="16" t="s">
        <v>281</v>
      </c>
      <c r="D164" s="15">
        <f>VLOOKUP(C164,CATALOGO[],2,FALSE)</f>
        <v>51</v>
      </c>
      <c r="E164" s="36" t="str">
        <f>VLOOKUP(DIARIO[[#This Row],[Objeto de Gasto]],CATALOGO[],3,FALSE)</f>
        <v>39540 Otro Instrumental, Accesorios Y Material Medico</v>
      </c>
      <c r="F164" s="16"/>
      <c r="G164" s="16" t="s">
        <v>451</v>
      </c>
      <c r="H164" s="15" t="s">
        <v>452</v>
      </c>
      <c r="I164" s="17">
        <v>45065</v>
      </c>
      <c r="J164" s="15" t="s">
        <v>453</v>
      </c>
      <c r="K164" s="17">
        <v>45078</v>
      </c>
      <c r="L164" s="15"/>
      <c r="M164" s="17"/>
      <c r="N164" s="18"/>
      <c r="O164" s="18">
        <v>83069.899326067505</v>
      </c>
      <c r="P164" s="14">
        <f>N164-O164</f>
        <v>-83069.899326067505</v>
      </c>
      <c r="Q164" s="2" t="s">
        <v>18</v>
      </c>
      <c r="R164" s="38" t="s">
        <v>454</v>
      </c>
      <c r="S164" s="16" t="s">
        <v>455</v>
      </c>
      <c r="T164" s="13">
        <v>11074.8876089639</v>
      </c>
    </row>
    <row r="165" spans="1:25" s="3" customFormat="1" ht="30" x14ac:dyDescent="0.25">
      <c r="A165" s="2">
        <f>ROW(DIARIO[[#This Row],[Nombre de Cuenta]])-$A$155-1</f>
        <v>10</v>
      </c>
      <c r="B165" s="15" t="s">
        <v>21</v>
      </c>
      <c r="C165" s="16" t="s">
        <v>282</v>
      </c>
      <c r="D165" s="15">
        <f>VLOOKUP(C165,CATALOGO[],2,FALSE)</f>
        <v>51</v>
      </c>
      <c r="E165" s="36" t="str">
        <f>VLOOKUP(DIARIO[[#This Row],[Objeto de Gasto]],CATALOGO[],3,FALSE)</f>
        <v>39540 Otro Instrumental, Accesorios Y Material Medico</v>
      </c>
      <c r="F165" s="16"/>
      <c r="G165" s="16" t="s">
        <v>451</v>
      </c>
      <c r="H165" s="15" t="s">
        <v>452</v>
      </c>
      <c r="I165" s="17">
        <v>45065</v>
      </c>
      <c r="J165" s="15" t="s">
        <v>453</v>
      </c>
      <c r="K165" s="17">
        <v>45078</v>
      </c>
      <c r="L165" s="15"/>
      <c r="M165" s="17"/>
      <c r="N165" s="18"/>
      <c r="O165" s="18">
        <v>13778.957573410133</v>
      </c>
      <c r="P165" s="14">
        <f>N165-O165</f>
        <v>-13778.957573410133</v>
      </c>
      <c r="Q165" s="2" t="s">
        <v>18</v>
      </c>
      <c r="R165" s="38" t="s">
        <v>454</v>
      </c>
      <c r="S165" s="16" t="s">
        <v>455</v>
      </c>
      <c r="T165" s="13">
        <v>1837.0120552958617</v>
      </c>
    </row>
    <row r="166" spans="1:25" ht="60" x14ac:dyDescent="0.25">
      <c r="A166" s="2">
        <f>ROW(DIARIO[[#This Row],[Nombre de Cuenta]])-$A$155-1</f>
        <v>11</v>
      </c>
      <c r="B166" s="15" t="s">
        <v>21</v>
      </c>
      <c r="C166" s="16" t="s">
        <v>280</v>
      </c>
      <c r="D166" s="15">
        <f>VLOOKUP(C166,CATALOGO[],2,FALSE)</f>
        <v>51</v>
      </c>
      <c r="E166" s="36" t="str">
        <f>VLOOKUP(DIARIO[[#This Row],[Objeto de Gasto]],CATALOGO[],3,FALSE)</f>
        <v>39540 Otro Instrumental, Accesorios Y Material Medico</v>
      </c>
      <c r="F166" s="16"/>
      <c r="G166" s="16" t="s">
        <v>451</v>
      </c>
      <c r="H166" s="15" t="s">
        <v>452</v>
      </c>
      <c r="I166" s="17">
        <v>45065</v>
      </c>
      <c r="J166" s="15" t="s">
        <v>453</v>
      </c>
      <c r="K166" s="17">
        <v>45078</v>
      </c>
      <c r="L166" s="15"/>
      <c r="M166" s="17"/>
      <c r="N166" s="18"/>
      <c r="O166" s="18">
        <v>143625.0031005221</v>
      </c>
      <c r="P166" s="14">
        <f>N166-O166</f>
        <v>-143625.0031005221</v>
      </c>
      <c r="Q166" s="2" t="s">
        <v>18</v>
      </c>
      <c r="R166" s="38" t="s">
        <v>454</v>
      </c>
      <c r="S166" s="16" t="s">
        <v>456</v>
      </c>
      <c r="T166" s="13">
        <v>19148.100335740204</v>
      </c>
    </row>
    <row r="167" spans="1:25" ht="45" x14ac:dyDescent="0.25">
      <c r="A167" s="2">
        <f>ROW(DIARIO[[#This Row],[Nombre de Cuenta]])-$A$155-1</f>
        <v>12</v>
      </c>
      <c r="B167" s="23" t="s">
        <v>17</v>
      </c>
      <c r="C167" s="34" t="s">
        <v>230</v>
      </c>
      <c r="D167" s="7">
        <f>VLOOKUP(C167,CATALOGO[],2,FALSE)</f>
        <v>41</v>
      </c>
      <c r="E167" s="36" t="str">
        <f>VLOOKUP(DIARIO[[#This Row],[Objeto de Gasto]],CATALOGO[],3,FALSE)</f>
        <v>35400 Insecticidas, Fumigantes Y Otros</v>
      </c>
      <c r="F167" s="1" t="s">
        <v>11</v>
      </c>
      <c r="G167" s="6" t="s">
        <v>457</v>
      </c>
      <c r="H167" s="1" t="s">
        <v>458</v>
      </c>
      <c r="I167" s="9">
        <v>45180</v>
      </c>
      <c r="J167" s="1" t="s">
        <v>459</v>
      </c>
      <c r="K167" s="9">
        <v>45208</v>
      </c>
      <c r="L167" s="1"/>
      <c r="M167" s="9"/>
      <c r="N167" s="19"/>
      <c r="O167" s="21">
        <v>12000000</v>
      </c>
      <c r="P167" s="4">
        <f t="shared" si="14"/>
        <v>-12000000</v>
      </c>
      <c r="Q167" s="23" t="s">
        <v>26</v>
      </c>
      <c r="R167" s="39"/>
      <c r="S167" s="6" t="s">
        <v>460</v>
      </c>
    </row>
    <row r="168" spans="1:25" ht="30" x14ac:dyDescent="0.25">
      <c r="A168" s="2">
        <f>ROW(DIARIO[[#This Row],[Nombre de Cuenta]])-$A$155-1</f>
        <v>13</v>
      </c>
      <c r="B168" s="23" t="s">
        <v>17</v>
      </c>
      <c r="C168" s="34" t="s">
        <v>226</v>
      </c>
      <c r="D168" s="7">
        <f>VLOOKUP(C168,CATALOGO[],2,FALSE)</f>
        <v>40</v>
      </c>
      <c r="E168" s="36" t="str">
        <f>VLOOKUP(DIARIO[[#This Row],[Objeto de Gasto]],CATALOGO[],3,FALSE)</f>
        <v>35252 Reactivo (VIH)</v>
      </c>
      <c r="F168" s="1" t="s">
        <v>11</v>
      </c>
      <c r="G168" s="6" t="s">
        <v>429</v>
      </c>
      <c r="H168" s="1" t="s">
        <v>461</v>
      </c>
      <c r="I168" s="9">
        <v>45189</v>
      </c>
      <c r="J168" s="1" t="s">
        <v>462</v>
      </c>
      <c r="K168" s="9">
        <v>45210</v>
      </c>
      <c r="L168" s="1"/>
      <c r="M168" s="9"/>
      <c r="N168" s="19"/>
      <c r="O168" s="21">
        <v>45215293.5</v>
      </c>
      <c r="P168" s="4">
        <f t="shared" si="14"/>
        <v>-45215293.5</v>
      </c>
      <c r="Q168" s="23" t="s">
        <v>10</v>
      </c>
      <c r="R168" s="39"/>
      <c r="S168" s="6" t="s">
        <v>463</v>
      </c>
    </row>
    <row r="169" spans="1:25" ht="30" x14ac:dyDescent="0.25">
      <c r="A169" s="2">
        <f>ROW(DIARIO[[#This Row],[Nombre de Cuenta]])-$A$155-1</f>
        <v>14</v>
      </c>
      <c r="B169" s="23" t="s">
        <v>17</v>
      </c>
      <c r="C169" s="34">
        <v>42310</v>
      </c>
      <c r="D169" s="7">
        <f>VLOOKUP(C169,CATALOGO[],2,FALSE)</f>
        <v>61</v>
      </c>
      <c r="E169" s="36" t="str">
        <f>VLOOKUP(DIARIO[[#This Row],[Objeto de Gasto]],CATALOGO[],3,FALSE)</f>
        <v>42310 Equipo De Transporte Terrestre Para Personas</v>
      </c>
      <c r="F169" s="1" t="s">
        <v>11</v>
      </c>
      <c r="G169" s="6" t="s">
        <v>464</v>
      </c>
      <c r="H169" s="1"/>
      <c r="I169" s="9"/>
      <c r="J169" s="1"/>
      <c r="K169" s="9"/>
      <c r="L169" s="1"/>
      <c r="M169" s="9"/>
      <c r="N169" s="19"/>
      <c r="O169" s="13"/>
      <c r="P169" s="4">
        <f t="shared" si="14"/>
        <v>0</v>
      </c>
      <c r="Q169" s="23" t="s">
        <v>14</v>
      </c>
      <c r="R169" s="39"/>
      <c r="S169" s="6"/>
    </row>
    <row r="170" spans="1:25" ht="30" x14ac:dyDescent="0.25">
      <c r="A170" s="2">
        <f>ROW(DIARIO[[#This Row],[Nombre de Cuenta]])-$A$155-1</f>
        <v>15</v>
      </c>
      <c r="B170" s="23" t="s">
        <v>30</v>
      </c>
      <c r="C170" s="34" t="s">
        <v>327</v>
      </c>
      <c r="D170" s="7">
        <f>VLOOKUP(C170,CATALOGO[],2,FALSE)</f>
        <v>60</v>
      </c>
      <c r="E170" s="36" t="str">
        <f>VLOOKUP(DIARIO[[#This Row],[Objeto de Gasto]],CATALOGO[],3,FALSE)</f>
        <v>45100 Aplicaciones Informaticas</v>
      </c>
      <c r="F170" s="1" t="s">
        <v>19</v>
      </c>
      <c r="G170" s="6" t="s">
        <v>465</v>
      </c>
      <c r="H170" s="1" t="s">
        <v>466</v>
      </c>
      <c r="I170" s="9">
        <v>45314</v>
      </c>
      <c r="J170" s="1" t="s">
        <v>467</v>
      </c>
      <c r="K170" s="9">
        <v>45351</v>
      </c>
      <c r="L170" s="1"/>
      <c r="M170" s="9"/>
      <c r="O170" s="22">
        <v>200000</v>
      </c>
      <c r="P170" s="4">
        <f t="shared" ref="P170:P179" si="19">N170-O170</f>
        <v>-200000</v>
      </c>
      <c r="Q170" s="23" t="s">
        <v>22</v>
      </c>
      <c r="R170" s="39"/>
      <c r="S170" s="6"/>
    </row>
    <row r="171" spans="1:25" ht="30" x14ac:dyDescent="0.25">
      <c r="A171" s="2">
        <f>ROW(DIARIO[[#This Row],[Nombre de Cuenta]])-$A$155-1</f>
        <v>16</v>
      </c>
      <c r="B171" s="33" t="s">
        <v>17</v>
      </c>
      <c r="C171" s="35" t="s">
        <v>181</v>
      </c>
      <c r="D171" s="28">
        <f>VLOOKUP(C171,CATALOGO[],2,FALSE)</f>
        <v>31</v>
      </c>
      <c r="E171" s="37" t="str">
        <f>VLOOKUP(DIARIO[[#This Row],[Objeto de Gasto]],CATALOGO[],3,FALSE)</f>
        <v>32310 Prendas De Vestir</v>
      </c>
      <c r="F171" s="27" t="s">
        <v>11</v>
      </c>
      <c r="G171" s="29" t="s">
        <v>468</v>
      </c>
      <c r="H171" s="27" t="s">
        <v>469</v>
      </c>
      <c r="I171" s="30">
        <v>45315</v>
      </c>
      <c r="J171" s="27"/>
      <c r="K171" s="30"/>
      <c r="L171" s="27"/>
      <c r="M171" s="30"/>
      <c r="N171" s="31"/>
      <c r="O171" s="32">
        <v>2657500</v>
      </c>
      <c r="P171" s="31">
        <f t="shared" si="19"/>
        <v>-2657500</v>
      </c>
      <c r="Q171" s="33" t="s">
        <v>10</v>
      </c>
      <c r="R171" s="40"/>
      <c r="S171" s="29" t="s">
        <v>665</v>
      </c>
      <c r="T171" s="31"/>
    </row>
    <row r="172" spans="1:25" ht="90" x14ac:dyDescent="0.25">
      <c r="A172" s="2">
        <f>ROW(DIARIO[[#This Row],[Nombre de Cuenta]])-$A$155-1</f>
        <v>17</v>
      </c>
      <c r="B172" s="23" t="s">
        <v>21</v>
      </c>
      <c r="C172" s="34" t="s">
        <v>410</v>
      </c>
      <c r="D172" s="7">
        <f>VLOOKUP(C172,CATALOGO[],2,FALSE)</f>
        <v>41</v>
      </c>
      <c r="E172" s="36" t="str">
        <f>VLOOKUP(DIARIO[[#This Row],[Objeto de Gasto]],CATALOGO[],3,FALSE)</f>
        <v>35400 Insecticidas, Fumigantes Y Otros</v>
      </c>
      <c r="F172" s="1" t="s">
        <v>11</v>
      </c>
      <c r="G172" s="6" t="s">
        <v>457</v>
      </c>
      <c r="H172" s="1" t="s">
        <v>470</v>
      </c>
      <c r="I172" s="9">
        <v>45322</v>
      </c>
      <c r="J172" s="1" t="s">
        <v>471</v>
      </c>
      <c r="K172" s="9">
        <v>45322</v>
      </c>
      <c r="L172" s="1"/>
      <c r="M172" s="9"/>
      <c r="O172" s="22">
        <v>11200000</v>
      </c>
      <c r="P172" s="4">
        <f t="shared" si="19"/>
        <v>-11200000</v>
      </c>
      <c r="Q172" s="56" t="s">
        <v>18</v>
      </c>
      <c r="R172" s="39" t="s">
        <v>472</v>
      </c>
      <c r="S172" s="6" t="s">
        <v>718</v>
      </c>
    </row>
    <row r="173" spans="1:25" ht="30" x14ac:dyDescent="0.25">
      <c r="A173" s="2">
        <f>ROW(DIARIO[[#This Row],[Nombre de Cuenta]])-$A$155-1</f>
        <v>18</v>
      </c>
      <c r="B173" s="23" t="s">
        <v>30</v>
      </c>
      <c r="C173" s="34" t="s">
        <v>322</v>
      </c>
      <c r="D173" s="7">
        <f>VLOOKUP(C173,CATALOGO[],2,FALSE)</f>
        <v>59</v>
      </c>
      <c r="E173" s="36" t="str">
        <f>VLOOKUP(DIARIO[[#This Row],[Objeto de Gasto]],CATALOGO[],3,FALSE)</f>
        <v>42600 Equipo Para Computacion</v>
      </c>
      <c r="F173" s="1" t="s">
        <v>19</v>
      </c>
      <c r="G173" s="6" t="s">
        <v>473</v>
      </c>
      <c r="H173" s="1" t="s">
        <v>474</v>
      </c>
      <c r="I173" s="9">
        <v>45320</v>
      </c>
      <c r="J173" s="1" t="s">
        <v>475</v>
      </c>
      <c r="K173" s="9">
        <v>45345</v>
      </c>
      <c r="L173" s="1"/>
      <c r="M173" s="9"/>
      <c r="O173" s="22">
        <v>2674631</v>
      </c>
      <c r="P173" s="4">
        <f t="shared" si="19"/>
        <v>-2674631</v>
      </c>
      <c r="Q173" s="23" t="s">
        <v>14</v>
      </c>
      <c r="R173" s="39"/>
      <c r="S173" s="6"/>
    </row>
    <row r="174" spans="1:25" ht="30" x14ac:dyDescent="0.25">
      <c r="A174" s="2">
        <f>ROW(DIARIO[[#This Row],[Nombre de Cuenta]])-$A$155-1</f>
        <v>19</v>
      </c>
      <c r="B174" s="23" t="s">
        <v>21</v>
      </c>
      <c r="C174" s="34" t="s">
        <v>422</v>
      </c>
      <c r="D174" s="7">
        <f>VLOOKUP(C174,CATALOGO[],2,FALSE)</f>
        <v>57</v>
      </c>
      <c r="E174" s="36" t="str">
        <f>VLOOKUP(DIARIO[[#This Row],[Objeto de Gasto]],CATALOGO[],3,FALSE)</f>
        <v>42220 Maquinaria Y Equipo De Producción Agropecuaria Y Forestal</v>
      </c>
      <c r="F174" s="1" t="s">
        <v>11</v>
      </c>
      <c r="G174" s="6" t="s">
        <v>476</v>
      </c>
      <c r="H174" s="1" t="s">
        <v>477</v>
      </c>
      <c r="I174" s="9">
        <v>45322</v>
      </c>
      <c r="J174" s="1" t="s">
        <v>478</v>
      </c>
      <c r="K174" s="9">
        <v>45347</v>
      </c>
      <c r="L174" s="1"/>
      <c r="M174" s="9"/>
      <c r="O174" s="22">
        <v>1500000</v>
      </c>
      <c r="P174" s="4">
        <f t="shared" si="19"/>
        <v>-1500000</v>
      </c>
      <c r="Q174" s="23" t="s">
        <v>14</v>
      </c>
      <c r="R174" s="39" t="s">
        <v>479</v>
      </c>
      <c r="S174" s="6"/>
    </row>
    <row r="175" spans="1:25" ht="75" x14ac:dyDescent="0.25">
      <c r="A175" s="2">
        <f>ROW(DIARIO[[#This Row],[Nombre de Cuenta]])-$A$155-1</f>
        <v>20</v>
      </c>
      <c r="B175" s="23" t="s">
        <v>9</v>
      </c>
      <c r="C175" s="34" t="s">
        <v>421</v>
      </c>
      <c r="D175" s="7">
        <f>VLOOKUP(C175,CATALOGO[],2,FALSE)</f>
        <v>55</v>
      </c>
      <c r="E175" s="36" t="str">
        <f>VLOOKUP(DIARIO[[#This Row],[Objeto de Gasto]],CATALOGO[],3,FALSE)</f>
        <v>42120 Equipos Varios De Oficina</v>
      </c>
      <c r="F175" s="1" t="s">
        <v>11</v>
      </c>
      <c r="G175" s="6" t="s">
        <v>480</v>
      </c>
      <c r="H175" s="1" t="s">
        <v>481</v>
      </c>
      <c r="I175" s="9">
        <v>45327</v>
      </c>
      <c r="J175" s="1" t="s">
        <v>681</v>
      </c>
      <c r="K175" s="9">
        <v>45404</v>
      </c>
      <c r="L175" s="1"/>
      <c r="M175" s="9"/>
      <c r="O175" s="22">
        <v>896998</v>
      </c>
      <c r="P175" s="4">
        <f t="shared" si="19"/>
        <v>-896998</v>
      </c>
      <c r="Q175" s="23" t="s">
        <v>14</v>
      </c>
      <c r="R175" s="39"/>
      <c r="S175" s="6" t="s">
        <v>759</v>
      </c>
    </row>
    <row r="176" spans="1:25" ht="60" x14ac:dyDescent="0.25">
      <c r="A176" s="2">
        <f>ROW(DIARIO[[#This Row],[Nombre de Cuenta]])-$A$155-1</f>
        <v>21</v>
      </c>
      <c r="B176" s="33" t="s">
        <v>30</v>
      </c>
      <c r="C176" s="35" t="s">
        <v>425</v>
      </c>
      <c r="D176" s="28">
        <f>VLOOKUP(C176,CATALOGO[],2,FALSE)</f>
        <v>59</v>
      </c>
      <c r="E176" s="37" t="str">
        <f>VLOOKUP(DIARIO[[#This Row],[Objeto de Gasto]],CATALOGO[],3,FALSE)</f>
        <v>42600 Equipo Para Computacion</v>
      </c>
      <c r="F176" s="27" t="s">
        <v>19</v>
      </c>
      <c r="G176" s="29" t="s">
        <v>483</v>
      </c>
      <c r="H176" s="27" t="s">
        <v>484</v>
      </c>
      <c r="I176" s="30">
        <v>45327</v>
      </c>
      <c r="J176" s="27"/>
      <c r="K176" s="30"/>
      <c r="L176" s="27"/>
      <c r="M176" s="30"/>
      <c r="N176" s="31"/>
      <c r="O176" s="32">
        <v>393985</v>
      </c>
      <c r="P176" s="31">
        <f t="shared" si="19"/>
        <v>-393985</v>
      </c>
      <c r="Q176" s="33" t="s">
        <v>10</v>
      </c>
      <c r="R176" s="40"/>
      <c r="S176" s="29"/>
      <c r="T176" s="31"/>
    </row>
    <row r="177" spans="1:20" ht="75" x14ac:dyDescent="0.25">
      <c r="A177" s="2">
        <f>ROW(DIARIO[[#This Row],[Nombre de Cuenta]])-$A$155-1</f>
        <v>22</v>
      </c>
      <c r="B177" s="23" t="s">
        <v>30</v>
      </c>
      <c r="C177" s="34" t="s">
        <v>419</v>
      </c>
      <c r="D177" s="7">
        <f>VLOOKUP(C177,CATALOGO[],2,FALSE)</f>
        <v>52</v>
      </c>
      <c r="E177" s="36" t="str">
        <f>VLOOKUP(DIARIO[[#This Row],[Objeto de Gasto]],CATALOGO[],3,FALSE)</f>
        <v>39600 Otros Repuestos Y Accesorios Menores</v>
      </c>
      <c r="F177" s="1" t="s">
        <v>19</v>
      </c>
      <c r="G177" s="6" t="s">
        <v>485</v>
      </c>
      <c r="H177" s="1" t="s">
        <v>486</v>
      </c>
      <c r="I177" s="9">
        <v>45327</v>
      </c>
      <c r="J177" s="1" t="s">
        <v>487</v>
      </c>
      <c r="K177" s="9">
        <v>45345</v>
      </c>
      <c r="L177" s="1"/>
      <c r="M177" s="9"/>
      <c r="O177" s="22">
        <f>(14892.5)+(8050)+22467.5</f>
        <v>45410</v>
      </c>
      <c r="P177" s="4">
        <f t="shared" si="19"/>
        <v>-45410</v>
      </c>
      <c r="Q177" s="23" t="s">
        <v>18</v>
      </c>
      <c r="R177" s="39"/>
      <c r="S177" s="6"/>
    </row>
    <row r="178" spans="1:20" ht="60" x14ac:dyDescent="0.25">
      <c r="A178" s="2">
        <f>ROW(DIARIO[[#This Row],[Nombre de Cuenta]])-$A$155-1</f>
        <v>23</v>
      </c>
      <c r="B178" s="23" t="s">
        <v>30</v>
      </c>
      <c r="C178" s="34" t="s">
        <v>416</v>
      </c>
      <c r="D178" s="7">
        <f>VLOOKUP(C178,CATALOGO[],2,FALSE)</f>
        <v>48</v>
      </c>
      <c r="E178" s="36" t="str">
        <f>VLOOKUP(DIARIO[[#This Row],[Objeto de Gasto]],CATALOGO[],3,FALSE)</f>
        <v>39200 Utiles De Esritorio, Oficina  Y Enseñanza</v>
      </c>
      <c r="F178" s="1" t="s">
        <v>19</v>
      </c>
      <c r="G178" s="6" t="s">
        <v>488</v>
      </c>
      <c r="H178" s="1" t="s">
        <v>489</v>
      </c>
      <c r="I178" s="9">
        <v>45327</v>
      </c>
      <c r="J178" s="1" t="s">
        <v>490</v>
      </c>
      <c r="K178" s="9">
        <v>45345</v>
      </c>
      <c r="L178" s="1"/>
      <c r="M178" s="9"/>
      <c r="O178" s="22">
        <f>5395.05+12111.32+1741.69+1019.5</f>
        <v>20267.559999999998</v>
      </c>
      <c r="P178" s="4">
        <f t="shared" si="19"/>
        <v>-20267.559999999998</v>
      </c>
      <c r="Q178" s="23" t="s">
        <v>18</v>
      </c>
      <c r="R178" s="39"/>
      <c r="S178" s="6"/>
    </row>
    <row r="179" spans="1:20" ht="30" x14ac:dyDescent="0.25">
      <c r="A179" s="2">
        <f>ROW(DIARIO[[#This Row],[Nombre de Cuenta]])-$A$155-1</f>
        <v>24</v>
      </c>
      <c r="B179" s="23" t="s">
        <v>30</v>
      </c>
      <c r="C179" s="34" t="s">
        <v>405</v>
      </c>
      <c r="D179" s="7">
        <f>VLOOKUP(C179,CATALOGO[],2,FALSE)</f>
        <v>33</v>
      </c>
      <c r="E179" s="36" t="str">
        <f>VLOOKUP(DIARIO[[#This Row],[Objeto de Gasto]],CATALOGO[],3,FALSE)</f>
        <v xml:space="preserve">33100 Productos De Papel Y Carton </v>
      </c>
      <c r="F179" s="1" t="s">
        <v>15</v>
      </c>
      <c r="G179" s="6" t="s">
        <v>491</v>
      </c>
      <c r="H179" s="1" t="s">
        <v>492</v>
      </c>
      <c r="I179" s="9">
        <v>45327</v>
      </c>
      <c r="J179" s="1" t="s">
        <v>493</v>
      </c>
      <c r="K179" s="9">
        <v>45345</v>
      </c>
      <c r="L179" s="1"/>
      <c r="M179" s="9"/>
      <c r="O179" s="22">
        <f>7718.8+1431.06+1661.06</f>
        <v>10810.92</v>
      </c>
      <c r="P179" s="4">
        <f t="shared" si="19"/>
        <v>-10810.92</v>
      </c>
      <c r="Q179" s="56" t="s">
        <v>18</v>
      </c>
      <c r="R179" s="39"/>
      <c r="S179" s="6"/>
      <c r="T179" s="4">
        <v>3092.12</v>
      </c>
    </row>
    <row r="180" spans="1:20" ht="45" x14ac:dyDescent="0.25">
      <c r="A180" s="2">
        <f>ROW(DIARIO[[#This Row],[Nombre de Cuenta]])-$A$155-1</f>
        <v>25</v>
      </c>
      <c r="B180" s="23" t="s">
        <v>30</v>
      </c>
      <c r="C180" s="34" t="s">
        <v>261</v>
      </c>
      <c r="D180" s="7">
        <f>VLOOKUP(C180,CATALOGO[],2,FALSE)</f>
        <v>47</v>
      </c>
      <c r="E180" s="36" t="str">
        <f>VLOOKUP(DIARIO[[#This Row],[Objeto de Gasto]],CATALOGO[],3,FALSE)</f>
        <v>39100 Elementos De Limpieza Y Aseo Personal</v>
      </c>
      <c r="F180" s="1" t="s">
        <v>11</v>
      </c>
      <c r="G180" s="6" t="s">
        <v>494</v>
      </c>
      <c r="H180" s="1" t="s">
        <v>495</v>
      </c>
      <c r="I180" s="9">
        <v>45331</v>
      </c>
      <c r="J180" s="1" t="s">
        <v>496</v>
      </c>
      <c r="K180" s="9">
        <v>45345</v>
      </c>
      <c r="L180" s="1"/>
      <c r="M180" s="9"/>
      <c r="O180" s="22">
        <v>1024.6500000000001</v>
      </c>
      <c r="P180" s="4">
        <f>N180-O180</f>
        <v>-1024.6500000000001</v>
      </c>
      <c r="Q180" s="23" t="s">
        <v>18</v>
      </c>
      <c r="R180" s="39"/>
      <c r="S180" s="6" t="s">
        <v>729</v>
      </c>
    </row>
    <row r="181" spans="1:20" ht="45" x14ac:dyDescent="0.25">
      <c r="A181" s="2">
        <f>ROW(DIARIO[[#This Row],[Nombre de Cuenta]])-$A$155-1</f>
        <v>26</v>
      </c>
      <c r="B181" s="23" t="s">
        <v>9</v>
      </c>
      <c r="C181" s="34" t="s">
        <v>370</v>
      </c>
      <c r="D181" s="7">
        <f>VLOOKUP(C181,CATALOGO[],2,FALSE)</f>
        <v>67</v>
      </c>
      <c r="E181" s="36" t="str">
        <f>VLOOKUP(DIARIO[[#This Row],[Objeto de Gasto]],CATALOGO[],3,FALSE)</f>
        <v>39300 Utiles Y Materiales Eléctricos</v>
      </c>
      <c r="F181" s="1" t="s">
        <v>19</v>
      </c>
      <c r="G181" s="6" t="s">
        <v>497</v>
      </c>
      <c r="H181" s="1" t="s">
        <v>498</v>
      </c>
      <c r="I181" s="9">
        <v>45331</v>
      </c>
      <c r="J181" s="1" t="s">
        <v>499</v>
      </c>
      <c r="K181" s="9">
        <v>45336</v>
      </c>
      <c r="L181" s="1"/>
      <c r="M181" s="9"/>
      <c r="O181" s="22">
        <v>10000</v>
      </c>
      <c r="P181" s="4">
        <f>N181-O181</f>
        <v>-10000</v>
      </c>
      <c r="Q181" s="23" t="s">
        <v>14</v>
      </c>
      <c r="R181" s="39"/>
      <c r="S181" s="6"/>
    </row>
    <row r="182" spans="1:20" ht="30" x14ac:dyDescent="0.25">
      <c r="A182" s="2">
        <f>ROW(DIARIO[[#This Row],[Nombre de Cuenta]])-$A$155-1</f>
        <v>27</v>
      </c>
      <c r="B182" s="23" t="s">
        <v>17</v>
      </c>
      <c r="C182" s="34" t="s">
        <v>181</v>
      </c>
      <c r="D182" s="7">
        <v>31</v>
      </c>
      <c r="E182" s="36" t="str">
        <f>VLOOKUP(DIARIO[[#This Row],[Objeto de Gasto]],CATALOGO[],3,FALSE)</f>
        <v>32310 Prendas De Vestir</v>
      </c>
      <c r="F182" s="1" t="s">
        <v>11</v>
      </c>
      <c r="G182" s="6" t="s">
        <v>468</v>
      </c>
      <c r="H182" s="1" t="s">
        <v>500</v>
      </c>
      <c r="I182" s="9">
        <v>45334</v>
      </c>
      <c r="J182" s="1" t="s">
        <v>662</v>
      </c>
      <c r="K182" s="9">
        <v>45358</v>
      </c>
      <c r="L182" s="1"/>
      <c r="M182" s="9"/>
      <c r="O182" s="22">
        <v>2657500</v>
      </c>
      <c r="P182" s="4">
        <v>-2657500</v>
      </c>
      <c r="Q182" s="23" t="s">
        <v>14</v>
      </c>
      <c r="R182" s="39" t="s">
        <v>629</v>
      </c>
      <c r="S182" s="6" t="s">
        <v>663</v>
      </c>
    </row>
    <row r="183" spans="1:20" ht="45" x14ac:dyDescent="0.25">
      <c r="A183" s="2">
        <f>ROW(DIARIO[[#This Row],[Nombre de Cuenta]])-$A$155-1</f>
        <v>28</v>
      </c>
      <c r="B183" s="23" t="s">
        <v>30</v>
      </c>
      <c r="C183" s="34" t="s">
        <v>425</v>
      </c>
      <c r="D183" s="7">
        <f>VLOOKUP(C183,CATALOGO[],2,FALSE)</f>
        <v>59</v>
      </c>
      <c r="E183" s="36" t="str">
        <f>VLOOKUP(DIARIO[[#This Row],[Objeto de Gasto]],CATALOGO[],3,FALSE)</f>
        <v>42600 Equipo Para Computacion</v>
      </c>
      <c r="F183" s="1" t="s">
        <v>19</v>
      </c>
      <c r="G183" s="6" t="s">
        <v>501</v>
      </c>
      <c r="H183" s="1" t="s">
        <v>484</v>
      </c>
      <c r="I183" s="9">
        <v>45327</v>
      </c>
      <c r="J183" s="1" t="s">
        <v>475</v>
      </c>
      <c r="K183" s="9">
        <v>45345</v>
      </c>
      <c r="L183" s="1"/>
      <c r="M183" s="9"/>
      <c r="O183" s="22">
        <v>393985</v>
      </c>
      <c r="P183" s="4">
        <f t="shared" ref="P183:P189" si="20">N183-O183</f>
        <v>-393985</v>
      </c>
      <c r="Q183" s="23" t="s">
        <v>14</v>
      </c>
      <c r="R183" s="39"/>
      <c r="S183" s="6"/>
    </row>
    <row r="184" spans="1:20" x14ac:dyDescent="0.25">
      <c r="A184" s="2">
        <f>ROW(DIARIO[[#This Row],[Nombre de Cuenta]])-$A$155-1</f>
        <v>29</v>
      </c>
      <c r="B184" s="23" t="s">
        <v>30</v>
      </c>
      <c r="C184" s="34" t="s">
        <v>426</v>
      </c>
      <c r="D184" s="7">
        <f>VLOOKUP(C184,CATALOGO[],2,FALSE)</f>
        <v>60</v>
      </c>
      <c r="E184" s="36" t="str">
        <f>VLOOKUP(DIARIO[[#This Row],[Objeto de Gasto]],CATALOGO[],3,FALSE)</f>
        <v>45100 Aplicaciones Informaticas</v>
      </c>
      <c r="F184" s="1" t="s">
        <v>19</v>
      </c>
      <c r="G184" s="6" t="s">
        <v>502</v>
      </c>
      <c r="H184" s="1" t="s">
        <v>503</v>
      </c>
      <c r="I184" s="9">
        <v>45345</v>
      </c>
      <c r="J184" s="1" t="s">
        <v>467</v>
      </c>
      <c r="K184" s="9">
        <v>45351</v>
      </c>
      <c r="L184" s="1"/>
      <c r="M184" s="9"/>
      <c r="O184" s="22">
        <v>200000</v>
      </c>
      <c r="P184" s="4">
        <f t="shared" si="20"/>
        <v>-200000</v>
      </c>
      <c r="Q184" s="23" t="s">
        <v>22</v>
      </c>
      <c r="R184" s="39"/>
      <c r="S184" s="6"/>
    </row>
    <row r="185" spans="1:20" ht="30" x14ac:dyDescent="0.25">
      <c r="A185" s="2">
        <f>ROW(DIARIO[[#This Row],[Nombre de Cuenta]])-$A$155-1</f>
        <v>30</v>
      </c>
      <c r="B185" s="23" t="s">
        <v>17</v>
      </c>
      <c r="C185" s="34" t="s">
        <v>412</v>
      </c>
      <c r="D185" s="7">
        <f>VLOOKUP(C185,CATALOGO[],2,FALSE)</f>
        <v>42</v>
      </c>
      <c r="E185" s="36" t="str">
        <f>VLOOKUP(DIARIO[[#This Row],[Objeto de Gasto]],CATALOGO[],3,FALSE)</f>
        <v>35620 Diesel</v>
      </c>
      <c r="F185" s="1" t="s">
        <v>15</v>
      </c>
      <c r="G185" s="6" t="s">
        <v>504</v>
      </c>
      <c r="H185" s="1" t="s">
        <v>505</v>
      </c>
      <c r="I185" s="9">
        <v>45344</v>
      </c>
      <c r="J185" s="1" t="s">
        <v>506</v>
      </c>
      <c r="K185" s="9">
        <v>45349</v>
      </c>
      <c r="L185" s="1"/>
      <c r="M185" s="9"/>
      <c r="O185" s="22">
        <f>1332973-308901</f>
        <v>1024072</v>
      </c>
      <c r="P185" s="4">
        <f t="shared" si="20"/>
        <v>-1024072</v>
      </c>
      <c r="Q185" s="23" t="s">
        <v>14</v>
      </c>
      <c r="R185" s="39"/>
      <c r="S185" s="6"/>
    </row>
    <row r="186" spans="1:20" ht="30" x14ac:dyDescent="0.25">
      <c r="A186" s="2">
        <f>ROW(DIARIO[[#This Row],[Nombre de Cuenta]])-$A$155-1</f>
        <v>31</v>
      </c>
      <c r="B186" s="23" t="s">
        <v>17</v>
      </c>
      <c r="C186" s="34" t="s">
        <v>411</v>
      </c>
      <c r="D186" s="7">
        <f>VLOOKUP(C186,CATALOGO[],2,FALSE)</f>
        <v>66</v>
      </c>
      <c r="E186" s="36" t="str">
        <f>VLOOKUP(DIARIO[[#This Row],[Objeto de Gasto]],CATALOGO[],3,FALSE)</f>
        <v>35610 Gasolina</v>
      </c>
      <c r="F186" s="1" t="s">
        <v>15</v>
      </c>
      <c r="G186" s="6" t="s">
        <v>507</v>
      </c>
      <c r="H186" s="1" t="s">
        <v>508</v>
      </c>
      <c r="I186" s="9">
        <v>45344</v>
      </c>
      <c r="J186" s="1" t="s">
        <v>509</v>
      </c>
      <c r="K186" s="9">
        <v>45349</v>
      </c>
      <c r="L186" s="1"/>
      <c r="M186" s="9"/>
      <c r="O186" s="22">
        <v>1071788</v>
      </c>
      <c r="P186" s="4">
        <f t="shared" si="20"/>
        <v>-1071788</v>
      </c>
      <c r="Q186" s="23" t="s">
        <v>14</v>
      </c>
      <c r="R186" s="39"/>
      <c r="S186" s="6"/>
    </row>
    <row r="187" spans="1:20" ht="45" x14ac:dyDescent="0.25">
      <c r="A187" s="2">
        <f>ROW(DIARIO[[#This Row],[Nombre de Cuenta]])-$A$155-1</f>
        <v>32</v>
      </c>
      <c r="B187" s="23" t="s">
        <v>9</v>
      </c>
      <c r="C187" s="34" t="s">
        <v>161</v>
      </c>
      <c r="D187" s="7">
        <f>VLOOKUP(C187,CATALOGO[],2,FALSE)</f>
        <v>27</v>
      </c>
      <c r="E187" s="36" t="str">
        <f>VLOOKUP(DIARIO[[#This Row],[Objeto de Gasto]],CATALOGO[],3,FALSE)</f>
        <v>29100 Ceremonial Y Protocolo</v>
      </c>
      <c r="F187" s="1" t="s">
        <v>19</v>
      </c>
      <c r="G187" s="6" t="s">
        <v>510</v>
      </c>
      <c r="H187" s="1" t="s">
        <v>511</v>
      </c>
      <c r="I187" s="9">
        <v>45349</v>
      </c>
      <c r="J187" s="1" t="s">
        <v>512</v>
      </c>
      <c r="K187" s="9">
        <v>45350</v>
      </c>
      <c r="L187" s="1"/>
      <c r="M187" s="9"/>
      <c r="O187" s="22">
        <v>118910</v>
      </c>
      <c r="P187" s="4">
        <f t="shared" si="20"/>
        <v>-118910</v>
      </c>
      <c r="Q187" s="56" t="s">
        <v>18</v>
      </c>
      <c r="R187" s="39" t="s">
        <v>674</v>
      </c>
      <c r="S187" s="6"/>
      <c r="T187" s="22">
        <v>118910</v>
      </c>
    </row>
    <row r="188" spans="1:20" ht="45" x14ac:dyDescent="0.25">
      <c r="A188" s="2">
        <f>ROW(DIARIO[[#This Row],[Nombre de Cuenta]])-$A$155-1</f>
        <v>33</v>
      </c>
      <c r="B188" s="23" t="s">
        <v>30</v>
      </c>
      <c r="C188" s="34" t="s">
        <v>323</v>
      </c>
      <c r="D188" s="7">
        <f>VLOOKUP(C188,CATALOGO[],2,FALSE)</f>
        <v>59</v>
      </c>
      <c r="E188" s="36" t="str">
        <f>VLOOKUP(DIARIO[[#This Row],[Objeto de Gasto]],CATALOGO[],3,FALSE)</f>
        <v>42600 Equipo Para Computacion</v>
      </c>
      <c r="F188" s="1" t="s">
        <v>19</v>
      </c>
      <c r="G188" s="6" t="s">
        <v>513</v>
      </c>
      <c r="H188" s="1" t="s">
        <v>514</v>
      </c>
      <c r="I188" s="9">
        <v>45349</v>
      </c>
      <c r="J188" s="1" t="s">
        <v>515</v>
      </c>
      <c r="K188" s="9">
        <v>45356</v>
      </c>
      <c r="L188" s="1"/>
      <c r="M188" s="9"/>
      <c r="O188" s="22">
        <v>296000</v>
      </c>
      <c r="P188" s="4">
        <f t="shared" si="20"/>
        <v>-296000</v>
      </c>
      <c r="Q188" s="23" t="s">
        <v>14</v>
      </c>
      <c r="R188" s="39"/>
      <c r="S188" s="6"/>
    </row>
    <row r="189" spans="1:20" ht="30" x14ac:dyDescent="0.25">
      <c r="A189" s="2">
        <f>ROW(DIARIO[[#This Row],[Nombre de Cuenta]])-$A$155-1</f>
        <v>34</v>
      </c>
      <c r="B189" s="23" t="s">
        <v>30</v>
      </c>
      <c r="C189" s="34" t="s">
        <v>328</v>
      </c>
      <c r="D189" s="7">
        <f>VLOOKUP(C189,CATALOGO[],2,FALSE)</f>
        <v>60</v>
      </c>
      <c r="E189" s="36" t="str">
        <f>VLOOKUP(DIARIO[[#This Row],[Objeto de Gasto]],CATALOGO[],3,FALSE)</f>
        <v>45100 Aplicaciones Informaticas</v>
      </c>
      <c r="F189" s="1" t="s">
        <v>19</v>
      </c>
      <c r="G189" s="6" t="s">
        <v>516</v>
      </c>
      <c r="H189" s="1" t="s">
        <v>517</v>
      </c>
      <c r="I189" s="9">
        <v>45349</v>
      </c>
      <c r="J189" s="1" t="s">
        <v>467</v>
      </c>
      <c r="K189" s="9">
        <v>45351</v>
      </c>
      <c r="L189" s="1"/>
      <c r="M189" s="9"/>
      <c r="O189" s="22">
        <v>110047</v>
      </c>
      <c r="P189" s="4">
        <f t="shared" si="20"/>
        <v>-110047</v>
      </c>
      <c r="Q189" s="23" t="s">
        <v>22</v>
      </c>
      <c r="R189" s="39"/>
      <c r="S189" s="6" t="s">
        <v>621</v>
      </c>
    </row>
    <row r="190" spans="1:20" ht="45" x14ac:dyDescent="0.25">
      <c r="A190" s="2">
        <f>ROW(DIARIO[[#This Row],[Nombre de Cuenta]])-$A$155-1</f>
        <v>35</v>
      </c>
      <c r="B190" s="23" t="s">
        <v>17</v>
      </c>
      <c r="C190" s="34" t="s">
        <v>403</v>
      </c>
      <c r="D190" s="7">
        <f>VLOOKUP(C190,CATALOGO[],2,FALSE)</f>
        <v>31</v>
      </c>
      <c r="E190" s="36" t="str">
        <f>VLOOKUP(DIARIO[[#This Row],[Objeto de Gasto]],CATALOGO[],3,FALSE)</f>
        <v>32310 Prendas De Vestir</v>
      </c>
      <c r="F190" s="1" t="s">
        <v>11</v>
      </c>
      <c r="G190" s="6" t="s">
        <v>518</v>
      </c>
      <c r="H190" s="1" t="s">
        <v>519</v>
      </c>
      <c r="I190" s="9">
        <v>45355</v>
      </c>
      <c r="J190" s="1" t="s">
        <v>662</v>
      </c>
      <c r="K190" s="9">
        <v>45358</v>
      </c>
      <c r="L190" s="1"/>
      <c r="M190" s="9"/>
      <c r="O190" s="22">
        <v>0</v>
      </c>
      <c r="P190" s="4">
        <f t="shared" ref="P190:P200" si="21">N190-O190</f>
        <v>0</v>
      </c>
      <c r="Q190" s="23" t="s">
        <v>14</v>
      </c>
      <c r="R190" s="39" t="s">
        <v>629</v>
      </c>
      <c r="S190" s="6" t="s">
        <v>664</v>
      </c>
    </row>
    <row r="191" spans="1:20" ht="45" x14ac:dyDescent="0.25">
      <c r="A191" s="2">
        <f>ROW(DIARIO[[#This Row],[Nombre de Cuenta]])-$A$155-1</f>
        <v>36</v>
      </c>
      <c r="B191" s="23" t="s">
        <v>17</v>
      </c>
      <c r="C191" s="34" t="s">
        <v>403</v>
      </c>
      <c r="D191" s="7">
        <f>VLOOKUP(C191,CATALOGO[],2,FALSE)</f>
        <v>31</v>
      </c>
      <c r="E191" s="36" t="str">
        <f>VLOOKUP(DIARIO[[#This Row],[Objeto de Gasto]],CATALOGO[],3,FALSE)</f>
        <v>32310 Prendas De Vestir</v>
      </c>
      <c r="F191" s="1" t="s">
        <v>11</v>
      </c>
      <c r="G191" s="6" t="s">
        <v>520</v>
      </c>
      <c r="H191" s="1" t="s">
        <v>521</v>
      </c>
      <c r="I191" s="9">
        <v>45327</v>
      </c>
      <c r="J191" s="1" t="s">
        <v>662</v>
      </c>
      <c r="K191" s="9">
        <v>45358</v>
      </c>
      <c r="L191" s="1"/>
      <c r="M191" s="9"/>
      <c r="O191" s="22">
        <v>1331518</v>
      </c>
      <c r="P191" s="4">
        <f t="shared" si="21"/>
        <v>-1331518</v>
      </c>
      <c r="Q191" s="23" t="s">
        <v>14</v>
      </c>
      <c r="R191" s="39" t="s">
        <v>629</v>
      </c>
      <c r="S191" s="6" t="s">
        <v>664</v>
      </c>
    </row>
    <row r="192" spans="1:20" ht="30" x14ac:dyDescent="0.25">
      <c r="A192" s="2">
        <f>ROW(DIARIO[[#This Row],[Nombre de Cuenta]])-$A$155-1</f>
        <v>37</v>
      </c>
      <c r="B192" s="23" t="s">
        <v>17</v>
      </c>
      <c r="C192" s="34" t="s">
        <v>182</v>
      </c>
      <c r="D192" s="7">
        <f>VLOOKUP(C192,CATALOGO[],2,FALSE)</f>
        <v>31</v>
      </c>
      <c r="E192" s="36" t="str">
        <f>VLOOKUP(DIARIO[[#This Row],[Objeto de Gasto]],CATALOGO[],3,FALSE)</f>
        <v>32310 Prendas De Vestir</v>
      </c>
      <c r="F192" s="1" t="s">
        <v>11</v>
      </c>
      <c r="G192" s="6" t="s">
        <v>522</v>
      </c>
      <c r="H192" s="1" t="s">
        <v>523</v>
      </c>
      <c r="I192" s="9">
        <v>45330</v>
      </c>
      <c r="J192" s="1" t="s">
        <v>662</v>
      </c>
      <c r="K192" s="9">
        <v>45358</v>
      </c>
      <c r="L192" s="1"/>
      <c r="M192" s="9"/>
      <c r="O192" s="22">
        <v>1950000</v>
      </c>
      <c r="P192" s="4">
        <f t="shared" si="21"/>
        <v>-1950000</v>
      </c>
      <c r="Q192" s="23" t="s">
        <v>14</v>
      </c>
      <c r="R192" s="39" t="s">
        <v>629</v>
      </c>
      <c r="S192" s="6" t="s">
        <v>663</v>
      </c>
    </row>
    <row r="193" spans="1:20" ht="60" x14ac:dyDescent="0.25">
      <c r="A193" s="2">
        <f>ROW(DIARIO[[#This Row],[Nombre de Cuenta]])-$A$155-1</f>
        <v>38</v>
      </c>
      <c r="B193" s="23" t="s">
        <v>17</v>
      </c>
      <c r="C193" s="34" t="s">
        <v>406</v>
      </c>
      <c r="D193" s="7">
        <f>VLOOKUP(C193,CATALOGO[],2,FALSE)</f>
        <v>34</v>
      </c>
      <c r="E193" s="36" t="str">
        <f>VLOOKUP(DIARIO[[#This Row],[Objeto de Gasto]],CATALOGO[],3,FALSE)</f>
        <v>33300 Productos De Artes Graficas</v>
      </c>
      <c r="F193" s="1" t="s">
        <v>11</v>
      </c>
      <c r="G193" s="6" t="s">
        <v>524</v>
      </c>
      <c r="H193" s="1" t="s">
        <v>525</v>
      </c>
      <c r="I193" s="9">
        <v>45355</v>
      </c>
      <c r="J193" s="1" t="s">
        <v>687</v>
      </c>
      <c r="K193" s="9">
        <v>45405</v>
      </c>
      <c r="L193" s="1"/>
      <c r="M193" s="9"/>
      <c r="O193" s="22">
        <f>IF(DIARIO[[#This Row],[Estatus]]="Proceso",SUMIFS(DIARIO[Entrada],DIARIO[Objeto de Gasto],DIARIO[[#This Row],[Objeto de Gasto]],DIARIO[Estatus],"Saldo Inicial"),0)</f>
        <v>959000</v>
      </c>
      <c r="P193" s="4">
        <f t="shared" si="21"/>
        <v>-959000</v>
      </c>
      <c r="Q193" s="23" t="s">
        <v>14</v>
      </c>
      <c r="R193" s="39"/>
      <c r="S193" s="6" t="s">
        <v>526</v>
      </c>
    </row>
    <row r="194" spans="1:20" ht="30" x14ac:dyDescent="0.25">
      <c r="A194" s="2">
        <f>ROW(DIARIO[[#This Row],[Nombre de Cuenta]])-$A$155-1</f>
        <v>39</v>
      </c>
      <c r="B194" s="23" t="s">
        <v>17</v>
      </c>
      <c r="C194" s="34" t="s">
        <v>421</v>
      </c>
      <c r="D194" s="7">
        <f>VLOOKUP(C194,CATALOGO[],2,FALSE)</f>
        <v>55</v>
      </c>
      <c r="E194" s="36" t="str">
        <f>VLOOKUP(DIARIO[[#This Row],[Objeto de Gasto]],CATALOGO[],3,FALSE)</f>
        <v>42120 Equipos Varios De Oficina</v>
      </c>
      <c r="F194" s="1" t="s">
        <v>19</v>
      </c>
      <c r="G194" s="6" t="s">
        <v>527</v>
      </c>
      <c r="H194" s="1" t="s">
        <v>528</v>
      </c>
      <c r="I194" s="9">
        <v>45355</v>
      </c>
      <c r="J194" s="1" t="s">
        <v>681</v>
      </c>
      <c r="K194" s="9">
        <v>45404</v>
      </c>
      <c r="L194" s="1"/>
      <c r="M194" s="9"/>
      <c r="O194" s="22">
        <v>0</v>
      </c>
      <c r="P194" s="4">
        <f t="shared" si="21"/>
        <v>0</v>
      </c>
      <c r="Q194" s="23" t="s">
        <v>14</v>
      </c>
      <c r="R194" s="39"/>
      <c r="S194" s="6" t="s">
        <v>482</v>
      </c>
    </row>
    <row r="195" spans="1:20" ht="240" x14ac:dyDescent="0.25">
      <c r="A195" s="2">
        <f>ROW(DIARIO[[#This Row],[Nombre de Cuenta]])-$A$155-1</f>
        <v>40</v>
      </c>
      <c r="B195" s="23" t="s">
        <v>30</v>
      </c>
      <c r="C195" s="34" t="s">
        <v>415</v>
      </c>
      <c r="D195" s="7">
        <f>VLOOKUP(C195,CATALOGO[],2,FALSE)</f>
        <v>47</v>
      </c>
      <c r="E195" s="36" t="str">
        <f>VLOOKUP(DIARIO[[#This Row],[Objeto de Gasto]],CATALOGO[],3,FALSE)</f>
        <v>39100 Elementos De Limpieza Y Aseo Personal</v>
      </c>
      <c r="F195" s="1" t="s">
        <v>19</v>
      </c>
      <c r="G195" s="6" t="s">
        <v>529</v>
      </c>
      <c r="H195" s="1" t="s">
        <v>530</v>
      </c>
      <c r="I195" s="9">
        <v>45355</v>
      </c>
      <c r="J195" s="1" t="s">
        <v>531</v>
      </c>
      <c r="K195" s="9">
        <v>45370</v>
      </c>
      <c r="L195" s="1"/>
      <c r="M195" s="9"/>
      <c r="O195" s="22">
        <v>470316</v>
      </c>
      <c r="P195" s="4">
        <f t="shared" si="21"/>
        <v>-470316</v>
      </c>
      <c r="Q195" s="23" t="s">
        <v>14</v>
      </c>
      <c r="R195" s="39"/>
      <c r="S195" s="6"/>
    </row>
    <row r="196" spans="1:20" ht="135" x14ac:dyDescent="0.25">
      <c r="A196" s="2">
        <f>ROW(DIARIO[[#This Row],[Nombre de Cuenta]])-$A$155-1</f>
        <v>41</v>
      </c>
      <c r="B196" s="23" t="s">
        <v>30</v>
      </c>
      <c r="C196" s="34" t="s">
        <v>415</v>
      </c>
      <c r="D196" s="7">
        <f>VLOOKUP(C196,CATALOGO[],2,FALSE)</f>
        <v>47</v>
      </c>
      <c r="E196" s="36" t="str">
        <f>VLOOKUP(DIARIO[[#This Row],[Objeto de Gasto]],CATALOGO[],3,FALSE)</f>
        <v>39100 Elementos De Limpieza Y Aseo Personal</v>
      </c>
      <c r="F196" s="1" t="s">
        <v>19</v>
      </c>
      <c r="G196" s="6" t="s">
        <v>532</v>
      </c>
      <c r="H196" s="1" t="s">
        <v>533</v>
      </c>
      <c r="I196" s="9">
        <v>45355</v>
      </c>
      <c r="J196" s="1" t="s">
        <v>531</v>
      </c>
      <c r="K196" s="9">
        <v>45370</v>
      </c>
      <c r="L196" s="1"/>
      <c r="M196" s="9"/>
      <c r="O196" s="22"/>
      <c r="P196" s="4">
        <f t="shared" si="21"/>
        <v>0</v>
      </c>
      <c r="Q196" s="23" t="s">
        <v>14</v>
      </c>
      <c r="R196" s="39"/>
      <c r="S196" s="6" t="s">
        <v>482</v>
      </c>
    </row>
    <row r="197" spans="1:20" ht="30" x14ac:dyDescent="0.25">
      <c r="A197" s="93">
        <f>ROW(DIARIO[[#This Row],[Nombre de Cuenta]])-$A$155-1</f>
        <v>42</v>
      </c>
      <c r="B197" s="33" t="s">
        <v>30</v>
      </c>
      <c r="C197" s="35" t="s">
        <v>416</v>
      </c>
      <c r="D197" s="7">
        <f>VLOOKUP(C197,CATALOGO[],2,FALSE)</f>
        <v>48</v>
      </c>
      <c r="E197" s="37" t="str">
        <f>VLOOKUP(DIARIO[[#This Row],[Objeto de Gasto]],CATALOGO[],3,FALSE)</f>
        <v>39200 Utiles De Esritorio, Oficina  Y Enseñanza</v>
      </c>
      <c r="F197" s="27" t="s">
        <v>15</v>
      </c>
      <c r="G197" s="29" t="s">
        <v>534</v>
      </c>
      <c r="H197" s="27" t="s">
        <v>535</v>
      </c>
      <c r="I197" s="30">
        <v>45355</v>
      </c>
      <c r="J197" s="27"/>
      <c r="K197" s="30"/>
      <c r="L197" s="27"/>
      <c r="M197" s="30"/>
      <c r="N197" s="31"/>
      <c r="O197" s="32">
        <v>691300</v>
      </c>
      <c r="P197" s="4">
        <f t="shared" si="21"/>
        <v>-691300</v>
      </c>
      <c r="Q197" s="33" t="s">
        <v>10</v>
      </c>
      <c r="R197" s="40"/>
      <c r="S197" s="94" t="s">
        <v>536</v>
      </c>
      <c r="T197" s="31"/>
    </row>
    <row r="198" spans="1:20" ht="30" x14ac:dyDescent="0.25">
      <c r="A198" s="2">
        <f>ROW(DIARIO[[#This Row],[Nombre de Cuenta]])-$A$155-1</f>
        <v>43</v>
      </c>
      <c r="B198" s="23" t="s">
        <v>30</v>
      </c>
      <c r="C198" s="34" t="s">
        <v>426</v>
      </c>
      <c r="D198" s="7">
        <f>VLOOKUP(C198,CATALOGO[],2,FALSE)</f>
        <v>60</v>
      </c>
      <c r="E198" s="36" t="str">
        <f>VLOOKUP(DIARIO[[#This Row],[Objeto de Gasto]],CATALOGO[],3,FALSE)</f>
        <v>45100 Aplicaciones Informaticas</v>
      </c>
      <c r="F198" s="1" t="s">
        <v>19</v>
      </c>
      <c r="G198" s="6" t="s">
        <v>537</v>
      </c>
      <c r="H198" s="1" t="s">
        <v>538</v>
      </c>
      <c r="I198" s="9">
        <v>45355</v>
      </c>
      <c r="J198" s="1"/>
      <c r="K198" s="9"/>
      <c r="L198" s="1"/>
      <c r="M198" s="9"/>
      <c r="O198" s="22">
        <v>0</v>
      </c>
      <c r="P198" s="4">
        <f t="shared" si="21"/>
        <v>0</v>
      </c>
      <c r="Q198" s="23" t="s">
        <v>10</v>
      </c>
      <c r="R198" s="39"/>
      <c r="S198" s="55" t="s">
        <v>539</v>
      </c>
    </row>
    <row r="199" spans="1:20" ht="45" x14ac:dyDescent="0.25">
      <c r="A199" s="2">
        <f>ROW(DIARIO[[#This Row],[Nombre de Cuenta]])-$A$155-1</f>
        <v>44</v>
      </c>
      <c r="B199" s="23" t="s">
        <v>9</v>
      </c>
      <c r="C199" s="34" t="s">
        <v>420</v>
      </c>
      <c r="D199" s="7">
        <f>VLOOKUP(C199,CATALOGO[],2,FALSE)</f>
        <v>54</v>
      </c>
      <c r="E199" s="36" t="str">
        <f>VLOOKUP(DIARIO[[#This Row],[Objeto de Gasto]],CATALOGO[],3,FALSE)</f>
        <v>42110 Muebles Varios De Oficina</v>
      </c>
      <c r="F199" s="1" t="s">
        <v>11</v>
      </c>
      <c r="G199" s="6" t="s">
        <v>540</v>
      </c>
      <c r="H199" s="1" t="s">
        <v>541</v>
      </c>
      <c r="I199" s="9">
        <v>45341</v>
      </c>
      <c r="J199" s="1" t="s">
        <v>659</v>
      </c>
      <c r="K199" s="9">
        <v>45404</v>
      </c>
      <c r="L199" s="1"/>
      <c r="M199" s="9"/>
      <c r="O199" s="22">
        <v>200000</v>
      </c>
      <c r="P199" s="4">
        <f t="shared" si="21"/>
        <v>-200000</v>
      </c>
      <c r="Q199" s="23" t="s">
        <v>14</v>
      </c>
      <c r="R199" s="39"/>
      <c r="S199" s="6"/>
    </row>
    <row r="200" spans="1:20" x14ac:dyDescent="0.25">
      <c r="A200" s="2">
        <f>ROW(DIARIO[[#This Row],[Nombre de Cuenta]])-$A$155-1</f>
        <v>45</v>
      </c>
      <c r="B200" s="23" t="s">
        <v>9</v>
      </c>
      <c r="C200" s="34" t="s">
        <v>399</v>
      </c>
      <c r="D200" s="7">
        <f>VLOOKUP(C200,CATALOGO[],2,FALSE)</f>
        <v>20</v>
      </c>
      <c r="E200" s="36" t="str">
        <f>VLOOKUP(DIARIO[[#This Row],[Objeto de Gasto]],CATALOGO[],3,FALSE)</f>
        <v>25100 Servicios De Transporte</v>
      </c>
      <c r="F200" s="1" t="s">
        <v>11</v>
      </c>
      <c r="G200" s="6" t="s">
        <v>542</v>
      </c>
      <c r="H200" s="1" t="s">
        <v>543</v>
      </c>
      <c r="I200" s="9">
        <v>45356</v>
      </c>
      <c r="J200" s="1" t="s">
        <v>544</v>
      </c>
      <c r="K200" s="9">
        <v>45358</v>
      </c>
      <c r="L200" s="1"/>
      <c r="M200" s="9"/>
      <c r="O200" s="22">
        <v>100000</v>
      </c>
      <c r="P200" s="4">
        <f t="shared" si="21"/>
        <v>-100000</v>
      </c>
      <c r="Q200" s="23" t="s">
        <v>14</v>
      </c>
      <c r="R200" s="39"/>
      <c r="S200" s="6"/>
    </row>
    <row r="201" spans="1:20" ht="45" x14ac:dyDescent="0.25">
      <c r="A201" s="53">
        <f>ROW(DIARIO[[#This Row],[Nombre de Cuenta]])-$A$155-1</f>
        <v>46</v>
      </c>
      <c r="B201" s="23" t="s">
        <v>9</v>
      </c>
      <c r="C201" s="34" t="s">
        <v>95</v>
      </c>
      <c r="D201" s="7">
        <f>VLOOKUP(C201,CATALOGO[],2,FALSE)</f>
        <v>14</v>
      </c>
      <c r="E201" s="36" t="str">
        <f>VLOOKUP(DIARIO[[#This Row],[Objeto de Gasto]],CATALOGO[],3,FALSE)</f>
        <v>23100 Mantenimiento Y Reparacion De Edificios Y Locales</v>
      </c>
      <c r="F201" s="1" t="s">
        <v>11</v>
      </c>
      <c r="G201" s="6" t="s">
        <v>545</v>
      </c>
      <c r="H201" s="1" t="s">
        <v>546</v>
      </c>
      <c r="I201" s="54">
        <v>45362</v>
      </c>
      <c r="J201" s="1" t="s">
        <v>547</v>
      </c>
      <c r="K201" s="54">
        <v>45365</v>
      </c>
      <c r="L201" s="1"/>
      <c r="M201" s="54"/>
      <c r="O201" s="22">
        <v>3498345</v>
      </c>
      <c r="P201" s="4">
        <f t="shared" ref="P201:P207" si="22">N201-O201</f>
        <v>-3498345</v>
      </c>
      <c r="Q201" s="23" t="s">
        <v>14</v>
      </c>
      <c r="R201" s="39"/>
      <c r="S201" s="6"/>
    </row>
    <row r="202" spans="1:20" ht="45" x14ac:dyDescent="0.25">
      <c r="A202" s="53">
        <f>ROW(DIARIO[[#This Row],[Nombre de Cuenta]])-$A$155-1</f>
        <v>47</v>
      </c>
      <c r="B202" s="23" t="s">
        <v>9</v>
      </c>
      <c r="C202" s="34" t="s">
        <v>396</v>
      </c>
      <c r="D202" s="7">
        <f>VLOOKUP(C202,CATALOGO[],2,FALSE)</f>
        <v>14</v>
      </c>
      <c r="E202" s="36" t="str">
        <f>VLOOKUP(DIARIO[[#This Row],[Objeto de Gasto]],CATALOGO[],3,FALSE)</f>
        <v>23100 Mantenimiento Y Reparacion De Edificios Y Locales</v>
      </c>
      <c r="F202" s="1" t="s">
        <v>11</v>
      </c>
      <c r="G202" s="6" t="s">
        <v>545</v>
      </c>
      <c r="H202" s="1" t="s">
        <v>546</v>
      </c>
      <c r="I202" s="54">
        <v>45362</v>
      </c>
      <c r="J202" s="1" t="s">
        <v>547</v>
      </c>
      <c r="K202" s="54">
        <v>45365</v>
      </c>
      <c r="L202" s="1"/>
      <c r="M202" s="54"/>
      <c r="O202" s="22">
        <v>569656</v>
      </c>
      <c r="P202" s="4">
        <f t="shared" si="22"/>
        <v>-569656</v>
      </c>
      <c r="Q202" s="23" t="s">
        <v>14</v>
      </c>
      <c r="R202" s="39"/>
      <c r="S202" s="6"/>
    </row>
    <row r="203" spans="1:20" ht="45" x14ac:dyDescent="0.25">
      <c r="A203" s="53">
        <f>ROW(DIARIO[[#This Row],[Nombre de Cuenta]])-$A$155-1</f>
        <v>48</v>
      </c>
      <c r="B203" s="23" t="s">
        <v>9</v>
      </c>
      <c r="C203" s="34" t="s">
        <v>96</v>
      </c>
      <c r="D203" s="7">
        <f>VLOOKUP(C203,CATALOGO[],2,FALSE)</f>
        <v>14</v>
      </c>
      <c r="E203" s="36" t="str">
        <f>VLOOKUP(DIARIO[[#This Row],[Objeto de Gasto]],CATALOGO[],3,FALSE)</f>
        <v>23100 Mantenimiento Y Reparacion De Edificios Y Locales</v>
      </c>
      <c r="F203" s="1" t="s">
        <v>11</v>
      </c>
      <c r="G203" s="6" t="s">
        <v>545</v>
      </c>
      <c r="H203" s="1" t="s">
        <v>546</v>
      </c>
      <c r="I203" s="54">
        <v>45362</v>
      </c>
      <c r="J203" s="1" t="s">
        <v>547</v>
      </c>
      <c r="K203" s="54">
        <v>45365</v>
      </c>
      <c r="L203" s="1"/>
      <c r="M203" s="54"/>
      <c r="O203" s="22">
        <v>400000</v>
      </c>
      <c r="P203" s="4">
        <f t="shared" si="22"/>
        <v>-400000</v>
      </c>
      <c r="Q203" s="23" t="s">
        <v>14</v>
      </c>
      <c r="R203" s="39"/>
      <c r="S203" s="6"/>
    </row>
    <row r="204" spans="1:20" ht="30" x14ac:dyDescent="0.25">
      <c r="A204" s="53">
        <f>ROW(DIARIO[[#This Row],[Nombre de Cuenta]])-$A$155-1</f>
        <v>49</v>
      </c>
      <c r="B204" s="23" t="s">
        <v>30</v>
      </c>
      <c r="C204" s="34" t="s">
        <v>426</v>
      </c>
      <c r="D204" s="7">
        <f>VLOOKUP(C204,CATALOGO[],2,FALSE)</f>
        <v>60</v>
      </c>
      <c r="E204" s="36" t="str">
        <f>VLOOKUP(DIARIO[[#This Row],[Objeto de Gasto]],CATALOGO[],3,FALSE)</f>
        <v>45100 Aplicaciones Informaticas</v>
      </c>
      <c r="F204" s="1" t="s">
        <v>19</v>
      </c>
      <c r="G204" s="6" t="s">
        <v>548</v>
      </c>
      <c r="H204" s="1" t="s">
        <v>549</v>
      </c>
      <c r="I204" s="54">
        <v>45365</v>
      </c>
      <c r="J204" s="1" t="s">
        <v>666</v>
      </c>
      <c r="K204" s="54">
        <v>45370</v>
      </c>
      <c r="L204" s="1"/>
      <c r="M204" s="54"/>
      <c r="O204" s="22">
        <v>0</v>
      </c>
      <c r="P204" s="4">
        <f t="shared" si="22"/>
        <v>0</v>
      </c>
      <c r="Q204" s="23" t="s">
        <v>22</v>
      </c>
      <c r="R204" s="39"/>
      <c r="S204" s="6" t="s">
        <v>667</v>
      </c>
    </row>
    <row r="205" spans="1:20" ht="45" x14ac:dyDescent="0.25">
      <c r="A205" s="53">
        <f>ROW(DIARIO[[#This Row],[Nombre de Cuenta]])-$A$155-1</f>
        <v>50</v>
      </c>
      <c r="B205" s="23" t="s">
        <v>30</v>
      </c>
      <c r="C205" s="34" t="s">
        <v>191</v>
      </c>
      <c r="D205" s="7">
        <f>VLOOKUP(C205,CATALOGO[],2,FALSE)</f>
        <v>33</v>
      </c>
      <c r="E205" s="36" t="str">
        <f>VLOOKUP(DIARIO[[#This Row],[Objeto de Gasto]],CATALOGO[],3,FALSE)</f>
        <v xml:space="preserve">33100 Productos De Papel Y Carton </v>
      </c>
      <c r="F205" s="1" t="s">
        <v>11</v>
      </c>
      <c r="G205" s="6" t="s">
        <v>550</v>
      </c>
      <c r="H205" s="1" t="s">
        <v>551</v>
      </c>
      <c r="I205" s="54">
        <v>45357</v>
      </c>
      <c r="J205" s="1" t="s">
        <v>552</v>
      </c>
      <c r="K205" s="54">
        <v>45369</v>
      </c>
      <c r="L205" s="1"/>
      <c r="M205" s="54"/>
      <c r="O205" s="22">
        <f>((50*149.5)+(50*86.95)+(50*149)+(50*37.5))*(1.15)</f>
        <v>24319.624999999996</v>
      </c>
      <c r="P205" s="4">
        <f t="shared" si="22"/>
        <v>-24319.624999999996</v>
      </c>
      <c r="Q205" s="56" t="s">
        <v>18</v>
      </c>
      <c r="R205" s="39"/>
      <c r="S205" s="6" t="s">
        <v>741</v>
      </c>
    </row>
    <row r="206" spans="1:20" ht="30" x14ac:dyDescent="0.25">
      <c r="A206" s="53">
        <f>ROW(DIARIO[[#This Row],[Nombre de Cuenta]])-$A$155-1</f>
        <v>51</v>
      </c>
      <c r="B206" s="23" t="s">
        <v>30</v>
      </c>
      <c r="C206" s="34" t="s">
        <v>188</v>
      </c>
      <c r="D206" s="7">
        <f>VLOOKUP(C206,CATALOGO[],2,FALSE)</f>
        <v>33</v>
      </c>
      <c r="E206" s="36" t="str">
        <f>VLOOKUP(DIARIO[[#This Row],[Objeto de Gasto]],CATALOGO[],3,FALSE)</f>
        <v xml:space="preserve">33100 Productos De Papel Y Carton </v>
      </c>
      <c r="F206" s="1" t="s">
        <v>11</v>
      </c>
      <c r="G206" s="6" t="s">
        <v>553</v>
      </c>
      <c r="H206" s="1"/>
      <c r="I206" s="54"/>
      <c r="J206" s="1" t="s">
        <v>552</v>
      </c>
      <c r="K206" s="54">
        <v>45369</v>
      </c>
      <c r="L206" s="1"/>
      <c r="M206" s="54"/>
      <c r="O206" s="22">
        <f>((10*149.5)+(170*86.95)+(50*149)+(50*37.5))*(1.15)</f>
        <v>29441.724999999999</v>
      </c>
      <c r="P206" s="4">
        <f t="shared" si="22"/>
        <v>-29441.724999999999</v>
      </c>
      <c r="Q206" s="56" t="s">
        <v>18</v>
      </c>
      <c r="R206" s="39"/>
      <c r="S206" s="6" t="s">
        <v>741</v>
      </c>
    </row>
    <row r="207" spans="1:20" ht="30" x14ac:dyDescent="0.25">
      <c r="A207" s="53">
        <f>ROW(DIARIO[[#This Row],[Nombre de Cuenta]])-$A$155-1</f>
        <v>52</v>
      </c>
      <c r="B207" s="23" t="s">
        <v>30</v>
      </c>
      <c r="C207" s="34" t="s">
        <v>263</v>
      </c>
      <c r="D207" s="7">
        <f>VLOOKUP(C207,CATALOGO[],2,FALSE)</f>
        <v>48</v>
      </c>
      <c r="E207" s="36" t="str">
        <f>VLOOKUP(DIARIO[[#This Row],[Objeto de Gasto]],CATALOGO[],3,FALSE)</f>
        <v>39200 Utiles De Esritorio, Oficina  Y Enseñanza</v>
      </c>
      <c r="F207" s="1" t="s">
        <v>15</v>
      </c>
      <c r="G207" s="6" t="s">
        <v>554</v>
      </c>
      <c r="H207" s="1"/>
      <c r="I207" s="54"/>
      <c r="J207" s="1" t="s">
        <v>555</v>
      </c>
      <c r="K207" s="54">
        <v>45369</v>
      </c>
      <c r="L207" s="1"/>
      <c r="M207" s="54"/>
      <c r="O207" s="22">
        <f>168+1138.05+886.18+1567.5</f>
        <v>3759.73</v>
      </c>
      <c r="P207" s="4">
        <f t="shared" si="22"/>
        <v>-3759.73</v>
      </c>
      <c r="Q207" s="23" t="s">
        <v>18</v>
      </c>
      <c r="R207" s="39"/>
      <c r="S207" s="6"/>
    </row>
    <row r="208" spans="1:20" ht="30" x14ac:dyDescent="0.25">
      <c r="A208" s="53">
        <f>ROW(DIARIO[[#This Row],[Nombre de Cuenta]])-$A$155-1</f>
        <v>53</v>
      </c>
      <c r="B208" s="23" t="s">
        <v>30</v>
      </c>
      <c r="C208" s="34" t="s">
        <v>423</v>
      </c>
      <c r="D208" s="7">
        <f>VLOOKUP(C208,CATALOGO[],2,FALSE)</f>
        <v>61</v>
      </c>
      <c r="E208" s="36" t="str">
        <f>VLOOKUP(DIARIO[[#This Row],[Objeto de Gasto]],CATALOGO[],3,FALSE)</f>
        <v>42310 Equipo De Transporte Terrestre Para Personas</v>
      </c>
      <c r="F208" s="1" t="s">
        <v>11</v>
      </c>
      <c r="G208" s="6" t="s">
        <v>556</v>
      </c>
      <c r="H208" s="1" t="s">
        <v>557</v>
      </c>
      <c r="I208" s="54">
        <v>45344</v>
      </c>
      <c r="J208" s="1" t="s">
        <v>558</v>
      </c>
      <c r="K208" s="54">
        <v>45370</v>
      </c>
      <c r="L208" s="1"/>
      <c r="M208" s="54"/>
      <c r="O208" s="22">
        <f>800000+937113</f>
        <v>1737113</v>
      </c>
      <c r="P208" s="4">
        <f>N208-O208</f>
        <v>-1737113</v>
      </c>
      <c r="Q208" s="23" t="s">
        <v>14</v>
      </c>
      <c r="R208" s="39"/>
      <c r="S208" s="6"/>
    </row>
    <row r="209" spans="1:20" ht="30" x14ac:dyDescent="0.25">
      <c r="A209" s="53">
        <f>ROW(DIARIO[[#This Row],[Nombre de Cuenta]])-$A$155-1</f>
        <v>54</v>
      </c>
      <c r="B209" s="23" t="s">
        <v>9</v>
      </c>
      <c r="C209" s="34" t="s">
        <v>400</v>
      </c>
      <c r="D209" s="7">
        <f>VLOOKUP(C209,CATALOGO[],2,FALSE)</f>
        <v>24</v>
      </c>
      <c r="E209" s="36" t="str">
        <f>VLOOKUP(DIARIO[[#This Row],[Objeto de Gasto]],CATALOGO[],3,FALSE)</f>
        <v>26110 Pasajes  Nacionales</v>
      </c>
      <c r="F209" s="1" t="s">
        <v>11</v>
      </c>
      <c r="G209" s="6" t="s">
        <v>620</v>
      </c>
      <c r="H209" s="1" t="s">
        <v>619</v>
      </c>
      <c r="I209" s="54">
        <v>45371</v>
      </c>
      <c r="J209" s="1" t="s">
        <v>618</v>
      </c>
      <c r="K209" s="54">
        <v>45372</v>
      </c>
      <c r="L209" s="1"/>
      <c r="M209" s="54"/>
      <c r="O209" s="22">
        <v>57934</v>
      </c>
      <c r="P209" s="4">
        <f>N209-O209</f>
        <v>-57934</v>
      </c>
      <c r="Q209" s="23" t="s">
        <v>18</v>
      </c>
      <c r="R209" s="39"/>
      <c r="S209" s="6"/>
    </row>
    <row r="210" spans="1:20" x14ac:dyDescent="0.25">
      <c r="A210" s="53">
        <f>ROW(DIARIO[[#This Row],[Nombre de Cuenta]])-$A$155-1</f>
        <v>55</v>
      </c>
      <c r="B210" s="23" t="s">
        <v>9</v>
      </c>
      <c r="C210" s="34" t="s">
        <v>401</v>
      </c>
      <c r="D210" s="7">
        <f>VLOOKUP(C210,CATALOGO[],2,FALSE)</f>
        <v>25</v>
      </c>
      <c r="E210" s="36" t="str">
        <f>VLOOKUP(DIARIO[[#This Row],[Objeto de Gasto]],CATALOGO[],3,FALSE)</f>
        <v>26210 Viaticos Nacionales</v>
      </c>
      <c r="F210" s="1" t="s">
        <v>11</v>
      </c>
      <c r="H210" s="1"/>
      <c r="I210" s="54"/>
      <c r="J210" s="1"/>
      <c r="K210" s="54"/>
      <c r="L210" s="1"/>
      <c r="M210" s="54"/>
      <c r="O210" s="22">
        <v>688200</v>
      </c>
      <c r="P210" s="4">
        <f>N210-O210</f>
        <v>-688200</v>
      </c>
      <c r="Q210" s="23" t="s">
        <v>10</v>
      </c>
      <c r="R210" s="39"/>
      <c r="S210" s="6" t="s">
        <v>635</v>
      </c>
    </row>
    <row r="211" spans="1:20" ht="30" x14ac:dyDescent="0.25">
      <c r="A211" s="53">
        <f>ROW(DIARIO[[#This Row],[Nombre de Cuenta]])-$A$155-1</f>
        <v>56</v>
      </c>
      <c r="B211" s="23" t="s">
        <v>30</v>
      </c>
      <c r="C211" s="34" t="s">
        <v>266</v>
      </c>
      <c r="D211" s="7">
        <f>VLOOKUP(C211,CATALOGO[],2,FALSE)</f>
        <v>48</v>
      </c>
      <c r="E211" s="36" t="str">
        <f>VLOOKUP(DIARIO[[#This Row],[Objeto de Gasto]],CATALOGO[],3,FALSE)</f>
        <v>39200 Utiles De Esritorio, Oficina  Y Enseñanza</v>
      </c>
      <c r="F211" s="1" t="s">
        <v>15</v>
      </c>
      <c r="G211" s="6" t="s">
        <v>625</v>
      </c>
      <c r="H211" s="1" t="s">
        <v>622</v>
      </c>
      <c r="I211" s="54">
        <v>45385</v>
      </c>
      <c r="J211" s="1" t="s">
        <v>630</v>
      </c>
      <c r="K211" s="54">
        <v>45386</v>
      </c>
      <c r="L211" s="1"/>
      <c r="M211" s="54"/>
      <c r="O211" s="22">
        <f>77683+30779.75+44239.08+25536.74+49416.3</f>
        <v>227654.87</v>
      </c>
      <c r="P211" s="4">
        <f>N211-O211</f>
        <v>-227654.87</v>
      </c>
      <c r="Q211" s="23" t="s">
        <v>18</v>
      </c>
      <c r="R211" s="39"/>
      <c r="S211" s="6"/>
    </row>
    <row r="212" spans="1:20" ht="30" x14ac:dyDescent="0.25">
      <c r="A212" s="53">
        <f>ROW(DIARIO[[#This Row],[Nombre de Cuenta]])-$A$155-1</f>
        <v>57</v>
      </c>
      <c r="B212" s="23" t="s">
        <v>30</v>
      </c>
      <c r="C212" s="34" t="s">
        <v>192</v>
      </c>
      <c r="D212" s="7">
        <f>VLOOKUP(C212,CATALOGO[],2,FALSE)</f>
        <v>33</v>
      </c>
      <c r="E212" s="36" t="str">
        <f>VLOOKUP(DIARIO[[#This Row],[Objeto de Gasto]],CATALOGO[],3,FALSE)</f>
        <v xml:space="preserve">33100 Productos De Papel Y Carton </v>
      </c>
      <c r="F212" s="1" t="s">
        <v>15</v>
      </c>
      <c r="G212" s="6" t="s">
        <v>623</v>
      </c>
      <c r="H212" s="1" t="s">
        <v>624</v>
      </c>
      <c r="I212" s="54">
        <v>45385</v>
      </c>
      <c r="J212" s="1" t="s">
        <v>628</v>
      </c>
      <c r="K212" s="54">
        <v>45386</v>
      </c>
      <c r="L212" s="1"/>
      <c r="M212" s="54"/>
      <c r="O212" s="22">
        <f>21864.38+4312.5+5097.9</f>
        <v>31274.78</v>
      </c>
      <c r="P212" s="4">
        <f>N212-O212</f>
        <v>-31274.78</v>
      </c>
      <c r="Q212" s="23" t="s">
        <v>18</v>
      </c>
      <c r="R212" s="39"/>
      <c r="S212" s="6"/>
    </row>
    <row r="213" spans="1:20" ht="30" x14ac:dyDescent="0.25">
      <c r="A213" s="53">
        <f>ROW(DIARIO[[#This Row],[Nombre de Cuenta]])-$A$155-1</f>
        <v>58</v>
      </c>
      <c r="B213" s="23" t="s">
        <v>9</v>
      </c>
      <c r="C213" s="34" t="s">
        <v>401</v>
      </c>
      <c r="D213" s="7">
        <f>VLOOKUP(C213,CATALOGO[],2,FALSE)</f>
        <v>25</v>
      </c>
      <c r="E213" s="36" t="str">
        <f>VLOOKUP(DIARIO[[#This Row],[Objeto de Gasto]],CATALOGO[],3,FALSE)</f>
        <v>26210 Viaticos Nacionales</v>
      </c>
      <c r="F213" s="1" t="s">
        <v>19</v>
      </c>
      <c r="G213" s="6" t="s">
        <v>633</v>
      </c>
      <c r="H213" s="1" t="s">
        <v>631</v>
      </c>
      <c r="I213" s="54">
        <v>45386</v>
      </c>
      <c r="J213" s="1" t="s">
        <v>657</v>
      </c>
      <c r="K213" s="54">
        <v>45390</v>
      </c>
      <c r="L213" s="1"/>
      <c r="M213" s="54"/>
      <c r="O213" s="22">
        <v>688200</v>
      </c>
      <c r="P213" s="4">
        <f t="shared" ref="P213:P214" si="23">N213-O213</f>
        <v>-688200</v>
      </c>
      <c r="Q213" s="23" t="s">
        <v>26</v>
      </c>
      <c r="R213" s="39"/>
      <c r="S213" s="6" t="s">
        <v>768</v>
      </c>
    </row>
    <row r="214" spans="1:20" ht="30" x14ac:dyDescent="0.25">
      <c r="A214" s="53">
        <f>ROW(DIARIO[[#This Row],[Nombre de Cuenta]])-$A$155-1</f>
        <v>59</v>
      </c>
      <c r="B214" s="23" t="s">
        <v>9</v>
      </c>
      <c r="C214" s="34" t="s">
        <v>400</v>
      </c>
      <c r="D214" s="7">
        <f>VLOOKUP(C214,CATALOGO[],2,FALSE)</f>
        <v>24</v>
      </c>
      <c r="E214" s="36" t="str">
        <f>VLOOKUP(DIARIO[[#This Row],[Objeto de Gasto]],CATALOGO[],3,FALSE)</f>
        <v>26110 Pasajes  Nacionales</v>
      </c>
      <c r="F214" s="1" t="s">
        <v>19</v>
      </c>
      <c r="G214" s="6" t="s">
        <v>634</v>
      </c>
      <c r="H214" s="1" t="s">
        <v>632</v>
      </c>
      <c r="I214" s="54">
        <v>45386</v>
      </c>
      <c r="J214" s="1"/>
      <c r="K214" s="54"/>
      <c r="L214" s="1"/>
      <c r="M214" s="54"/>
      <c r="O214" s="22">
        <v>0</v>
      </c>
      <c r="P214" s="4">
        <f t="shared" si="23"/>
        <v>0</v>
      </c>
      <c r="Q214" s="23" t="s">
        <v>10</v>
      </c>
      <c r="R214" s="39"/>
      <c r="S214" s="6" t="s">
        <v>636</v>
      </c>
    </row>
    <row r="215" spans="1:20" ht="90" x14ac:dyDescent="0.25">
      <c r="A215" s="53">
        <f>ROW(DIARIO[[#This Row],[Nombre de Cuenta]])-$A$155-1</f>
        <v>60</v>
      </c>
      <c r="B215" s="23" t="s">
        <v>30</v>
      </c>
      <c r="C215" s="34" t="s">
        <v>286</v>
      </c>
      <c r="D215" s="7">
        <f>VLOOKUP(C215,CATALOGO[],2,FALSE)</f>
        <v>52</v>
      </c>
      <c r="E215" s="36" t="str">
        <f>VLOOKUP(DIARIO[[#This Row],[Objeto de Gasto]],CATALOGO[],3,FALSE)</f>
        <v>39600 Otros Repuestos Y Accesorios Menores</v>
      </c>
      <c r="F215" s="1" t="s">
        <v>11</v>
      </c>
      <c r="G215" s="6" t="s">
        <v>637</v>
      </c>
      <c r="H215" s="1" t="s">
        <v>638</v>
      </c>
      <c r="I215" s="54">
        <v>45386</v>
      </c>
      <c r="J215" s="1" t="s">
        <v>654</v>
      </c>
      <c r="K215" s="54">
        <v>45394</v>
      </c>
      <c r="L215" s="1"/>
      <c r="M215" s="54"/>
      <c r="O215" s="22">
        <v>0</v>
      </c>
      <c r="P215" s="4">
        <f t="shared" ref="P215:P220" si="24">N215-O215</f>
        <v>0</v>
      </c>
      <c r="Q215" s="23" t="s">
        <v>14</v>
      </c>
      <c r="R215" s="39"/>
      <c r="S215" s="6" t="s">
        <v>773</v>
      </c>
    </row>
    <row r="216" spans="1:20" x14ac:dyDescent="0.25">
      <c r="A216" s="53">
        <f>ROW(DIARIO[[#This Row],[Nombre de Cuenta]])-$A$155-1</f>
        <v>61</v>
      </c>
      <c r="B216" s="23" t="s">
        <v>30</v>
      </c>
      <c r="C216" s="34" t="s">
        <v>287</v>
      </c>
      <c r="D216" s="7">
        <f>VLOOKUP(C216,CATALOGO[],2,FALSE)</f>
        <v>52</v>
      </c>
      <c r="E216" s="36" t="str">
        <f>VLOOKUP(DIARIO[[#This Row],[Objeto de Gasto]],CATALOGO[],3,FALSE)</f>
        <v>39600 Otros Repuestos Y Accesorios Menores</v>
      </c>
      <c r="F216" s="1" t="s">
        <v>19</v>
      </c>
      <c r="G216" s="6" t="s">
        <v>639</v>
      </c>
      <c r="H216" s="1" t="s">
        <v>640</v>
      </c>
      <c r="I216" s="54">
        <v>45391</v>
      </c>
      <c r="J216" s="1" t="s">
        <v>654</v>
      </c>
      <c r="K216" s="54">
        <v>45394</v>
      </c>
      <c r="L216" s="1"/>
      <c r="M216" s="54"/>
      <c r="O216" s="22">
        <v>0</v>
      </c>
      <c r="P216" s="4">
        <f t="shared" si="24"/>
        <v>0</v>
      </c>
      <c r="Q216" s="23" t="s">
        <v>14</v>
      </c>
      <c r="R216" s="39"/>
      <c r="S216" s="6" t="s">
        <v>773</v>
      </c>
    </row>
    <row r="217" spans="1:20" x14ac:dyDescent="0.25">
      <c r="A217" s="53">
        <f>ROW(DIARIO[[#This Row],[Nombre de Cuenta]])-$A$155-1</f>
        <v>62</v>
      </c>
      <c r="B217" s="23" t="s">
        <v>30</v>
      </c>
      <c r="C217" s="34" t="s">
        <v>267</v>
      </c>
      <c r="D217" s="7">
        <f>VLOOKUP(C217,CATALOGO[],2,FALSE)</f>
        <v>48</v>
      </c>
      <c r="E217" s="36" t="str">
        <f>VLOOKUP(DIARIO[[#This Row],[Objeto de Gasto]],CATALOGO[],3,FALSE)</f>
        <v>39200 Utiles De Esritorio, Oficina  Y Enseñanza</v>
      </c>
      <c r="F217" s="1" t="s">
        <v>15</v>
      </c>
      <c r="G217" s="6" t="s">
        <v>641</v>
      </c>
      <c r="H217" s="1" t="s">
        <v>642</v>
      </c>
      <c r="I217" s="54">
        <v>45391</v>
      </c>
      <c r="J217" s="1" t="s">
        <v>655</v>
      </c>
      <c r="K217" s="54">
        <v>45394</v>
      </c>
      <c r="L217" s="1"/>
      <c r="M217" s="54"/>
      <c r="O217" s="22">
        <f>4618.6+3860+1183</f>
        <v>9661.6</v>
      </c>
      <c r="P217" s="4">
        <f t="shared" si="24"/>
        <v>-9661.6</v>
      </c>
      <c r="Q217" s="23" t="s">
        <v>18</v>
      </c>
      <c r="R217" s="39"/>
      <c r="S217" s="6"/>
    </row>
    <row r="218" spans="1:20" ht="30" x14ac:dyDescent="0.25">
      <c r="A218" s="53">
        <f>ROW(DIARIO[[#This Row],[Nombre de Cuenta]])-$A$155-1</f>
        <v>63</v>
      </c>
      <c r="B218" s="23" t="s">
        <v>9</v>
      </c>
      <c r="C218" s="34" t="s">
        <v>298</v>
      </c>
      <c r="D218" s="7">
        <f>VLOOKUP(C218,CATALOGO[],2,FALSE)</f>
        <v>54</v>
      </c>
      <c r="E218" s="36" t="str">
        <f>VLOOKUP(DIARIO[[#This Row],[Objeto de Gasto]],CATALOGO[],3,FALSE)</f>
        <v>42110 Muebles Varios De Oficina</v>
      </c>
      <c r="F218" s="1" t="s">
        <v>11</v>
      </c>
      <c r="G218" s="6" t="s">
        <v>643</v>
      </c>
      <c r="H218" s="1" t="s">
        <v>644</v>
      </c>
      <c r="I218" s="54">
        <v>45391</v>
      </c>
      <c r="J218" s="1" t="s">
        <v>659</v>
      </c>
      <c r="K218" s="9">
        <v>45404</v>
      </c>
      <c r="L218" s="1"/>
      <c r="M218" s="54"/>
      <c r="O218" s="22">
        <v>100000</v>
      </c>
      <c r="P218" s="4">
        <f t="shared" si="24"/>
        <v>-100000</v>
      </c>
      <c r="Q218" s="23" t="s">
        <v>14</v>
      </c>
      <c r="R218" s="39"/>
      <c r="S218" s="6"/>
    </row>
    <row r="219" spans="1:20" ht="30" x14ac:dyDescent="0.25">
      <c r="A219" s="53">
        <f>ROW(DIARIO[[#This Row],[Nombre de Cuenta]])-$A$155-1</f>
        <v>64</v>
      </c>
      <c r="B219" s="23" t="s">
        <v>9</v>
      </c>
      <c r="C219" s="34" t="s">
        <v>419</v>
      </c>
      <c r="D219" s="7">
        <f>VLOOKUP(C219,CATALOGO[],2,FALSE)</f>
        <v>52</v>
      </c>
      <c r="E219" s="36" t="str">
        <f>VLOOKUP(DIARIO[[#This Row],[Objeto de Gasto]],CATALOGO[],3,FALSE)</f>
        <v>39600 Otros Repuestos Y Accesorios Menores</v>
      </c>
      <c r="F219" s="1" t="s">
        <v>19</v>
      </c>
      <c r="G219" s="6" t="s">
        <v>645</v>
      </c>
      <c r="H219" s="1" t="s">
        <v>646</v>
      </c>
      <c r="I219" s="54">
        <v>45387</v>
      </c>
      <c r="J219" s="1" t="s">
        <v>726</v>
      </c>
      <c r="K219" s="54">
        <v>45422</v>
      </c>
      <c r="L219" s="1"/>
      <c r="M219" s="54"/>
      <c r="O219" s="22"/>
      <c r="P219" s="4">
        <f t="shared" si="24"/>
        <v>0</v>
      </c>
      <c r="Q219" s="23" t="s">
        <v>10</v>
      </c>
      <c r="R219" s="39"/>
      <c r="S219" s="6" t="s">
        <v>647</v>
      </c>
    </row>
    <row r="220" spans="1:20" ht="30" x14ac:dyDescent="0.25">
      <c r="A220" s="53">
        <f>ROW(DIARIO[[#This Row],[Nombre de Cuenta]])-$A$155-1</f>
        <v>65</v>
      </c>
      <c r="B220" s="23" t="s">
        <v>30</v>
      </c>
      <c r="C220" s="34" t="s">
        <v>262</v>
      </c>
      <c r="D220" s="7">
        <f>VLOOKUP(C220,CATALOGO[],2,FALSE)</f>
        <v>47</v>
      </c>
      <c r="E220" s="36" t="str">
        <f>VLOOKUP(DIARIO[[#This Row],[Objeto de Gasto]],CATALOGO[],3,FALSE)</f>
        <v>39100 Elementos De Limpieza Y Aseo Personal</v>
      </c>
      <c r="F220" s="1" t="s">
        <v>19</v>
      </c>
      <c r="G220" s="6" t="s">
        <v>648</v>
      </c>
      <c r="H220" s="1" t="s">
        <v>660</v>
      </c>
      <c r="I220" s="54">
        <v>45393</v>
      </c>
      <c r="J220" s="1" t="s">
        <v>661</v>
      </c>
      <c r="K220" s="54">
        <v>45397</v>
      </c>
      <c r="L220" s="1"/>
      <c r="M220" s="54"/>
      <c r="O220" s="22">
        <v>1950</v>
      </c>
      <c r="P220" s="4">
        <f t="shared" si="24"/>
        <v>-1950</v>
      </c>
      <c r="Q220" s="56" t="s">
        <v>18</v>
      </c>
      <c r="R220" s="39"/>
      <c r="S220" s="6"/>
    </row>
    <row r="221" spans="1:20" x14ac:dyDescent="0.25">
      <c r="A221" s="53">
        <f>ROW(DIARIO[[#This Row],[Nombre de Cuenta]])-$A$155-1</f>
        <v>66</v>
      </c>
      <c r="B221" s="23" t="s">
        <v>21</v>
      </c>
      <c r="C221" s="34" t="s">
        <v>276</v>
      </c>
      <c r="D221" s="7">
        <f>VLOOKUP(C221,CATALOGO[],2,FALSE)</f>
        <v>50</v>
      </c>
      <c r="E221" s="36" t="str">
        <f>VLOOKUP(DIARIO[[#This Row],[Objeto de Gasto]],CATALOGO[],3,FALSE)</f>
        <v>39530 Material Medico Quirurgico Menor</v>
      </c>
      <c r="F221" s="1" t="s">
        <v>23</v>
      </c>
      <c r="G221" s="6" t="s">
        <v>649</v>
      </c>
      <c r="H221" s="1" t="s">
        <v>650</v>
      </c>
      <c r="I221" s="54">
        <v>45393</v>
      </c>
      <c r="J221" s="1"/>
      <c r="K221" s="54"/>
      <c r="L221" s="1"/>
      <c r="M221" s="54"/>
      <c r="O221" s="22">
        <v>48000</v>
      </c>
      <c r="P221" s="4">
        <f t="shared" ref="P221" si="25">N221-O221</f>
        <v>-48000</v>
      </c>
      <c r="Q221" s="23" t="s">
        <v>10</v>
      </c>
      <c r="R221" s="39"/>
      <c r="S221" s="6" t="s">
        <v>688</v>
      </c>
    </row>
    <row r="222" spans="1:20" ht="30" x14ac:dyDescent="0.25">
      <c r="A222" s="53">
        <f>ROW(DIARIO[[#This Row],[Nombre de Cuenta]])-$A$155-1</f>
        <v>67</v>
      </c>
      <c r="B222" s="23" t="s">
        <v>30</v>
      </c>
      <c r="C222" s="34" t="s">
        <v>423</v>
      </c>
      <c r="D222" s="7">
        <f>VLOOKUP(C222,CATALOGO[],2,FALSE)</f>
        <v>61</v>
      </c>
      <c r="E222" s="36" t="str">
        <f>VLOOKUP(DIARIO[[#This Row],[Objeto de Gasto]],CATALOGO[],3,FALSE)</f>
        <v>42310 Equipo De Transporte Terrestre Para Personas</v>
      </c>
      <c r="F222" s="1" t="s">
        <v>11</v>
      </c>
      <c r="G222" s="6" t="s">
        <v>651</v>
      </c>
      <c r="H222" s="1" t="s">
        <v>652</v>
      </c>
      <c r="I222" s="54">
        <v>45393</v>
      </c>
      <c r="J222" s="1" t="s">
        <v>673</v>
      </c>
      <c r="K222" s="54">
        <v>45394</v>
      </c>
      <c r="L222" s="1"/>
      <c r="M222" s="54"/>
      <c r="O222" s="22">
        <v>0</v>
      </c>
      <c r="P222" s="4">
        <f t="shared" ref="P222:P227" si="26">N222-O222</f>
        <v>0</v>
      </c>
      <c r="Q222" s="23" t="s">
        <v>14</v>
      </c>
      <c r="R222" s="39"/>
      <c r="S222" s="6" t="s">
        <v>653</v>
      </c>
    </row>
    <row r="223" spans="1:20" ht="45" x14ac:dyDescent="0.25">
      <c r="A223" s="53">
        <f>ROW(DIARIO[[#This Row],[Nombre de Cuenta]])-$A$155-1</f>
        <v>68</v>
      </c>
      <c r="B223" s="23" t="s">
        <v>17</v>
      </c>
      <c r="C223" s="34" t="s">
        <v>196</v>
      </c>
      <c r="D223" s="7">
        <f>VLOOKUP(C223,CATALOGO[],2,FALSE)</f>
        <v>34</v>
      </c>
      <c r="E223" s="36" t="str">
        <f>VLOOKUP(DIARIO[[#This Row],[Objeto de Gasto]],CATALOGO[],3,FALSE)</f>
        <v>33300 Productos De Artes Graficas</v>
      </c>
      <c r="F223" s="1" t="s">
        <v>11</v>
      </c>
      <c r="G223" s="6" t="s">
        <v>670</v>
      </c>
      <c r="H223" s="1" t="s">
        <v>671</v>
      </c>
      <c r="I223" s="54" t="s">
        <v>672</v>
      </c>
      <c r="J223" s="1" t="s">
        <v>687</v>
      </c>
      <c r="K223" s="54">
        <v>45405</v>
      </c>
      <c r="L223" s="1"/>
      <c r="M223" s="54"/>
      <c r="O223" s="22">
        <f>IF(DIARIO[[#This Row],[Estatus]]="Proceso",SUMIFS(DIARIO[Entrada],DIARIO[Objeto de Gasto],DIARIO[[#This Row],[Objeto de Gasto]],DIARIO[Estatus],"Saldo Inicial"),0)</f>
        <v>2708000</v>
      </c>
      <c r="P223" s="4">
        <f t="shared" si="26"/>
        <v>-2708000</v>
      </c>
      <c r="Q223" s="23" t="s">
        <v>14</v>
      </c>
      <c r="R223" s="39"/>
      <c r="S223" s="6"/>
    </row>
    <row r="224" spans="1:20" ht="30" x14ac:dyDescent="0.25">
      <c r="A224" s="53">
        <f>ROW(DIARIO[[#This Row],[Nombre de Cuenta]])-$A$155-1</f>
        <v>69</v>
      </c>
      <c r="B224" s="23" t="s">
        <v>21</v>
      </c>
      <c r="C224" s="34" t="s">
        <v>409</v>
      </c>
      <c r="D224" s="7">
        <f>VLOOKUP(C224,CATALOGO[],2,FALSE)</f>
        <v>37</v>
      </c>
      <c r="E224" s="36" t="str">
        <f>VLOOKUP(DIARIO[[#This Row],[Objeto de Gasto]],CATALOGO[],3,FALSE)</f>
        <v>35251 Reactivos</v>
      </c>
      <c r="F224" s="1" t="s">
        <v>23</v>
      </c>
      <c r="G224" s="6" t="s">
        <v>679</v>
      </c>
      <c r="H224" s="1" t="s">
        <v>675</v>
      </c>
      <c r="I224" s="54">
        <v>45400</v>
      </c>
      <c r="J224" s="1" t="s">
        <v>677</v>
      </c>
      <c r="K224" s="54">
        <v>45400</v>
      </c>
      <c r="L224" s="1"/>
      <c r="M224" s="54"/>
      <c r="O224" s="22">
        <v>4098337.95</v>
      </c>
      <c r="P224" s="4">
        <f t="shared" si="26"/>
        <v>-4098337.95</v>
      </c>
      <c r="Q224" s="56" t="s">
        <v>18</v>
      </c>
      <c r="R224" s="39"/>
      <c r="S224" s="6" t="s">
        <v>731</v>
      </c>
      <c r="T224" s="4">
        <v>4098337.95</v>
      </c>
    </row>
    <row r="225" spans="1:20" ht="60" x14ac:dyDescent="0.25">
      <c r="A225" s="53">
        <f>ROW(DIARIO[[#This Row],[Nombre de Cuenta]])-$A$155-1</f>
        <v>70</v>
      </c>
      <c r="B225" s="23" t="s">
        <v>21</v>
      </c>
      <c r="C225" s="34" t="s">
        <v>212</v>
      </c>
      <c r="D225" s="7">
        <f>VLOOKUP(C225,CATALOGO[],2,FALSE)</f>
        <v>37</v>
      </c>
      <c r="E225" s="36" t="str">
        <f>VLOOKUP(DIARIO[[#This Row],[Objeto de Gasto]],CATALOGO[],3,FALSE)</f>
        <v>35251 Reactivos</v>
      </c>
      <c r="F225" s="1" t="s">
        <v>23</v>
      </c>
      <c r="G225" s="6" t="s">
        <v>680</v>
      </c>
      <c r="H225" s="1" t="s">
        <v>676</v>
      </c>
      <c r="I225" s="54">
        <v>45400</v>
      </c>
      <c r="J225" s="1" t="s">
        <v>678</v>
      </c>
      <c r="K225" s="54">
        <v>45400</v>
      </c>
      <c r="L225" s="1"/>
      <c r="M225" s="54"/>
      <c r="O225" s="22">
        <f>IF(DIARIO[[#This Row],[Estatus]]="Proceso",SUMIFS(DIARIO[Entrada],DIARIO[Objeto de Gasto],DIARIO[[#This Row],[Objeto de Gasto]],DIARIO[Estatus],"Saldo Inicial"),0)</f>
        <v>10918871</v>
      </c>
      <c r="P225" s="4">
        <f t="shared" si="26"/>
        <v>-10918871</v>
      </c>
      <c r="Q225" s="23" t="s">
        <v>14</v>
      </c>
      <c r="R225" s="39"/>
      <c r="S225" s="6" t="s">
        <v>730</v>
      </c>
    </row>
    <row r="226" spans="1:20" ht="75" x14ac:dyDescent="0.25">
      <c r="A226" s="53">
        <f>ROW(DIARIO[[#This Row],[Nombre de Cuenta]])-$A$155-1</f>
        <v>71</v>
      </c>
      <c r="B226" s="23" t="s">
        <v>9</v>
      </c>
      <c r="C226" s="34" t="s">
        <v>302</v>
      </c>
      <c r="D226" s="7">
        <f>VLOOKUP(C226,CATALOGO[],2,FALSE)</f>
        <v>55</v>
      </c>
      <c r="E226" s="36" t="str">
        <f>VLOOKUP(DIARIO[[#This Row],[Objeto de Gasto]],CATALOGO[],3,FALSE)</f>
        <v>42120 Equipos Varios De Oficina</v>
      </c>
      <c r="F226" s="1" t="s">
        <v>11</v>
      </c>
      <c r="G226" s="6" t="s">
        <v>683</v>
      </c>
      <c r="H226" s="1" t="s">
        <v>682</v>
      </c>
      <c r="I226" s="54">
        <v>45400</v>
      </c>
      <c r="J226" s="1" t="s">
        <v>684</v>
      </c>
      <c r="K226" s="54">
        <v>45404</v>
      </c>
      <c r="L226" s="1"/>
      <c r="M226" s="54"/>
      <c r="O226" s="22">
        <f>IF(DIARIO[[#This Row],[Estatus]]="Proceso",SUMIFS(DIARIO[Entrada],DIARIO[Objeto de Gasto],DIARIO[[#This Row],[Objeto de Gasto]],DIARIO[Estatus],"Saldo Inicial"),0)</f>
        <v>100000</v>
      </c>
      <c r="P226" s="4">
        <f t="shared" si="26"/>
        <v>-100000</v>
      </c>
      <c r="Q226" s="23" t="s">
        <v>14</v>
      </c>
      <c r="R226" s="39"/>
      <c r="S226" s="6" t="s">
        <v>759</v>
      </c>
    </row>
    <row r="227" spans="1:20" ht="75" x14ac:dyDescent="0.25">
      <c r="A227" s="53">
        <f>ROW(DIARIO[[#This Row],[Nombre de Cuenta]])-$A$155-1</f>
        <v>72</v>
      </c>
      <c r="B227" s="23" t="s">
        <v>9</v>
      </c>
      <c r="C227" s="34" t="s">
        <v>303</v>
      </c>
      <c r="D227" s="7">
        <f>VLOOKUP(C227,CATALOGO[],2,FALSE)</f>
        <v>55</v>
      </c>
      <c r="E227" s="36" t="str">
        <f>VLOOKUP(DIARIO[[#This Row],[Objeto de Gasto]],CATALOGO[],3,FALSE)</f>
        <v>42120 Equipos Varios De Oficina</v>
      </c>
      <c r="F227" s="1" t="s">
        <v>11</v>
      </c>
      <c r="G227" s="6" t="s">
        <v>686</v>
      </c>
      <c r="H227" s="1" t="s">
        <v>685</v>
      </c>
      <c r="I227" s="54">
        <v>45400</v>
      </c>
      <c r="J227" s="1" t="s">
        <v>684</v>
      </c>
      <c r="K227" s="54">
        <v>45404</v>
      </c>
      <c r="L227" s="1"/>
      <c r="M227" s="54"/>
      <c r="O227" s="22">
        <f>IF(DIARIO[[#This Row],[Estatus]]="Proceso",SUMIFS(DIARIO[Entrada],DIARIO[Objeto de Gasto],DIARIO[[#This Row],[Objeto de Gasto]],DIARIO[Estatus],"Saldo Inicial"),0)</f>
        <v>100000</v>
      </c>
      <c r="P227" s="4">
        <f t="shared" si="26"/>
        <v>-100000</v>
      </c>
      <c r="Q227" s="23" t="s">
        <v>14</v>
      </c>
      <c r="R227" s="39"/>
      <c r="S227" s="6" t="s">
        <v>759</v>
      </c>
    </row>
    <row r="228" spans="1:20" x14ac:dyDescent="0.25">
      <c r="A228" s="53">
        <f>ROW(DIARIO[[#This Row],[Nombre de Cuenta]])-$A$155-1</f>
        <v>73</v>
      </c>
      <c r="B228" s="23" t="s">
        <v>9</v>
      </c>
      <c r="C228" s="34" t="s">
        <v>276</v>
      </c>
      <c r="D228" s="7">
        <f>VLOOKUP(C228,CATALOGO[],2,FALSE)</f>
        <v>50</v>
      </c>
      <c r="E228" s="36" t="str">
        <f>VLOOKUP(DIARIO[[#This Row],[Objeto de Gasto]],CATALOGO[],3,FALSE)</f>
        <v>39530 Material Medico Quirurgico Menor</v>
      </c>
      <c r="F228" s="1" t="s">
        <v>23</v>
      </c>
      <c r="G228" s="6" t="s">
        <v>649</v>
      </c>
      <c r="H228" s="1" t="s">
        <v>650</v>
      </c>
      <c r="I228" s="54">
        <v>45406</v>
      </c>
      <c r="J228" s="1" t="s">
        <v>689</v>
      </c>
      <c r="K228" s="54">
        <v>45406</v>
      </c>
      <c r="L228" s="1"/>
      <c r="M228" s="54"/>
      <c r="O228" s="22">
        <f>IF(DIARIO[[#This Row],[Estatus]]="Proceso",SUMIFS(DIARIO[Entrada],DIARIO[Objeto de Gasto],DIARIO[[#This Row],[Objeto de Gasto]],DIARIO[Estatus],"Saldo Inicial"),0)</f>
        <v>48000</v>
      </c>
      <c r="P228" s="4">
        <f>N228-O228</f>
        <v>-48000</v>
      </c>
      <c r="Q228" s="23" t="s">
        <v>14</v>
      </c>
      <c r="R228" s="39"/>
      <c r="S228" s="6"/>
    </row>
    <row r="229" spans="1:20" ht="45" x14ac:dyDescent="0.25">
      <c r="A229" s="53">
        <f>ROW(DIARIO[[#This Row],[Nombre de Cuenta]])-$A$155-1</f>
        <v>74</v>
      </c>
      <c r="B229" s="23" t="s">
        <v>9</v>
      </c>
      <c r="C229" s="34" t="s">
        <v>261</v>
      </c>
      <c r="D229" s="7">
        <f>VLOOKUP(C229,CATALOGO[],2,FALSE)</f>
        <v>47</v>
      </c>
      <c r="E229" s="36" t="str">
        <f>VLOOKUP(DIARIO[[#This Row],[Objeto de Gasto]],CATALOGO[],3,FALSE)</f>
        <v>39100 Elementos De Limpieza Y Aseo Personal</v>
      </c>
      <c r="F229" s="1" t="s">
        <v>700</v>
      </c>
      <c r="G229" s="6" t="s">
        <v>494</v>
      </c>
      <c r="H229" s="1" t="s">
        <v>690</v>
      </c>
      <c r="I229" s="54">
        <v>45406</v>
      </c>
      <c r="J229" s="1" t="s">
        <v>693</v>
      </c>
      <c r="K229" s="54">
        <v>45411</v>
      </c>
      <c r="L229" s="1"/>
      <c r="M229" s="54"/>
      <c r="O229" s="22">
        <v>0</v>
      </c>
      <c r="P229" s="4">
        <f>N229-O229</f>
        <v>0</v>
      </c>
      <c r="Q229" s="23" t="s">
        <v>14</v>
      </c>
      <c r="R229" s="39"/>
      <c r="S229" s="6" t="s">
        <v>692</v>
      </c>
    </row>
    <row r="230" spans="1:20" ht="45" x14ac:dyDescent="0.25">
      <c r="A230" s="82">
        <f>ROW(DIARIO[[#This Row],[Nombre de Cuenta]])-$A$155-1</f>
        <v>75</v>
      </c>
      <c r="B230" s="33" t="s">
        <v>9</v>
      </c>
      <c r="C230" s="35" t="s">
        <v>261</v>
      </c>
      <c r="D230" s="7">
        <f>VLOOKUP(C230,CATALOGO[],2,FALSE)</f>
        <v>47</v>
      </c>
      <c r="E230" s="37" t="str">
        <f>VLOOKUP(DIARIO[[#This Row],[Objeto de Gasto]],CATALOGO[],3,FALSE)</f>
        <v>39100 Elementos De Limpieza Y Aseo Personal</v>
      </c>
      <c r="F230" s="27"/>
      <c r="G230" s="29" t="s">
        <v>494</v>
      </c>
      <c r="H230" s="27" t="s">
        <v>691</v>
      </c>
      <c r="I230" s="83">
        <v>45393</v>
      </c>
      <c r="J230" s="27"/>
      <c r="K230" s="83"/>
      <c r="L230" s="27"/>
      <c r="M230" s="83"/>
      <c r="N230" s="31"/>
      <c r="O230" s="32">
        <f>IF(DIARIO[[#This Row],[Estatus]]="Proceso",SUMIFS(DIARIO[Entrada],DIARIO[Objeto de Gasto],DIARIO[[#This Row],[Objeto de Gasto]],DIARIO[Estatus],"Saldo Inicial"),0)</f>
        <v>0</v>
      </c>
      <c r="P230" s="4">
        <f>N230-O230</f>
        <v>0</v>
      </c>
      <c r="Q230" s="33" t="s">
        <v>10</v>
      </c>
      <c r="R230" s="40"/>
      <c r="S230" s="29" t="s">
        <v>688</v>
      </c>
      <c r="T230" s="31"/>
    </row>
    <row r="231" spans="1:20" ht="165" x14ac:dyDescent="0.25">
      <c r="A231" s="53">
        <f>ROW(DIARIO[[#This Row],[Nombre de Cuenta]])-$A$155-1</f>
        <v>76</v>
      </c>
      <c r="B231" s="23" t="s">
        <v>21</v>
      </c>
      <c r="C231" s="34" t="s">
        <v>271</v>
      </c>
      <c r="D231" s="7">
        <f>VLOOKUP(C231,CATALOGO[],2,FALSE)</f>
        <v>49</v>
      </c>
      <c r="E231" s="36" t="str">
        <f>VLOOKUP(DIARIO[[#This Row],[Objeto de Gasto]],CATALOGO[],3,FALSE)</f>
        <v xml:space="preserve">39520 Intrumental Y Material Para Laboratorio </v>
      </c>
      <c r="F231" s="1" t="s">
        <v>700</v>
      </c>
      <c r="G231" s="6" t="s">
        <v>694</v>
      </c>
      <c r="H231" s="1" t="s">
        <v>695</v>
      </c>
      <c r="I231" s="54">
        <v>45407</v>
      </c>
      <c r="J231" s="1" t="s">
        <v>710</v>
      </c>
      <c r="K231" s="54">
        <v>45418</v>
      </c>
      <c r="L231" s="1"/>
      <c r="M231" s="54"/>
      <c r="O23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3476643.3487819391</v>
      </c>
      <c r="P231" s="4">
        <f>N231-O231</f>
        <v>-3476643.3487819391</v>
      </c>
      <c r="Q231" s="33" t="s">
        <v>14</v>
      </c>
      <c r="R231" s="39"/>
      <c r="S231" s="6" t="s">
        <v>696</v>
      </c>
    </row>
    <row r="232" spans="1:20" ht="165" x14ac:dyDescent="0.25">
      <c r="A232" s="53">
        <f>ROW(DIARIO[[#This Row],[Nombre de Cuenta]])-$A$155-1</f>
        <v>77</v>
      </c>
      <c r="B232" s="23" t="s">
        <v>21</v>
      </c>
      <c r="C232" s="34" t="s">
        <v>270</v>
      </c>
      <c r="D232" s="7">
        <f>VLOOKUP(C232,CATALOGO[],2,FALSE)</f>
        <v>49</v>
      </c>
      <c r="E232" s="36" t="str">
        <f>VLOOKUP(DIARIO[[#This Row],[Objeto de Gasto]],CATALOGO[],3,FALSE)</f>
        <v xml:space="preserve">39520 Intrumental Y Material Para Laboratorio </v>
      </c>
      <c r="F232" s="1" t="s">
        <v>700</v>
      </c>
      <c r="G232" s="6" t="s">
        <v>694</v>
      </c>
      <c r="H232" s="1" t="s">
        <v>695</v>
      </c>
      <c r="I232" s="54">
        <v>45407</v>
      </c>
      <c r="J232" s="1" t="s">
        <v>710</v>
      </c>
      <c r="K232" s="54">
        <v>45418</v>
      </c>
      <c r="L232" s="1"/>
      <c r="M232" s="54"/>
      <c r="O23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3811582.8788806982</v>
      </c>
      <c r="P232" s="4">
        <f t="shared" ref="P232:P233" si="27">N232-O232</f>
        <v>-3811582.8788806982</v>
      </c>
      <c r="Q232" s="33" t="s">
        <v>14</v>
      </c>
      <c r="R232" s="39"/>
      <c r="S232" s="6" t="s">
        <v>696</v>
      </c>
    </row>
    <row r="233" spans="1:20" ht="165" x14ac:dyDescent="0.25">
      <c r="A233" s="53">
        <f>ROW(DIARIO[[#This Row],[Nombre de Cuenta]])-$A$155-1</f>
        <v>78</v>
      </c>
      <c r="B233" s="23" t="s">
        <v>21</v>
      </c>
      <c r="C233" s="34" t="s">
        <v>272</v>
      </c>
      <c r="D233" s="7">
        <f>VLOOKUP(C233,CATALOGO[],2,FALSE)</f>
        <v>49</v>
      </c>
      <c r="E233" s="36" t="str">
        <f>VLOOKUP(DIARIO[[#This Row],[Objeto de Gasto]],CATALOGO[],3,FALSE)</f>
        <v xml:space="preserve">39520 Intrumental Y Material Para Laboratorio </v>
      </c>
      <c r="F233" s="1" t="s">
        <v>700</v>
      </c>
      <c r="G233" s="6" t="s">
        <v>694</v>
      </c>
      <c r="H233" s="1" t="s">
        <v>695</v>
      </c>
      <c r="I233" s="54">
        <v>45407</v>
      </c>
      <c r="J233" s="1" t="s">
        <v>710</v>
      </c>
      <c r="K233" s="54">
        <v>45418</v>
      </c>
      <c r="L233" s="1"/>
      <c r="M233" s="54"/>
      <c r="O23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2851951.9223373625</v>
      </c>
      <c r="P233" s="4">
        <f t="shared" si="27"/>
        <v>-2851951.9223373625</v>
      </c>
      <c r="Q233" s="33" t="s">
        <v>14</v>
      </c>
      <c r="R233" s="39"/>
      <c r="S233" s="6" t="s">
        <v>696</v>
      </c>
    </row>
    <row r="234" spans="1:20" ht="90" x14ac:dyDescent="0.25">
      <c r="A234" s="53">
        <f>ROW(DIARIO[[#This Row],[Nombre de Cuenta]])-$A$155-1</f>
        <v>79</v>
      </c>
      <c r="B234" s="23" t="s">
        <v>21</v>
      </c>
      <c r="C234" s="34" t="s">
        <v>281</v>
      </c>
      <c r="D234" s="7">
        <f>VLOOKUP(C234,CATALOGO[],2,FALSE)</f>
        <v>51</v>
      </c>
      <c r="E234" s="36" t="str">
        <f>VLOOKUP(DIARIO[[#This Row],[Objeto de Gasto]],CATALOGO[],3,FALSE)</f>
        <v>39540 Otro Instrumental, Accesorios Y Material Medico</v>
      </c>
      <c r="F234" s="1" t="s">
        <v>700</v>
      </c>
      <c r="G234" s="6" t="s">
        <v>698</v>
      </c>
      <c r="H234" s="1" t="s">
        <v>697</v>
      </c>
      <c r="I234" s="54">
        <v>45407</v>
      </c>
      <c r="J234" s="1" t="s">
        <v>711</v>
      </c>
      <c r="K234" s="54">
        <v>45418</v>
      </c>
      <c r="L234" s="1"/>
      <c r="M234" s="54"/>
      <c r="O234" s="22">
        <f>IF(DIARIO[[#This Row],[Estatus]]="Proceso",SUMIFS(DIARIO[Entrada],DIARIO[Objeto de Gasto],DIARIO[[#This Row],[Objeto de Gasto]],DIARIO[Estatus],"Saldo Inicial"),0)-SUMIFS(DIARIO[Salida],DIARIO[Objeto de Gasto],DIARIO[[#This Row],[Objeto de Gasto]],DIARIO[Estatus],"Adjudicado")</f>
        <v>1675818.1006739326</v>
      </c>
      <c r="P234" s="4">
        <f>N234-O234</f>
        <v>-1675818.1006739326</v>
      </c>
      <c r="Q234" s="33" t="s">
        <v>14</v>
      </c>
      <c r="R234" s="39"/>
      <c r="S234" s="6" t="s">
        <v>699</v>
      </c>
    </row>
    <row r="235" spans="1:20" ht="90" x14ac:dyDescent="0.25">
      <c r="A235" s="53">
        <f>ROW(DIARIO[[#This Row],[Nombre de Cuenta]])-$A$155-1</f>
        <v>80</v>
      </c>
      <c r="B235" s="23" t="s">
        <v>21</v>
      </c>
      <c r="C235" s="34" t="s">
        <v>280</v>
      </c>
      <c r="D235" s="7">
        <f>VLOOKUP(C235,CATALOGO[],2,FALSE)</f>
        <v>51</v>
      </c>
      <c r="E235" s="36" t="str">
        <f>VLOOKUP(DIARIO[[#This Row],[Objeto de Gasto]],CATALOGO[],3,FALSE)</f>
        <v>39540 Otro Instrumental, Accesorios Y Material Medico</v>
      </c>
      <c r="F235" s="1" t="s">
        <v>700</v>
      </c>
      <c r="G235" s="6" t="s">
        <v>698</v>
      </c>
      <c r="H235" s="1" t="s">
        <v>697</v>
      </c>
      <c r="I235" s="54">
        <v>45407</v>
      </c>
      <c r="J235" s="1" t="s">
        <v>711</v>
      </c>
      <c r="K235" s="54">
        <v>45418</v>
      </c>
      <c r="L235" s="1"/>
      <c r="M235" s="54"/>
      <c r="O235" s="22">
        <f>IF(DIARIO[[#This Row],[Estatus]]="Proceso",SUMIFS(DIARIO[Entrada],DIARIO[Objeto de Gasto],DIARIO[[#This Row],[Objeto de Gasto]],DIARIO[Estatus],"Saldo Inicial"),0)-SUMIFS(DIARIO[Salida],DIARIO[Objeto de Gasto],DIARIO[[#This Row],[Objeto de Gasto]],DIARIO[Estatus],"Adjudicado")</f>
        <v>3690925.9968994781</v>
      </c>
      <c r="P235" s="4">
        <f t="shared" ref="P235:P236" si="28">N235-O235</f>
        <v>-3690925.9968994781</v>
      </c>
      <c r="Q235" s="33" t="s">
        <v>14</v>
      </c>
      <c r="R235" s="39"/>
      <c r="S235" s="6" t="s">
        <v>699</v>
      </c>
    </row>
    <row r="236" spans="1:20" ht="90" x14ac:dyDescent="0.25">
      <c r="A236" s="53">
        <f>ROW(DIARIO[[#This Row],[Nombre de Cuenta]])-$A$155-1</f>
        <v>81</v>
      </c>
      <c r="B236" s="23" t="s">
        <v>21</v>
      </c>
      <c r="C236" s="34" t="s">
        <v>282</v>
      </c>
      <c r="D236" s="7">
        <f>VLOOKUP(C236,CATALOGO[],2,FALSE)</f>
        <v>51</v>
      </c>
      <c r="E236" s="36" t="str">
        <f>VLOOKUP(DIARIO[[#This Row],[Objeto de Gasto]],CATALOGO[],3,FALSE)</f>
        <v>39540 Otro Instrumental, Accesorios Y Material Medico</v>
      </c>
      <c r="F236" s="1" t="s">
        <v>700</v>
      </c>
      <c r="G236" s="6" t="s">
        <v>698</v>
      </c>
      <c r="H236" s="1" t="s">
        <v>697</v>
      </c>
      <c r="I236" s="54">
        <v>45407</v>
      </c>
      <c r="J236" s="1" t="s">
        <v>711</v>
      </c>
      <c r="K236" s="54">
        <v>45418</v>
      </c>
      <c r="L236" s="1"/>
      <c r="M236" s="54"/>
      <c r="O236" s="22">
        <f>IF(DIARIO[[#This Row],[Estatus]]="Proceso",SUMIFS(DIARIO[Entrada],DIARIO[Objeto de Gasto],DIARIO[[#This Row],[Objeto de Gasto]],DIARIO[Estatus],"Saldo Inicial"),0)-SUMIFS(DIARIO[Salida],DIARIO[Objeto de Gasto],DIARIO[[#This Row],[Objeto de Gasto]],DIARIO[Estatus],"Adjudicado")</f>
        <v>277971.04242658988</v>
      </c>
      <c r="P236" s="4">
        <f t="shared" si="28"/>
        <v>-277971.04242658988</v>
      </c>
      <c r="Q236" s="33" t="s">
        <v>14</v>
      </c>
      <c r="R236" s="39"/>
      <c r="S236" s="6" t="s">
        <v>699</v>
      </c>
    </row>
    <row r="237" spans="1:20" ht="45" x14ac:dyDescent="0.25">
      <c r="A237" s="53">
        <f>ROW(DIARIO[[#This Row],[Nombre de Cuenta]])-$A$155-1</f>
        <v>82</v>
      </c>
      <c r="B237" s="23" t="s">
        <v>21</v>
      </c>
      <c r="C237" s="34" t="s">
        <v>409</v>
      </c>
      <c r="D237" s="7">
        <f>VLOOKUP(C237,CATALOGO[],2,FALSE)</f>
        <v>37</v>
      </c>
      <c r="E237" s="36" t="str">
        <f>VLOOKUP(DIARIO[[#This Row],[Objeto de Gasto]],CATALOGO[],3,FALSE)</f>
        <v>35251 Reactivos</v>
      </c>
      <c r="F237" s="1" t="s">
        <v>700</v>
      </c>
      <c r="G237" s="6" t="s">
        <v>702</v>
      </c>
      <c r="H237" s="1" t="s">
        <v>701</v>
      </c>
      <c r="I237" s="54">
        <v>45406</v>
      </c>
      <c r="J237" s="1" t="s">
        <v>704</v>
      </c>
      <c r="K237" s="54">
        <v>45425</v>
      </c>
      <c r="L237" s="1"/>
      <c r="M237" s="54"/>
      <c r="O237" s="22">
        <f>IF(DIARIO[[#This Row],[Estatus]]="Proceso",SUMIFS(DIARIO[Entrada],DIARIO[Objeto de Gasto],DIARIO[[#This Row],[Objeto de Gasto]],DIARIO[Estatus],"Saldo Inicial"),0)-SUMIFS(DIARIO[Salida],DIARIO[Objeto de Gasto],DIARIO[[#This Row],[Objeto de Gasto]],DIARIO[Estatus],"Adjudicado")</f>
        <v>7911920.0499999998</v>
      </c>
      <c r="P237" s="4">
        <f t="shared" ref="P237:P244" si="29">N237-O237</f>
        <v>-7911920.0499999998</v>
      </c>
      <c r="Q237" s="33" t="s">
        <v>14</v>
      </c>
      <c r="R237" s="39"/>
      <c r="S237" s="6" t="s">
        <v>705</v>
      </c>
    </row>
    <row r="238" spans="1:20" ht="45" x14ac:dyDescent="0.25">
      <c r="A238" s="53">
        <f>ROW(DIARIO[[#This Row],[Nombre de Cuenta]])-$A$155-1</f>
        <v>83</v>
      </c>
      <c r="B238" s="23" t="s">
        <v>21</v>
      </c>
      <c r="C238" s="34" t="s">
        <v>212</v>
      </c>
      <c r="D238" s="7">
        <f>VLOOKUP(C238,CATALOGO[],2,FALSE)</f>
        <v>37</v>
      </c>
      <c r="E238" s="36" t="str">
        <f>VLOOKUP(DIARIO[[#This Row],[Objeto de Gasto]],CATALOGO[],3,FALSE)</f>
        <v>35251 Reactivos</v>
      </c>
      <c r="F238" s="1" t="s">
        <v>700</v>
      </c>
      <c r="G238" s="6" t="s">
        <v>703</v>
      </c>
      <c r="H238" s="1" t="s">
        <v>701</v>
      </c>
      <c r="I238" s="54">
        <v>45406</v>
      </c>
      <c r="J238" s="1" t="s">
        <v>704</v>
      </c>
      <c r="K238" s="54">
        <v>45425</v>
      </c>
      <c r="L238" s="1"/>
      <c r="M238" s="54"/>
      <c r="O238" s="22">
        <f>IF(DIARIO[[#This Row],[Estatus]]="Proceso",SUMIFS(DIARIO[Entrada],DIARIO[Objeto de Gasto],DIARIO[[#This Row],[Objeto de Gasto]],DIARIO[Estatus],"Saldo Inicial"),0)-SUMIFS(DIARIO[Salida],DIARIO[Objeto de Gasto],DIARIO[[#This Row],[Objeto de Gasto]],DIARIO[Estatus],"Adjudicado")</f>
        <v>10918871</v>
      </c>
      <c r="P238" s="4">
        <f t="shared" si="29"/>
        <v>-10918871</v>
      </c>
      <c r="Q238" s="33" t="s">
        <v>14</v>
      </c>
      <c r="R238" s="39"/>
      <c r="S238" s="6" t="s">
        <v>705</v>
      </c>
    </row>
    <row r="239" spans="1:20" ht="60" x14ac:dyDescent="0.25">
      <c r="A239" s="53">
        <f>ROW(DIARIO[[#This Row],[Nombre de Cuenta]])-$A$155-1</f>
        <v>84</v>
      </c>
      <c r="B239" s="23" t="s">
        <v>21</v>
      </c>
      <c r="C239" s="34" t="s">
        <v>226</v>
      </c>
      <c r="D239" s="7">
        <f>VLOOKUP(C239,CATALOGO[],2,FALSE)</f>
        <v>40</v>
      </c>
      <c r="E239" s="36" t="str">
        <f>VLOOKUP(DIARIO[[#This Row],[Objeto de Gasto]],CATALOGO[],3,FALSE)</f>
        <v>35252 Reactivo (VIH)</v>
      </c>
      <c r="F239" s="1" t="s">
        <v>700</v>
      </c>
      <c r="G239" s="6" t="s">
        <v>707</v>
      </c>
      <c r="H239" s="1" t="s">
        <v>706</v>
      </c>
      <c r="I239" s="54">
        <v>45400</v>
      </c>
      <c r="J239" s="1" t="s">
        <v>708</v>
      </c>
      <c r="K239" s="54">
        <v>45411</v>
      </c>
      <c r="L239" s="1"/>
      <c r="M239" s="54"/>
      <c r="O239" s="22">
        <f>IF(DIARIO[[#This Row],[Estatus]]="Proceso",SUMIFS(DIARIO[Entrada],DIARIO[Objeto de Gasto],DIARIO[[#This Row],[Objeto de Gasto]],DIARIO[Estatus],"Saldo Inicial"),0)-SUMIFS(DIARIO[Salida],DIARIO[Objeto de Gasto],DIARIO[[#This Row],[Objeto de Gasto]],DIARIO[Estatus],"Adjudicado")</f>
        <v>45215293.5</v>
      </c>
      <c r="P239" s="4">
        <f t="shared" si="29"/>
        <v>-45215293.5</v>
      </c>
      <c r="Q239" s="33" t="s">
        <v>14</v>
      </c>
      <c r="R239" s="39"/>
      <c r="S239" s="6" t="s">
        <v>737</v>
      </c>
    </row>
    <row r="240" spans="1:20" x14ac:dyDescent="0.25">
      <c r="A240" s="53">
        <f>ROW(DIARIO[[#This Row],[Nombre de Cuenta]])-$A$155-1</f>
        <v>85</v>
      </c>
      <c r="B240" s="23" t="s">
        <v>21</v>
      </c>
      <c r="C240" s="34" t="s">
        <v>171</v>
      </c>
      <c r="D240" s="7">
        <f>VLOOKUP(C240,CATALOGO[],2,FALSE)</f>
        <v>29</v>
      </c>
      <c r="E240" s="36" t="str">
        <f>VLOOKUP(DIARIO[[#This Row],[Objeto de Gasto]],CATALOGO[],3,FALSE)</f>
        <v>31110 Productos Alimenticios Y Bebidas</v>
      </c>
      <c r="F240" s="1" t="s">
        <v>700</v>
      </c>
      <c r="G240" s="6" t="s">
        <v>727</v>
      </c>
      <c r="H240" s="1" t="s">
        <v>733</v>
      </c>
      <c r="I240" s="54">
        <v>45422</v>
      </c>
      <c r="J240" s="1" t="s">
        <v>732</v>
      </c>
      <c r="K240" s="54">
        <v>45428</v>
      </c>
      <c r="L240" s="1"/>
      <c r="M240" s="54"/>
      <c r="O240" s="22">
        <f>IF(DIARIO[[#This Row],[Estatus]]="Proceso",SUMIFS(DIARIO[Entrada],DIARIO[Objeto de Gasto],DIARIO[[#This Row],[Objeto de Gasto]],DIARIO[Estatus],"Saldo Inicial"),0)-SUMIFS(DIARIO[Salida],DIARIO[Objeto de Gasto],DIARIO[[#This Row],[Objeto de Gasto]],DIARIO[Estatus],"Adjudicado")</f>
        <v>6465825</v>
      </c>
      <c r="P240" s="4">
        <f t="shared" si="29"/>
        <v>-6465825</v>
      </c>
      <c r="Q240" s="23" t="s">
        <v>14</v>
      </c>
      <c r="R240" s="39"/>
      <c r="S240" s="6"/>
    </row>
    <row r="241" spans="1:19" ht="30" x14ac:dyDescent="0.25">
      <c r="A241" s="53">
        <f>ROW(DIARIO[[#This Row],[Nombre de Cuenta]])-$A$155-1</f>
        <v>86</v>
      </c>
      <c r="B241" s="23" t="s">
        <v>9</v>
      </c>
      <c r="C241" s="34" t="s">
        <v>327</v>
      </c>
      <c r="D241" s="7">
        <f>VLOOKUP(C241,CATALOGO[],2,FALSE)</f>
        <v>60</v>
      </c>
      <c r="E241" s="36" t="str">
        <f>VLOOKUP(DIARIO[[#This Row],[Objeto de Gasto]],CATALOGO[],3,FALSE)</f>
        <v>45100 Aplicaciones Informaticas</v>
      </c>
      <c r="F241" s="1" t="s">
        <v>19</v>
      </c>
      <c r="G241" s="6" t="s">
        <v>465</v>
      </c>
      <c r="H241" s="1" t="s">
        <v>466</v>
      </c>
      <c r="I241" s="9">
        <v>45314</v>
      </c>
      <c r="J241" s="1" t="s">
        <v>728</v>
      </c>
      <c r="K241" s="54">
        <v>45426</v>
      </c>
      <c r="L241" s="1"/>
      <c r="M241" s="54"/>
      <c r="O241" s="22">
        <f>IF(DIARIO[[#This Row],[Estatus]]="Proceso",SUMIFS(DIARIO[Entrada],DIARIO[Objeto de Gasto],DIARIO[[#This Row],[Objeto de Gasto]],DIARIO[Estatus],"Saldo Inicial"),0)-SUMIFS(DIARIO[Salida],DIARIO[Objeto de Gasto],DIARIO[[#This Row],[Objeto de Gasto]],DIARIO[Estatus],"Adjudicado")</f>
        <v>200000</v>
      </c>
      <c r="P241" s="4">
        <f t="shared" si="29"/>
        <v>-200000</v>
      </c>
      <c r="Q241" s="23" t="s">
        <v>14</v>
      </c>
      <c r="R241" s="39"/>
      <c r="S241" s="6"/>
    </row>
    <row r="242" spans="1:19" ht="30" x14ac:dyDescent="0.25">
      <c r="A242" s="53">
        <f>ROW(DIARIO[[#This Row],[Nombre de Cuenta]])-$A$155-1</f>
        <v>87</v>
      </c>
      <c r="B242" s="23" t="s">
        <v>9</v>
      </c>
      <c r="C242" s="34" t="s">
        <v>426</v>
      </c>
      <c r="D242" s="7">
        <f>VLOOKUP(C242,CATALOGO[],2,FALSE)</f>
        <v>60</v>
      </c>
      <c r="E242" s="36" t="str">
        <f>VLOOKUP(DIARIO[[#This Row],[Objeto de Gasto]],CATALOGO[],3,FALSE)</f>
        <v>45100 Aplicaciones Informaticas</v>
      </c>
      <c r="F242" s="1" t="s">
        <v>19</v>
      </c>
      <c r="G242" s="6" t="s">
        <v>502</v>
      </c>
      <c r="H242" s="1" t="s">
        <v>503</v>
      </c>
      <c r="I242" s="9">
        <v>45345</v>
      </c>
      <c r="J242" s="1" t="s">
        <v>728</v>
      </c>
      <c r="K242" s="54">
        <v>45426</v>
      </c>
      <c r="L242" s="1"/>
      <c r="M242" s="54"/>
      <c r="O242" s="22"/>
      <c r="P242" s="4">
        <f t="shared" si="29"/>
        <v>0</v>
      </c>
      <c r="Q242" s="23" t="s">
        <v>14</v>
      </c>
      <c r="R242" s="39"/>
      <c r="S242" s="6" t="s">
        <v>736</v>
      </c>
    </row>
    <row r="243" spans="1:19" ht="30" x14ac:dyDescent="0.25">
      <c r="A243" s="53">
        <f>ROW(DIARIO[[#This Row],[Nombre de Cuenta]])-$A$155-1</f>
        <v>88</v>
      </c>
      <c r="B243" s="23" t="s">
        <v>9</v>
      </c>
      <c r="C243" s="34" t="s">
        <v>328</v>
      </c>
      <c r="D243" s="7">
        <f>VLOOKUP(C243,CATALOGO[],2,FALSE)</f>
        <v>60</v>
      </c>
      <c r="E243" s="36" t="str">
        <f>VLOOKUP(DIARIO[[#This Row],[Objeto de Gasto]],CATALOGO[],3,FALSE)</f>
        <v>45100 Aplicaciones Informaticas</v>
      </c>
      <c r="F243" s="1" t="s">
        <v>19</v>
      </c>
      <c r="G243" s="6" t="s">
        <v>516</v>
      </c>
      <c r="H243" s="1" t="s">
        <v>517</v>
      </c>
      <c r="I243" s="9">
        <v>45349</v>
      </c>
      <c r="J243" s="1" t="s">
        <v>728</v>
      </c>
      <c r="K243" s="54">
        <v>45426</v>
      </c>
      <c r="L243" s="1"/>
      <c r="M243" s="54"/>
      <c r="O243" s="22">
        <f>IF(DIARIO[[#This Row],[Estatus]]="Proceso",SUMIFS(DIARIO[Entrada],DIARIO[Objeto de Gasto],DIARIO[[#This Row],[Objeto de Gasto]],DIARIO[Estatus],"Saldo Inicial"),0)-SUMIFS(DIARIO[Salida],DIARIO[Objeto de Gasto],DIARIO[[#This Row],[Objeto de Gasto]],DIARIO[Estatus],"Adjudicado")</f>
        <v>110047</v>
      </c>
      <c r="P243" s="4">
        <f t="shared" si="29"/>
        <v>-110047</v>
      </c>
      <c r="Q243" s="23" t="s">
        <v>14</v>
      </c>
      <c r="R243" s="39"/>
      <c r="S243" s="6"/>
    </row>
    <row r="244" spans="1:19" ht="30" x14ac:dyDescent="0.25">
      <c r="A244" s="53">
        <f>ROW(DIARIO[[#This Row],[Nombre de Cuenta]])-$A$155-1</f>
        <v>89</v>
      </c>
      <c r="B244" s="23" t="s">
        <v>9</v>
      </c>
      <c r="C244" s="34" t="s">
        <v>426</v>
      </c>
      <c r="D244" s="7">
        <f>VLOOKUP(C244,CATALOGO[],2,FALSE)</f>
        <v>60</v>
      </c>
      <c r="E244" s="36" t="str">
        <f>VLOOKUP(DIARIO[[#This Row],[Objeto de Gasto]],CATALOGO[],3,FALSE)</f>
        <v>45100 Aplicaciones Informaticas</v>
      </c>
      <c r="F244" s="1" t="s">
        <v>19</v>
      </c>
      <c r="G244" s="6" t="s">
        <v>548</v>
      </c>
      <c r="H244" s="1" t="s">
        <v>538</v>
      </c>
      <c r="I244" s="54">
        <v>45365</v>
      </c>
      <c r="J244" s="1" t="s">
        <v>728</v>
      </c>
      <c r="K244" s="54">
        <v>45426</v>
      </c>
      <c r="L244" s="1"/>
      <c r="M244" s="54"/>
      <c r="O244" s="22">
        <f>IF(DIARIO[[#This Row],[Estatus]]="Proceso",SUMIFS(DIARIO[Entrada],DIARIO[Objeto de Gasto],DIARIO[[#This Row],[Objeto de Gasto]],DIARIO[Estatus],"Saldo Inicial"),0)-SUMIFS(DIARIO[Salida],DIARIO[Objeto de Gasto],DIARIO[[#This Row],[Objeto de Gasto]],DIARIO[Estatus],"Adjudicado")</f>
        <v>200000</v>
      </c>
      <c r="P244" s="4">
        <f t="shared" si="29"/>
        <v>-200000</v>
      </c>
      <c r="Q244" s="23" t="s">
        <v>14</v>
      </c>
      <c r="R244" s="39"/>
      <c r="S244" s="6"/>
    </row>
    <row r="245" spans="1:19" ht="30" x14ac:dyDescent="0.25">
      <c r="A245" s="53">
        <f>ROW(DIARIO[[#This Row],[Nombre de Cuenta]])-$A$155-1</f>
        <v>90</v>
      </c>
      <c r="B245" s="23" t="s">
        <v>9</v>
      </c>
      <c r="C245" s="34" t="s">
        <v>724</v>
      </c>
      <c r="D245" s="7">
        <f>VLOOKUP(C245,CATALOGO[],2,FALSE)</f>
        <v>68</v>
      </c>
      <c r="E245" s="36" t="str">
        <f>VLOOKUP(DIARIO[[#This Row],[Objeto de Gasto]],CATALOGO[],3,FALSE)</f>
        <v>42510 Equipo de Comunicación</v>
      </c>
      <c r="F245" s="1" t="s">
        <v>11</v>
      </c>
      <c r="G245" s="6" t="s">
        <v>738</v>
      </c>
      <c r="H245" s="1" t="s">
        <v>739</v>
      </c>
      <c r="I245" s="54">
        <v>45427</v>
      </c>
      <c r="J245" s="1" t="s">
        <v>740</v>
      </c>
      <c r="K245" s="54">
        <v>45428</v>
      </c>
      <c r="L245" s="1"/>
      <c r="M245" s="54"/>
      <c r="O24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5" s="4">
        <f t="shared" ref="P245:P251" si="30">N245-O245</f>
        <v>-300000</v>
      </c>
      <c r="Q245" s="23" t="s">
        <v>14</v>
      </c>
      <c r="R245" s="39"/>
      <c r="S245" s="6"/>
    </row>
    <row r="246" spans="1:19" ht="45" x14ac:dyDescent="0.25">
      <c r="A246" s="53">
        <f>ROW(DIARIO[[#This Row],[Nombre de Cuenta]])-$A$155-1</f>
        <v>91</v>
      </c>
      <c r="B246" s="23" t="s">
        <v>9</v>
      </c>
      <c r="C246" s="34" t="s">
        <v>286</v>
      </c>
      <c r="D246" s="7">
        <f>VLOOKUP(C246,CATALOGO[],2,FALSE)</f>
        <v>52</v>
      </c>
      <c r="E246" s="36" t="str">
        <f>VLOOKUP(DIARIO[[#This Row],[Objeto de Gasto]],CATALOGO[],3,FALSE)</f>
        <v>39600 Otros Repuestos Y Accesorios Menores</v>
      </c>
      <c r="F246" s="1" t="s">
        <v>15</v>
      </c>
      <c r="G246" s="6" t="s">
        <v>742</v>
      </c>
      <c r="H246" s="1" t="s">
        <v>743</v>
      </c>
      <c r="I246" s="54">
        <v>45436</v>
      </c>
      <c r="J246" s="1" t="s">
        <v>754</v>
      </c>
      <c r="K246" s="54">
        <v>45439</v>
      </c>
      <c r="L246" s="1"/>
      <c r="M246" s="54"/>
      <c r="O24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46" s="4">
        <f t="shared" si="30"/>
        <v>-287680</v>
      </c>
      <c r="Q246" s="23" t="s">
        <v>14</v>
      </c>
      <c r="R246" s="39"/>
      <c r="S246" s="6"/>
    </row>
    <row r="247" spans="1:19" ht="30" x14ac:dyDescent="0.25">
      <c r="A247" s="53">
        <f>ROW(DIARIO[[#This Row],[Nombre de Cuenta]])-$A$155-1</f>
        <v>92</v>
      </c>
      <c r="B247" s="23" t="s">
        <v>9</v>
      </c>
      <c r="C247" s="34" t="s">
        <v>287</v>
      </c>
      <c r="D247" s="7">
        <f>VLOOKUP(C247,CATALOGO[],2,FALSE)</f>
        <v>52</v>
      </c>
      <c r="E247" s="36" t="str">
        <f>VLOOKUP(DIARIO[[#This Row],[Objeto de Gasto]],CATALOGO[],3,FALSE)</f>
        <v>39600 Otros Repuestos Y Accesorios Menores</v>
      </c>
      <c r="F247" s="1" t="s">
        <v>15</v>
      </c>
      <c r="G247" s="6" t="s">
        <v>745</v>
      </c>
      <c r="H247" s="1" t="s">
        <v>744</v>
      </c>
      <c r="I247" s="54">
        <v>45436</v>
      </c>
      <c r="J247" s="1" t="s">
        <v>754</v>
      </c>
      <c r="K247" s="54">
        <v>45439</v>
      </c>
      <c r="L247" s="1"/>
      <c r="M247" s="54"/>
      <c r="O24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47" s="4">
        <f t="shared" si="30"/>
        <v>-159220</v>
      </c>
      <c r="Q247" s="23" t="s">
        <v>14</v>
      </c>
      <c r="R247" s="39"/>
      <c r="S247" s="6"/>
    </row>
    <row r="248" spans="1:19" ht="45" x14ac:dyDescent="0.25">
      <c r="A248" s="53">
        <f>ROW(DIARIO[[#This Row],[Nombre de Cuenta]])-$A$155-1</f>
        <v>93</v>
      </c>
      <c r="B248" s="23" t="s">
        <v>9</v>
      </c>
      <c r="C248" s="34" t="s">
        <v>101</v>
      </c>
      <c r="D248" s="7">
        <f>VLOOKUP(C248,CATALOGO[],2,FALSE)</f>
        <v>15</v>
      </c>
      <c r="E248" s="36" t="str">
        <f>VLOOKUP(DIARIO[[#This Row],[Objeto de Gasto]],CATALOGO[],3,FALSE)</f>
        <v>23200 Mantenimiento Y Reparacion De Equipos Y Medios De Transporte Terrestre</v>
      </c>
      <c r="F248" s="1" t="s">
        <v>11</v>
      </c>
      <c r="G248" s="6" t="s">
        <v>746</v>
      </c>
      <c r="H248" s="1" t="s">
        <v>747</v>
      </c>
      <c r="I248" s="54">
        <v>45436</v>
      </c>
      <c r="J248" s="1" t="s">
        <v>753</v>
      </c>
      <c r="K248" s="54">
        <v>45439</v>
      </c>
      <c r="L248" s="1"/>
      <c r="M248" s="54"/>
      <c r="O24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8" s="4">
        <f t="shared" si="30"/>
        <v>-300000</v>
      </c>
      <c r="Q248" s="23" t="s">
        <v>14</v>
      </c>
      <c r="R248" s="39"/>
      <c r="S248" s="6"/>
    </row>
    <row r="249" spans="1:19" x14ac:dyDescent="0.25">
      <c r="A249" s="53">
        <f>ROW(DIARIO[[#This Row],[Nombre de Cuenta]])-$A$155-1</f>
        <v>94</v>
      </c>
      <c r="B249" s="23" t="s">
        <v>30</v>
      </c>
      <c r="C249" s="34" t="s">
        <v>201</v>
      </c>
      <c r="D249" s="7">
        <f>VLOOKUP(C249,CATALOGO[],2,FALSE)</f>
        <v>35</v>
      </c>
      <c r="E249" s="36" t="str">
        <f>VLOOKUP(DIARIO[[#This Row],[Objeto de Gasto]],CATALOGO[],3,FALSE)</f>
        <v>34400 Llantas Y Camaras De Aire</v>
      </c>
      <c r="F249" s="1" t="s">
        <v>11</v>
      </c>
      <c r="G249" s="6" t="s">
        <v>751</v>
      </c>
      <c r="H249" s="1" t="s">
        <v>749</v>
      </c>
      <c r="I249" s="54">
        <v>45421</v>
      </c>
      <c r="J249" s="1" t="s">
        <v>752</v>
      </c>
      <c r="K249" s="54">
        <v>45441</v>
      </c>
      <c r="L249" s="1"/>
      <c r="M249" s="54"/>
      <c r="O24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49" s="4">
        <f t="shared" si="30"/>
        <v>-100000</v>
      </c>
      <c r="Q249" s="23" t="s">
        <v>14</v>
      </c>
      <c r="R249" s="39"/>
      <c r="S249" s="6"/>
    </row>
    <row r="250" spans="1:19" x14ac:dyDescent="0.25">
      <c r="A250" s="53">
        <f>ROW(DIARIO[[#This Row],[Nombre de Cuenta]])-$A$155-1</f>
        <v>95</v>
      </c>
      <c r="B250" s="23" t="s">
        <v>30</v>
      </c>
      <c r="C250" s="34" t="s">
        <v>202</v>
      </c>
      <c r="D250" s="7">
        <f>VLOOKUP(C250,CATALOGO[],2,FALSE)</f>
        <v>35</v>
      </c>
      <c r="E250" s="36" t="str">
        <f>VLOOKUP(DIARIO[[#This Row],[Objeto de Gasto]],CATALOGO[],3,FALSE)</f>
        <v>34400 Llantas Y Camaras De Aire</v>
      </c>
      <c r="F250" s="1" t="s">
        <v>11</v>
      </c>
      <c r="G250" s="6" t="s">
        <v>750</v>
      </c>
      <c r="H250" s="1" t="s">
        <v>748</v>
      </c>
      <c r="I250" s="54">
        <v>45421</v>
      </c>
      <c r="J250" s="1" t="s">
        <v>752</v>
      </c>
      <c r="K250" s="54">
        <v>45441</v>
      </c>
      <c r="L250" s="1"/>
      <c r="M250" s="54"/>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50" s="4">
        <f t="shared" si="30"/>
        <v>-80000</v>
      </c>
      <c r="Q250" s="23" t="s">
        <v>14</v>
      </c>
      <c r="R250" s="39"/>
      <c r="S250" s="6"/>
    </row>
    <row r="251" spans="1:19" x14ac:dyDescent="0.25">
      <c r="A251" s="53">
        <f>ROW(DIARIO[[#This Row],[Nombre de Cuenta]])-$A$155-1</f>
        <v>96</v>
      </c>
      <c r="B251" s="23"/>
      <c r="C251" s="34"/>
      <c r="D251" s="7" t="e">
        <f>VLOOKUP(C251,CATALOGO[],2,FALSE)</f>
        <v>#N/A</v>
      </c>
      <c r="E251" s="36" t="e">
        <f>VLOOKUP(DIARIO[[#This Row],[Objeto de Gasto]],CATALOGO[],3,FALSE)</f>
        <v>#N/A</v>
      </c>
      <c r="F251" s="1"/>
      <c r="H251" s="1"/>
      <c r="I251" s="54"/>
      <c r="J251" s="1"/>
      <c r="K251" s="54"/>
      <c r="L251" s="1"/>
      <c r="M251" s="54"/>
      <c r="O251" s="22"/>
      <c r="P251" s="4">
        <f t="shared" si="30"/>
        <v>0</v>
      </c>
      <c r="Q251" s="23"/>
      <c r="R251" s="39"/>
      <c r="S251" s="6"/>
    </row>
    <row r="252" spans="1:19" x14ac:dyDescent="0.25">
      <c r="A252" s="53">
        <f>ROW(DIARIO[[#This Row],[Nombre de Cuenta]])-$A$155-1</f>
        <v>97</v>
      </c>
      <c r="B252" s="23" t="s">
        <v>30</v>
      </c>
      <c r="C252" s="34" t="s">
        <v>407</v>
      </c>
      <c r="D252" s="7">
        <f>VLOOKUP(C252,CATALOGO[],2,FALSE)</f>
        <v>35</v>
      </c>
      <c r="E252" s="36" t="str">
        <f>VLOOKUP(DIARIO[[#This Row],[Objeto de Gasto]],CATALOGO[],3,FALSE)</f>
        <v>34400 Llantas Y Camaras De Aire</v>
      </c>
      <c r="F252" s="1" t="s">
        <v>11</v>
      </c>
      <c r="G252" s="6" t="s">
        <v>756</v>
      </c>
      <c r="H252" s="1" t="s">
        <v>755</v>
      </c>
      <c r="I252" s="54">
        <v>45441</v>
      </c>
      <c r="J252" s="1" t="s">
        <v>752</v>
      </c>
      <c r="K252" s="54">
        <v>45441</v>
      </c>
      <c r="L252" s="1"/>
      <c r="M252" s="54"/>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52" s="4">
        <f>N252-O252</f>
        <v>-209293</v>
      </c>
      <c r="Q252" s="23" t="s">
        <v>14</v>
      </c>
      <c r="R252" s="39"/>
      <c r="S252" s="6"/>
    </row>
    <row r="253" spans="1:19" ht="30" x14ac:dyDescent="0.25">
      <c r="A253" s="53">
        <f>ROW(DIARIO[[#This Row],[Nombre de Cuenta]])-$A$155-1</f>
        <v>98</v>
      </c>
      <c r="B253" s="23" t="s">
        <v>30</v>
      </c>
      <c r="C253" s="34" t="s">
        <v>198</v>
      </c>
      <c r="D253" s="7">
        <f>VLOOKUP(C253,CATALOGO[],2,FALSE)</f>
        <v>35</v>
      </c>
      <c r="E253" s="36" t="str">
        <f>VLOOKUP(DIARIO[[#This Row],[Objeto de Gasto]],CATALOGO[],3,FALSE)</f>
        <v>34400 Llantas Y Camaras De Aire</v>
      </c>
      <c r="F253" s="1" t="s">
        <v>11</v>
      </c>
      <c r="G253" s="6" t="s">
        <v>757</v>
      </c>
      <c r="H253" s="1"/>
      <c r="I253" s="54"/>
      <c r="J253" s="1" t="s">
        <v>752</v>
      </c>
      <c r="K253" s="54">
        <v>45441</v>
      </c>
      <c r="L253" s="1"/>
      <c r="M253" s="54"/>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53" s="4">
        <f>N253-O253</f>
        <v>-255000</v>
      </c>
      <c r="Q253" s="23" t="s">
        <v>14</v>
      </c>
      <c r="R253" s="39"/>
      <c r="S253" s="6"/>
    </row>
    <row r="254" spans="1:19" ht="30" x14ac:dyDescent="0.25">
      <c r="A254" s="53">
        <f>ROW(DIARIO[[#This Row],[Nombre de Cuenta]])-$A$155-1</f>
        <v>99</v>
      </c>
      <c r="B254" s="23" t="s">
        <v>9</v>
      </c>
      <c r="C254" s="34" t="s">
        <v>397</v>
      </c>
      <c r="D254" s="7">
        <f>VLOOKUP(C254,CATALOGO[],2,FALSE)</f>
        <v>15</v>
      </c>
      <c r="E254" s="36" t="str">
        <f>VLOOKUP(DIARIO[[#This Row],[Objeto de Gasto]],CATALOGO[],3,FALSE)</f>
        <v>23200 Mantenimiento Y Reparacion De Equipos Y Medios De Transporte Terrestre</v>
      </c>
      <c r="F254" s="1" t="s">
        <v>11</v>
      </c>
      <c r="G254" s="6" t="s">
        <v>761</v>
      </c>
      <c r="H254" s="1" t="s">
        <v>763</v>
      </c>
      <c r="I254" s="54">
        <v>45415</v>
      </c>
      <c r="J254" s="1" t="s">
        <v>762</v>
      </c>
      <c r="K254" s="54">
        <v>45435</v>
      </c>
      <c r="L254" s="1"/>
      <c r="M254" s="54"/>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54" s="4">
        <f>N254-O254</f>
        <v>-49780</v>
      </c>
      <c r="Q254" s="23" t="s">
        <v>14</v>
      </c>
      <c r="R254" s="39"/>
      <c r="S254" s="6"/>
    </row>
    <row r="255" spans="1:19" x14ac:dyDescent="0.25">
      <c r="A255" s="53">
        <f>ROW(DIARIO[[#This Row],[Nombre de Cuenta]])-$A$155-1</f>
        <v>100</v>
      </c>
      <c r="B255" s="23" t="s">
        <v>30</v>
      </c>
      <c r="C255" s="34" t="s">
        <v>419</v>
      </c>
      <c r="D255" s="7">
        <f>VLOOKUP(C255,CATALOGO[],2,FALSE)</f>
        <v>52</v>
      </c>
      <c r="E255" s="36" t="str">
        <f>VLOOKUP(DIARIO[[#This Row],[Objeto de Gasto]],CATALOGO[],3,FALSE)</f>
        <v>39600 Otros Repuestos Y Accesorios Menores</v>
      </c>
      <c r="F255" s="1" t="s">
        <v>11</v>
      </c>
      <c r="G255" s="6" t="s">
        <v>766</v>
      </c>
      <c r="H255" s="1"/>
      <c r="I255" s="54"/>
      <c r="J255" s="1" t="s">
        <v>767</v>
      </c>
      <c r="K255" s="54">
        <v>45446</v>
      </c>
      <c r="L255" s="1"/>
      <c r="M255" s="54"/>
      <c r="O25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55" s="4">
        <f>N255-O255</f>
        <v>-274186</v>
      </c>
      <c r="Q255" s="23" t="s">
        <v>14</v>
      </c>
      <c r="R255" s="39"/>
      <c r="S255" s="6"/>
    </row>
  </sheetData>
  <phoneticPr fontId="10" type="noConversion"/>
  <conditionalFormatting sqref="Q2:R255">
    <cfRule type="containsText" dxfId="319" priority="1" operator="containsText" text="Observaciones">
      <formula>NOT(ISERROR(SEARCH("Observaciones",Q2)))</formula>
    </cfRule>
    <cfRule type="containsText" dxfId="318" priority="2" operator="containsText" text="Proceso">
      <formula>NOT(ISERROR(SEARCH("Proceso",Q2)))</formula>
    </cfRule>
    <cfRule type="containsText" dxfId="317" priority="3" operator="containsText" text="Modificaciones">
      <formula>NOT(ISERROR(SEARCH("Modificaciones",Q2)))</formula>
    </cfRule>
    <cfRule type="containsText" dxfId="316" priority="4" operator="containsText" text="Proceso">
      <formula>NOT(ISERROR(SEARCH("Proceso",Q2)))</formula>
    </cfRule>
    <cfRule type="containsText" dxfId="315" priority="5" operator="containsText" text="Observaciones">
      <formula>NOT(ISERROR(SEARCH("Observaciones",Q2)))</formula>
    </cfRule>
    <cfRule type="containsText" dxfId="314" priority="6" operator="containsText" text="Observaciones">
      <formula>NOT(ISERROR(SEARCH("Observaciones",Q2)))</formula>
    </cfRule>
    <cfRule type="containsText" dxfId="313" priority="7" operator="containsText" text="Adjudicado">
      <formula>NOT(ISERROR(SEARCH("Adjudicado",Q2)))</formula>
    </cfRule>
    <cfRule type="containsText" dxfId="312" priority="8" operator="containsText" text="Desierto">
      <formula>NOT(ISERROR(SEARCH("Desierto",Q2)))</formula>
    </cfRule>
    <cfRule type="containsText" dxfId="311" priority="9" operator="containsText" text="Fracasado">
      <formula>NOT(ISERROR(SEARCH("Fracasado",Q2)))</formula>
    </cfRule>
    <cfRule type="containsText" dxfId="310" priority="10" operator="containsText" text="F'CATALAGO y LISTAS'!$H$6">
      <formula>NOT(ISERROR(SEARCH("F'CATALAGO y LISTAS'!$H$6",Q2)))</formula>
    </cfRule>
  </conditionalFormatting>
  <dataValidations count="3">
    <dataValidation type="list" allowBlank="1" showInputMessage="1" showErrorMessage="1" sqref="B2:B255" xr:uid="{E5A4EA42-AB34-4238-A870-4BB6E4FC2190}">
      <formula1>INDIRECT("COMPRAS[Tipo de Compra]")</formula1>
    </dataValidation>
    <dataValidation type="list" allowBlank="1" showInputMessage="1" showErrorMessage="1" sqref="F2:F255" xr:uid="{33482B32-5431-4811-8847-47F4D35E9D6D}">
      <formula1>INDIRECT("RESPONSABLES[Responsables]")</formula1>
    </dataValidation>
    <dataValidation type="list" allowBlank="1" showInputMessage="1" showErrorMessage="1" sqref="Q2:Q255"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56:A200 A201:A207 A208:A210 A211:A215 A216:A220 A229:A239 A221:A22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69BE7-6E0D-47DB-99D6-FB3768CA6D2E}">
  <dimension ref="F7:I8"/>
  <sheetViews>
    <sheetView tabSelected="1" workbookViewId="0">
      <selection activeCell="I8" sqref="I8"/>
    </sheetView>
  </sheetViews>
  <sheetFormatPr baseColWidth="10" defaultRowHeight="15" x14ac:dyDescent="0.25"/>
  <sheetData>
    <row r="7" spans="6:9" x14ac:dyDescent="0.25">
      <c r="F7" t="s">
        <v>775</v>
      </c>
    </row>
    <row r="8" spans="6:9" x14ac:dyDescent="0.25">
      <c r="I8" t="s">
        <v>776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15" zoomScaleNormal="100" workbookViewId="0">
      <selection activeCell="B46" sqref="B4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28515625" style="41" bestFit="1" customWidth="1"/>
    <col min="5" max="7" width="20.140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00" t="s">
        <v>559</v>
      </c>
      <c r="C2" s="100" t="s">
        <v>560</v>
      </c>
      <c r="D2" s="100"/>
      <c r="E2" s="100"/>
      <c r="F2" s="100"/>
      <c r="G2" s="100"/>
    </row>
    <row r="3" spans="2:12" ht="18.75" thickBot="1" x14ac:dyDescent="0.3">
      <c r="B3" s="99" t="s">
        <v>561</v>
      </c>
      <c r="C3" s="99" t="s">
        <v>31</v>
      </c>
      <c r="D3" s="99" t="s">
        <v>33</v>
      </c>
      <c r="E3" s="99" t="s">
        <v>18</v>
      </c>
      <c r="F3" s="99" t="s">
        <v>14</v>
      </c>
      <c r="G3" s="99" t="s">
        <v>562</v>
      </c>
    </row>
    <row r="4" spans="2:12" ht="17.25" thickBot="1" x14ac:dyDescent="0.35">
      <c r="B4" s="101" t="s">
        <v>24</v>
      </c>
      <c r="C4" s="96"/>
      <c r="D4" s="96"/>
      <c r="E4" s="96"/>
      <c r="F4" s="96"/>
      <c r="G4" s="96"/>
      <c r="I4" s="52" t="s">
        <v>563</v>
      </c>
      <c r="J4" s="64">
        <v>12550</v>
      </c>
      <c r="K4" s="52" t="s">
        <v>564</v>
      </c>
      <c r="L4" s="65">
        <v>190785.46</v>
      </c>
    </row>
    <row r="5" spans="2:12" ht="16.5" x14ac:dyDescent="0.3">
      <c r="B5" s="95" t="s">
        <v>29</v>
      </c>
      <c r="C5" s="96">
        <v>111754498</v>
      </c>
      <c r="D5" s="96">
        <v>0</v>
      </c>
      <c r="E5" s="96">
        <v>-41609807.880000003</v>
      </c>
      <c r="F5" s="96">
        <v>0</v>
      </c>
      <c r="G5" s="96">
        <v>70144690.120000005</v>
      </c>
      <c r="I5" s="44" t="str">
        <f>J4&amp;"-VIH"</f>
        <v>12550-VIH</v>
      </c>
      <c r="J5" s="45">
        <f>SUMIFS(DIARIO[Saldo],DIARIO[Estatus],"Saldo inicial",DIARIO[Objeto de Gasto],I5)</f>
        <v>1344618.4</v>
      </c>
      <c r="K5" s="46">
        <f>IFERROR(SUM(J5)/SUM($J$5:$J$8),"0%")</f>
        <v>0.29167870227964415</v>
      </c>
      <c r="L5" s="47">
        <f>K5*$L$4</f>
        <v>55648.055386624954</v>
      </c>
    </row>
    <row r="6" spans="2:12" ht="16.5" x14ac:dyDescent="0.3">
      <c r="B6" s="95" t="s">
        <v>37</v>
      </c>
      <c r="C6" s="96">
        <v>10404570</v>
      </c>
      <c r="D6" s="96">
        <v>0</v>
      </c>
      <c r="E6" s="96">
        <v>-294066.33</v>
      </c>
      <c r="F6" s="96">
        <v>0</v>
      </c>
      <c r="G6" s="96">
        <v>10110503.67</v>
      </c>
      <c r="I6" s="48" t="str">
        <f>J4&amp;"-MALARIA"</f>
        <v>12550-MALARIA</v>
      </c>
      <c r="J6" s="49">
        <f>SUMIFS(DIARIO[Saldo],DIARIO[Estatus],"Saldo inicial",DIARIO[Objeto de Gasto],I6)</f>
        <v>2636506.65</v>
      </c>
      <c r="K6" s="50">
        <f>IFERROR(SUM(J6)/SUM($J$5:$J$8),"0%")</f>
        <v>0.57191902046234977</v>
      </c>
      <c r="L6" s="51">
        <f>K6*$L$4</f>
        <v>109113.83340165881</v>
      </c>
    </row>
    <row r="7" spans="2:12" ht="16.5" x14ac:dyDescent="0.3">
      <c r="B7" s="95" t="s">
        <v>42</v>
      </c>
      <c r="C7" s="96">
        <v>9312952</v>
      </c>
      <c r="D7" s="96">
        <v>0</v>
      </c>
      <c r="E7" s="96">
        <v>0</v>
      </c>
      <c r="F7" s="96">
        <v>0</v>
      </c>
      <c r="G7" s="96">
        <v>9312952</v>
      </c>
      <c r="I7" s="48" t="str">
        <f>J4&amp;"-TB"</f>
        <v>12550-TB</v>
      </c>
      <c r="J7" s="49">
        <f>SUMIFS(DIARIO[Saldo],DIARIO[Estatus],"Saldo inicial",DIARIO[Objeto de Gasto],I7)</f>
        <v>0</v>
      </c>
      <c r="K7" s="50">
        <f>IFERROR(SUM(J7)/SUM($J$5:$J$8),"0%")</f>
        <v>0</v>
      </c>
      <c r="L7" s="51">
        <f>K7*$L$4</f>
        <v>0</v>
      </c>
    </row>
    <row r="8" spans="2:12" ht="16.5" x14ac:dyDescent="0.3">
      <c r="B8" s="95" t="s">
        <v>47</v>
      </c>
      <c r="C8" s="96">
        <v>9312952</v>
      </c>
      <c r="D8" s="96">
        <v>0</v>
      </c>
      <c r="E8" s="96">
        <v>0</v>
      </c>
      <c r="F8" s="96">
        <v>0</v>
      </c>
      <c r="G8" s="96">
        <v>9312952</v>
      </c>
      <c r="I8" s="48" t="str">
        <f>J4&amp;"-SSRISS"</f>
        <v>12550-SSRISS</v>
      </c>
      <c r="J8" s="49">
        <f>SUMIFS(DIARIO[Saldo],DIARIO[Estatus],"Saldo inicial",DIARIO[Objeto de Gasto],I8)</f>
        <v>628804.94999999995</v>
      </c>
      <c r="K8" s="50">
        <f>IFERROR(SUM(J8)/SUM($J$5:$J$8),"0%")</f>
        <v>0.13640227725800608</v>
      </c>
      <c r="L8" s="51">
        <f>K8*$L$4</f>
        <v>26023.571211716226</v>
      </c>
    </row>
    <row r="9" spans="2:12" ht="16.5" x14ac:dyDescent="0.3">
      <c r="B9" s="95" t="s">
        <v>52</v>
      </c>
      <c r="C9" s="96">
        <v>9312952</v>
      </c>
      <c r="D9" s="96">
        <v>0</v>
      </c>
      <c r="E9" s="96">
        <v>-3124977.88</v>
      </c>
      <c r="F9" s="96">
        <v>0</v>
      </c>
      <c r="G9" s="96">
        <v>6187974.1200000001</v>
      </c>
    </row>
    <row r="10" spans="2:12" ht="16.5" x14ac:dyDescent="0.3">
      <c r="B10" s="95" t="s">
        <v>57</v>
      </c>
      <c r="C10" s="96">
        <v>16204493</v>
      </c>
      <c r="D10" s="96">
        <v>0</v>
      </c>
      <c r="E10" s="96">
        <v>-5075170.87</v>
      </c>
      <c r="F10" s="96">
        <v>0</v>
      </c>
      <c r="G10" s="96">
        <v>11129322.129999999</v>
      </c>
    </row>
    <row r="11" spans="2:12" ht="16.5" x14ac:dyDescent="0.3">
      <c r="B11" s="95" t="s">
        <v>62</v>
      </c>
      <c r="C11" s="96">
        <v>2526467</v>
      </c>
      <c r="D11" s="96">
        <v>0</v>
      </c>
      <c r="E11" s="96">
        <v>-496353.94</v>
      </c>
      <c r="F11" s="96">
        <v>0</v>
      </c>
      <c r="G11" s="96">
        <v>2030113.06</v>
      </c>
    </row>
    <row r="12" spans="2:12" ht="16.5" x14ac:dyDescent="0.3">
      <c r="B12" s="95" t="s">
        <v>67</v>
      </c>
      <c r="C12" s="96">
        <v>101081376</v>
      </c>
      <c r="D12" s="96">
        <v>0</v>
      </c>
      <c r="E12" s="96">
        <v>-31669940.859999999</v>
      </c>
      <c r="F12" s="96">
        <v>0</v>
      </c>
      <c r="G12" s="96">
        <v>69411435.140000001</v>
      </c>
    </row>
    <row r="13" spans="2:12" ht="16.5" x14ac:dyDescent="0.3">
      <c r="B13" s="95" t="s">
        <v>72</v>
      </c>
      <c r="C13" s="96">
        <v>8423448</v>
      </c>
      <c r="D13" s="96">
        <v>0</v>
      </c>
      <c r="E13" s="96">
        <v>0</v>
      </c>
      <c r="F13" s="96">
        <v>0</v>
      </c>
      <c r="G13" s="96">
        <v>8423448</v>
      </c>
    </row>
    <row r="14" spans="2:12" ht="16.5" x14ac:dyDescent="0.3">
      <c r="B14" s="95" t="s">
        <v>77</v>
      </c>
      <c r="C14" s="96">
        <v>8423448</v>
      </c>
      <c r="D14" s="96">
        <v>0</v>
      </c>
      <c r="E14" s="96">
        <v>0</v>
      </c>
      <c r="F14" s="96">
        <v>0</v>
      </c>
      <c r="G14" s="96">
        <v>8423448</v>
      </c>
    </row>
    <row r="15" spans="2:12" ht="16.5" x14ac:dyDescent="0.3">
      <c r="B15" s="95" t="s">
        <v>82</v>
      </c>
      <c r="C15" s="96">
        <v>4609930</v>
      </c>
      <c r="D15" s="96">
        <v>0</v>
      </c>
      <c r="E15" s="96">
        <v>-190785.45999999996</v>
      </c>
      <c r="F15" s="96">
        <v>0</v>
      </c>
      <c r="G15" s="96">
        <v>4419144.54</v>
      </c>
    </row>
    <row r="16" spans="2:12" ht="17.25" thickBot="1" x14ac:dyDescent="0.35">
      <c r="B16" s="95" t="s">
        <v>348</v>
      </c>
      <c r="C16" s="96">
        <v>261508</v>
      </c>
      <c r="D16" s="96">
        <v>0</v>
      </c>
      <c r="E16" s="96">
        <v>-216792.27</v>
      </c>
      <c r="F16" s="96">
        <v>0</v>
      </c>
      <c r="G16" s="96">
        <v>44715.73000000001</v>
      </c>
    </row>
    <row r="17" spans="2:8" ht="17.25" thickTop="1" x14ac:dyDescent="0.3">
      <c r="B17" s="102" t="s">
        <v>565</v>
      </c>
      <c r="C17" s="103">
        <v>291628594</v>
      </c>
      <c r="D17" s="103">
        <v>0</v>
      </c>
      <c r="E17" s="103">
        <v>-82677895.48999998</v>
      </c>
      <c r="F17" s="103">
        <v>0</v>
      </c>
      <c r="G17" s="103">
        <v>208950698.50999999</v>
      </c>
    </row>
    <row r="18" spans="2:8" ht="16.5" x14ac:dyDescent="0.3">
      <c r="B18" s="101" t="s">
        <v>91</v>
      </c>
      <c r="C18" s="96"/>
      <c r="D18" s="96"/>
      <c r="E18" s="96"/>
      <c r="F18" s="96"/>
      <c r="G18" s="96"/>
    </row>
    <row r="19" spans="2:8" ht="16.5" x14ac:dyDescent="0.3">
      <c r="B19" s="95" t="s">
        <v>93</v>
      </c>
      <c r="C19" s="96">
        <v>4468001</v>
      </c>
      <c r="D19" s="96">
        <v>0</v>
      </c>
      <c r="E19" s="96">
        <v>0</v>
      </c>
      <c r="F19" s="96">
        <v>-4468001</v>
      </c>
      <c r="G19" s="96">
        <v>0</v>
      </c>
    </row>
    <row r="20" spans="2:8" ht="16.5" x14ac:dyDescent="0.3">
      <c r="B20" s="95" t="s">
        <v>98</v>
      </c>
      <c r="C20" s="96">
        <v>1507780</v>
      </c>
      <c r="D20" s="96">
        <v>-660000</v>
      </c>
      <c r="E20" s="96">
        <v>0</v>
      </c>
      <c r="F20" s="96">
        <v>-349780</v>
      </c>
      <c r="G20" s="96">
        <v>498000</v>
      </c>
    </row>
    <row r="21" spans="2:8" ht="16.5" x14ac:dyDescent="0.3">
      <c r="B21" s="95" t="s">
        <v>103</v>
      </c>
      <c r="C21" s="96">
        <v>1206000</v>
      </c>
      <c r="D21" s="96">
        <v>0</v>
      </c>
      <c r="E21" s="96">
        <v>0</v>
      </c>
      <c r="F21" s="96">
        <v>0</v>
      </c>
      <c r="G21" s="96">
        <v>1206000</v>
      </c>
    </row>
    <row r="22" spans="2:8" ht="16.5" x14ac:dyDescent="0.3">
      <c r="B22" s="95" t="s">
        <v>108</v>
      </c>
      <c r="C22" s="96">
        <v>128819</v>
      </c>
      <c r="D22" s="96">
        <v>0</v>
      </c>
      <c r="E22" s="96">
        <v>0</v>
      </c>
      <c r="F22" s="96">
        <v>0</v>
      </c>
      <c r="G22" s="96">
        <v>128819</v>
      </c>
    </row>
    <row r="23" spans="2:8" ht="16.5" x14ac:dyDescent="0.3">
      <c r="B23" s="95" t="s">
        <v>123</v>
      </c>
      <c r="C23" s="96">
        <v>326552</v>
      </c>
      <c r="D23" s="96">
        <v>0</v>
      </c>
      <c r="E23" s="96">
        <v>0</v>
      </c>
      <c r="F23" s="96">
        <v>-100000</v>
      </c>
      <c r="G23" s="96">
        <v>226552</v>
      </c>
    </row>
    <row r="24" spans="2:8" ht="16.5" x14ac:dyDescent="0.3">
      <c r="B24" s="95" t="s">
        <v>138</v>
      </c>
      <c r="C24" s="96">
        <v>92480</v>
      </c>
      <c r="D24" s="96">
        <v>0</v>
      </c>
      <c r="E24" s="96">
        <v>0</v>
      </c>
      <c r="F24" s="96">
        <v>0</v>
      </c>
      <c r="G24" s="96">
        <v>92480</v>
      </c>
    </row>
    <row r="25" spans="2:8" ht="16.5" x14ac:dyDescent="0.3">
      <c r="B25" s="95" t="s">
        <v>143</v>
      </c>
      <c r="C25" s="96">
        <v>1126044</v>
      </c>
      <c r="D25" s="96">
        <v>0</v>
      </c>
      <c r="E25" s="96">
        <v>-57934</v>
      </c>
      <c r="F25" s="96">
        <v>0</v>
      </c>
      <c r="G25" s="96">
        <v>1068110</v>
      </c>
    </row>
    <row r="26" spans="2:8" ht="16.5" x14ac:dyDescent="0.3">
      <c r="B26" s="95" t="s">
        <v>353</v>
      </c>
      <c r="C26" s="96">
        <v>279464</v>
      </c>
      <c r="D26" s="96">
        <v>0</v>
      </c>
      <c r="E26" s="96">
        <v>0</v>
      </c>
      <c r="F26" s="96">
        <v>0</v>
      </c>
      <c r="G26" s="96">
        <v>279464</v>
      </c>
    </row>
    <row r="27" spans="2:8" ht="16.5" x14ac:dyDescent="0.3">
      <c r="B27" s="95" t="s">
        <v>148</v>
      </c>
      <c r="C27" s="96">
        <v>2817263</v>
      </c>
      <c r="D27" s="96">
        <v>0</v>
      </c>
      <c r="E27" s="96">
        <v>-159343.76999999999</v>
      </c>
      <c r="F27" s="96">
        <v>0</v>
      </c>
      <c r="G27" s="96">
        <v>2657919.23</v>
      </c>
    </row>
    <row r="28" spans="2:8" ht="16.5" x14ac:dyDescent="0.3">
      <c r="B28" s="95" t="s">
        <v>358</v>
      </c>
      <c r="C28" s="96">
        <v>331874</v>
      </c>
      <c r="D28" s="96">
        <v>0</v>
      </c>
      <c r="E28" s="96">
        <v>-37554.769999999997</v>
      </c>
      <c r="F28" s="96">
        <v>0</v>
      </c>
      <c r="G28" s="96">
        <v>294319.23</v>
      </c>
    </row>
    <row r="29" spans="2:8" ht="16.5" x14ac:dyDescent="0.3">
      <c r="B29" s="95" t="s">
        <v>153</v>
      </c>
      <c r="C29" s="96">
        <v>0</v>
      </c>
      <c r="D29" s="96">
        <v>300000</v>
      </c>
      <c r="E29" s="96">
        <v>0</v>
      </c>
      <c r="F29" s="96">
        <v>0</v>
      </c>
      <c r="G29" s="96">
        <v>300000</v>
      </c>
      <c r="H29" s="41"/>
    </row>
    <row r="30" spans="2:8" ht="17.25" thickBot="1" x14ac:dyDescent="0.35">
      <c r="B30" s="95" t="s">
        <v>158</v>
      </c>
      <c r="C30" s="96">
        <v>1992400</v>
      </c>
      <c r="D30" s="96">
        <v>0</v>
      </c>
      <c r="E30" s="96">
        <v>-118910</v>
      </c>
      <c r="F30" s="96">
        <v>0</v>
      </c>
      <c r="G30" s="96">
        <v>1873490</v>
      </c>
      <c r="H30" s="41"/>
    </row>
    <row r="31" spans="2:8" ht="17.25" thickTop="1" x14ac:dyDescent="0.3">
      <c r="B31" s="102" t="s">
        <v>566</v>
      </c>
      <c r="C31" s="103">
        <v>14276677</v>
      </c>
      <c r="D31" s="103">
        <v>-360000</v>
      </c>
      <c r="E31" s="103">
        <v>-373742.54</v>
      </c>
      <c r="F31" s="103">
        <v>-4917781</v>
      </c>
      <c r="G31" s="103">
        <v>8625153.4600000009</v>
      </c>
      <c r="H31" s="41"/>
    </row>
    <row r="32" spans="2:8" ht="16.5" x14ac:dyDescent="0.3">
      <c r="B32" s="101" t="s">
        <v>167</v>
      </c>
      <c r="C32" s="96"/>
      <c r="D32" s="96"/>
      <c r="E32" s="96"/>
      <c r="F32" s="96"/>
      <c r="G32" s="96"/>
    </row>
    <row r="33" spans="2:8" ht="16.5" x14ac:dyDescent="0.3">
      <c r="B33" s="95" t="s">
        <v>169</v>
      </c>
      <c r="C33" s="96">
        <v>7499063</v>
      </c>
      <c r="D33" s="96">
        <v>0</v>
      </c>
      <c r="E33" s="96">
        <v>0</v>
      </c>
      <c r="F33" s="96">
        <v>-6465825</v>
      </c>
      <c r="G33" s="96">
        <v>1033238</v>
      </c>
    </row>
    <row r="34" spans="2:8" ht="16.5" x14ac:dyDescent="0.3">
      <c r="B34" s="95" t="s">
        <v>179</v>
      </c>
      <c r="C34" s="96">
        <v>5939018</v>
      </c>
      <c r="D34" s="96">
        <v>0</v>
      </c>
      <c r="E34" s="96">
        <v>0</v>
      </c>
      <c r="F34" s="96">
        <v>-5939018</v>
      </c>
      <c r="G34" s="96">
        <v>0</v>
      </c>
    </row>
    <row r="35" spans="2:8" ht="16.5" x14ac:dyDescent="0.3">
      <c r="B35" s="95" t="s">
        <v>184</v>
      </c>
      <c r="C35" s="96">
        <v>151460</v>
      </c>
      <c r="D35" s="96">
        <v>0</v>
      </c>
      <c r="E35" s="96">
        <v>0</v>
      </c>
      <c r="F35" s="96">
        <v>0</v>
      </c>
      <c r="G35" s="96">
        <v>151460</v>
      </c>
    </row>
    <row r="36" spans="2:8" ht="16.5" x14ac:dyDescent="0.3">
      <c r="B36" s="95" t="s">
        <v>189</v>
      </c>
      <c r="C36" s="96">
        <v>458236</v>
      </c>
      <c r="D36" s="96">
        <v>0</v>
      </c>
      <c r="E36" s="96">
        <v>-95847.049999999988</v>
      </c>
      <c r="F36" s="96">
        <v>0</v>
      </c>
      <c r="G36" s="96">
        <v>362388.95</v>
      </c>
    </row>
    <row r="37" spans="2:8" ht="16.5" x14ac:dyDescent="0.3">
      <c r="B37" s="95" t="s">
        <v>194</v>
      </c>
      <c r="C37" s="96">
        <v>4529584</v>
      </c>
      <c r="D37" s="96">
        <v>0</v>
      </c>
      <c r="E37" s="96">
        <v>0</v>
      </c>
      <c r="F37" s="96">
        <v>-3667000</v>
      </c>
      <c r="G37" s="96">
        <v>862584</v>
      </c>
    </row>
    <row r="38" spans="2:8" ht="16.5" x14ac:dyDescent="0.3">
      <c r="B38" s="95" t="s">
        <v>199</v>
      </c>
      <c r="C38" s="96">
        <v>644293</v>
      </c>
      <c r="D38" s="96">
        <v>0</v>
      </c>
      <c r="E38" s="96">
        <v>0</v>
      </c>
      <c r="F38" s="96">
        <v>-644293</v>
      </c>
      <c r="G38" s="96">
        <v>0</v>
      </c>
    </row>
    <row r="39" spans="2:8" ht="16.5" x14ac:dyDescent="0.3">
      <c r="B39" s="95" t="s">
        <v>219</v>
      </c>
      <c r="C39" s="96">
        <v>8444220</v>
      </c>
      <c r="D39" s="96">
        <v>0</v>
      </c>
      <c r="E39" s="96">
        <v>0</v>
      </c>
      <c r="F39" s="96">
        <v>0</v>
      </c>
      <c r="G39" s="96">
        <v>8444220</v>
      </c>
    </row>
    <row r="40" spans="2:8" ht="16.5" x14ac:dyDescent="0.3">
      <c r="B40" s="95" t="s">
        <v>214</v>
      </c>
      <c r="C40" s="96">
        <v>25000000</v>
      </c>
      <c r="D40" s="96">
        <v>0</v>
      </c>
      <c r="E40" s="96">
        <v>0</v>
      </c>
      <c r="F40" s="96">
        <v>0</v>
      </c>
      <c r="G40" s="96">
        <v>25000000</v>
      </c>
    </row>
    <row r="41" spans="2:8" ht="16.5" x14ac:dyDescent="0.3">
      <c r="B41" s="95" t="s">
        <v>209</v>
      </c>
      <c r="C41" s="96">
        <v>23318659</v>
      </c>
      <c r="D41" s="96">
        <v>0</v>
      </c>
      <c r="E41" s="96">
        <v>-4487867.95</v>
      </c>
      <c r="F41" s="96">
        <v>-29749662.050000001</v>
      </c>
      <c r="G41" s="96">
        <v>-10918871</v>
      </c>
    </row>
    <row r="42" spans="2:8" ht="16.5" x14ac:dyDescent="0.3">
      <c r="B42" s="95" t="s">
        <v>224</v>
      </c>
      <c r="C42" s="96">
        <v>68820366</v>
      </c>
      <c r="D42" s="96">
        <v>0</v>
      </c>
      <c r="E42" s="96">
        <v>-23605072.5</v>
      </c>
      <c r="F42" s="96">
        <v>-45215293.5</v>
      </c>
      <c r="G42" s="96">
        <v>0</v>
      </c>
    </row>
    <row r="43" spans="2:8" ht="16.5" x14ac:dyDescent="0.3">
      <c r="B43" s="95" t="s">
        <v>229</v>
      </c>
      <c r="C43" s="96">
        <v>12000000</v>
      </c>
      <c r="D43" s="96">
        <v>0</v>
      </c>
      <c r="E43" s="96">
        <v>-11200000</v>
      </c>
      <c r="F43" s="96">
        <v>0</v>
      </c>
      <c r="G43" s="96">
        <v>800000</v>
      </c>
      <c r="H43" s="41"/>
    </row>
    <row r="44" spans="2:8" ht="16.5" x14ac:dyDescent="0.3">
      <c r="B44" s="95" t="s">
        <v>363</v>
      </c>
      <c r="C44" s="96">
        <v>1500000</v>
      </c>
      <c r="D44" s="96">
        <v>-428212</v>
      </c>
      <c r="E44" s="96">
        <v>0</v>
      </c>
      <c r="F44" s="96">
        <v>-1071788</v>
      </c>
      <c r="G44" s="96">
        <v>0</v>
      </c>
    </row>
    <row r="45" spans="2:8" ht="16.5" x14ac:dyDescent="0.3">
      <c r="B45" s="95" t="s">
        <v>234</v>
      </c>
      <c r="C45" s="96">
        <v>1505613</v>
      </c>
      <c r="D45" s="96">
        <v>-308901</v>
      </c>
      <c r="E45" s="96">
        <v>0</v>
      </c>
      <c r="F45" s="96">
        <v>-1024072</v>
      </c>
      <c r="G45" s="96">
        <v>172640</v>
      </c>
    </row>
    <row r="46" spans="2:8" ht="16.5" x14ac:dyDescent="0.3">
      <c r="B46" s="95" t="s">
        <v>244</v>
      </c>
      <c r="C46" s="96">
        <v>979620</v>
      </c>
      <c r="D46" s="96">
        <v>-500000</v>
      </c>
      <c r="E46" s="96">
        <v>0</v>
      </c>
      <c r="F46" s="96">
        <v>0</v>
      </c>
      <c r="G46" s="96">
        <v>479620</v>
      </c>
    </row>
    <row r="47" spans="2:8" ht="16.5" x14ac:dyDescent="0.3">
      <c r="B47" s="95" t="s">
        <v>765</v>
      </c>
      <c r="C47" s="96">
        <v>105449</v>
      </c>
      <c r="D47" s="96">
        <v>0</v>
      </c>
      <c r="E47" s="96">
        <v>0</v>
      </c>
      <c r="F47" s="96">
        <v>0</v>
      </c>
      <c r="G47" s="96">
        <v>105449</v>
      </c>
    </row>
    <row r="48" spans="2:8" ht="16.5" x14ac:dyDescent="0.3">
      <c r="B48" s="95" t="s">
        <v>254</v>
      </c>
      <c r="C48" s="96">
        <v>100000</v>
      </c>
      <c r="D48" s="96">
        <v>0</v>
      </c>
      <c r="E48" s="96">
        <v>0</v>
      </c>
      <c r="F48" s="96">
        <v>0</v>
      </c>
      <c r="G48" s="96">
        <v>100000</v>
      </c>
    </row>
    <row r="49" spans="2:12" ht="16.5" x14ac:dyDescent="0.3">
      <c r="B49" s="95" t="s">
        <v>259</v>
      </c>
      <c r="C49" s="96">
        <v>547665</v>
      </c>
      <c r="D49" s="96">
        <v>0</v>
      </c>
      <c r="E49" s="96">
        <v>-2974.65</v>
      </c>
      <c r="F49" s="96">
        <v>-470316</v>
      </c>
      <c r="G49" s="96">
        <v>74374.349999999977</v>
      </c>
    </row>
    <row r="50" spans="2:12" ht="16.5" x14ac:dyDescent="0.3">
      <c r="B50" s="95" t="s">
        <v>264</v>
      </c>
      <c r="C50" s="96">
        <v>1721300</v>
      </c>
      <c r="D50" s="96">
        <v>0</v>
      </c>
      <c r="E50" s="96">
        <v>-258756.76</v>
      </c>
      <c r="F50" s="96">
        <v>0</v>
      </c>
      <c r="G50" s="96">
        <v>1462543.24</v>
      </c>
    </row>
    <row r="51" spans="2:12" ht="16.5" x14ac:dyDescent="0.3">
      <c r="B51" s="95" t="s">
        <v>368</v>
      </c>
      <c r="C51" s="96">
        <v>10000</v>
      </c>
      <c r="D51" s="96">
        <v>0</v>
      </c>
      <c r="E51" s="96">
        <v>0</v>
      </c>
      <c r="F51" s="96">
        <v>-10000</v>
      </c>
      <c r="G51" s="96">
        <v>0</v>
      </c>
    </row>
    <row r="52" spans="2:12" ht="16.5" x14ac:dyDescent="0.3">
      <c r="B52" s="95" t="s">
        <v>269</v>
      </c>
      <c r="C52" s="96">
        <v>11619874</v>
      </c>
      <c r="D52" s="96">
        <v>670000</v>
      </c>
      <c r="E52" s="96">
        <v>-2149695.85</v>
      </c>
      <c r="F52" s="96">
        <v>-10140178.15</v>
      </c>
      <c r="G52" s="96">
        <v>0</v>
      </c>
    </row>
    <row r="53" spans="2:12" ht="16.5" x14ac:dyDescent="0.3">
      <c r="B53" s="95" t="s">
        <v>274</v>
      </c>
      <c r="C53" s="96">
        <v>48000</v>
      </c>
      <c r="D53" s="96">
        <v>0</v>
      </c>
      <c r="E53" s="96">
        <v>0</v>
      </c>
      <c r="F53" s="96">
        <v>-48000</v>
      </c>
      <c r="G53" s="96">
        <v>0</v>
      </c>
    </row>
    <row r="54" spans="2:12" ht="16.5" x14ac:dyDescent="0.3">
      <c r="B54" s="95" t="s">
        <v>279</v>
      </c>
      <c r="C54" s="96">
        <v>5885189</v>
      </c>
      <c r="D54" s="96">
        <v>0</v>
      </c>
      <c r="E54" s="96">
        <v>-240473.85999999975</v>
      </c>
      <c r="F54" s="96">
        <v>-5644715.1400000006</v>
      </c>
      <c r="G54" s="96">
        <v>0</v>
      </c>
    </row>
    <row r="55" spans="2:12" ht="16.5" x14ac:dyDescent="0.3">
      <c r="B55" s="95" t="s">
        <v>284</v>
      </c>
      <c r="C55" s="96"/>
      <c r="D55" s="96"/>
      <c r="E55" s="96"/>
      <c r="F55" s="96"/>
      <c r="G55" s="96"/>
    </row>
    <row r="56" spans="2:12" ht="16.5" x14ac:dyDescent="0.3">
      <c r="B56" s="129" t="s">
        <v>419</v>
      </c>
      <c r="C56" s="96">
        <v>319596</v>
      </c>
      <c r="D56" s="96">
        <v>0</v>
      </c>
      <c r="E56" s="96">
        <v>-22942.5</v>
      </c>
      <c r="F56" s="96">
        <v>-296653.5</v>
      </c>
      <c r="G56" s="96">
        <v>0</v>
      </c>
    </row>
    <row r="57" spans="2:12" ht="16.5" x14ac:dyDescent="0.3">
      <c r="B57" s="129" t="s">
        <v>283</v>
      </c>
      <c r="C57" s="96">
        <v>65000</v>
      </c>
      <c r="D57" s="96">
        <v>0</v>
      </c>
      <c r="E57" s="96">
        <v>0</v>
      </c>
      <c r="F57" s="96">
        <v>0</v>
      </c>
      <c r="G57" s="96">
        <v>65000</v>
      </c>
    </row>
    <row r="58" spans="2:12" ht="16.5" x14ac:dyDescent="0.3">
      <c r="B58" s="129" t="s">
        <v>287</v>
      </c>
      <c r="C58" s="96">
        <v>159220</v>
      </c>
      <c r="D58" s="96">
        <v>0</v>
      </c>
      <c r="E58" s="96">
        <v>0</v>
      </c>
      <c r="F58" s="96">
        <v>-159220</v>
      </c>
      <c r="G58" s="96">
        <v>0</v>
      </c>
    </row>
    <row r="59" spans="2:12" ht="16.5" x14ac:dyDescent="0.3">
      <c r="B59" s="129" t="s">
        <v>286</v>
      </c>
      <c r="C59" s="96">
        <v>287680</v>
      </c>
      <c r="D59" s="96">
        <v>0</v>
      </c>
      <c r="E59" s="96">
        <v>0</v>
      </c>
      <c r="F59" s="96">
        <v>-287680</v>
      </c>
      <c r="G59" s="96">
        <v>0</v>
      </c>
    </row>
    <row r="60" spans="2:12" ht="17.25" thickBot="1" x14ac:dyDescent="0.35">
      <c r="B60" s="130" t="s">
        <v>774</v>
      </c>
      <c r="C60" s="131">
        <v>831496</v>
      </c>
      <c r="D60" s="131">
        <v>0</v>
      </c>
      <c r="E60" s="131">
        <v>-22942.5</v>
      </c>
      <c r="F60" s="131">
        <v>-743553.5</v>
      </c>
      <c r="G60" s="131">
        <v>65000</v>
      </c>
    </row>
    <row r="61" spans="2:12" ht="17.25" thickTop="1" x14ac:dyDescent="0.3">
      <c r="B61" s="102" t="s">
        <v>567</v>
      </c>
      <c r="C61" s="103">
        <v>181659105</v>
      </c>
      <c r="D61" s="103">
        <v>-567113</v>
      </c>
      <c r="E61" s="103">
        <v>-42063631.119999997</v>
      </c>
      <c r="F61" s="103">
        <v>-110833714.34</v>
      </c>
      <c r="G61" s="103">
        <v>28194646.540000003</v>
      </c>
    </row>
    <row r="62" spans="2:12" ht="16.5" x14ac:dyDescent="0.3">
      <c r="B62" s="101" t="s">
        <v>293</v>
      </c>
      <c r="C62" s="96"/>
      <c r="D62" s="96"/>
      <c r="E62" s="96"/>
      <c r="F62" s="96"/>
      <c r="G62" s="96"/>
    </row>
    <row r="63" spans="2:12" ht="16.5" x14ac:dyDescent="0.3">
      <c r="B63" s="95" t="s">
        <v>295</v>
      </c>
      <c r="C63" s="96">
        <v>300000</v>
      </c>
      <c r="D63" s="96">
        <v>0</v>
      </c>
      <c r="E63" s="96">
        <v>0</v>
      </c>
      <c r="F63" s="96">
        <v>-300000</v>
      </c>
      <c r="G63" s="96">
        <v>0</v>
      </c>
      <c r="J63" s="20" t="s">
        <v>568</v>
      </c>
    </row>
    <row r="64" spans="2:12" ht="16.5" x14ac:dyDescent="0.3">
      <c r="B64" s="95" t="s">
        <v>300</v>
      </c>
      <c r="C64" s="96">
        <v>1096998</v>
      </c>
      <c r="D64" s="96">
        <v>0</v>
      </c>
      <c r="E64" s="96">
        <v>0</v>
      </c>
      <c r="F64" s="96">
        <v>-1096998</v>
      </c>
      <c r="G64" s="96">
        <v>0</v>
      </c>
      <c r="J64" s="42">
        <v>9045</v>
      </c>
      <c r="K64" s="26">
        <f>J64*9</f>
        <v>81405</v>
      </c>
      <c r="L64" s="26">
        <f>K64*3</f>
        <v>244215</v>
      </c>
    </row>
    <row r="65" spans="2:10" ht="16.5" x14ac:dyDescent="0.3">
      <c r="B65" s="95" t="s">
        <v>310</v>
      </c>
      <c r="C65" s="96">
        <v>1500000</v>
      </c>
      <c r="D65" s="96">
        <v>0</v>
      </c>
      <c r="E65" s="96">
        <v>0</v>
      </c>
      <c r="F65" s="96">
        <v>-1500000</v>
      </c>
      <c r="G65" s="96">
        <v>0</v>
      </c>
      <c r="J65" s="42">
        <v>30</v>
      </c>
    </row>
    <row r="66" spans="2:10" ht="16.5" x14ac:dyDescent="0.3">
      <c r="B66" s="95" t="s">
        <v>338</v>
      </c>
      <c r="C66" s="96">
        <v>800000</v>
      </c>
      <c r="D66" s="96">
        <v>937113</v>
      </c>
      <c r="E66" s="96">
        <v>0</v>
      </c>
      <c r="F66" s="96">
        <v>-1737113</v>
      </c>
      <c r="G66" s="96">
        <v>0</v>
      </c>
      <c r="J66" s="43">
        <f>J64*J65</f>
        <v>271350</v>
      </c>
    </row>
    <row r="67" spans="2:10" ht="16.5" x14ac:dyDescent="0.3">
      <c r="B67" s="95" t="s">
        <v>315</v>
      </c>
      <c r="C67" s="96">
        <v>14776048</v>
      </c>
      <c r="D67" s="96">
        <v>0</v>
      </c>
      <c r="E67" s="96">
        <v>-18850014.610000003</v>
      </c>
      <c r="F67" s="96">
        <v>0</v>
      </c>
      <c r="G67" s="96">
        <v>-4073966.6100000031</v>
      </c>
    </row>
    <row r="68" spans="2:10" ht="16.5" x14ac:dyDescent="0.3">
      <c r="B68" s="95" t="s">
        <v>723</v>
      </c>
      <c r="C68" s="96">
        <v>0</v>
      </c>
      <c r="D68" s="96">
        <v>300000</v>
      </c>
      <c r="E68" s="96">
        <v>0</v>
      </c>
      <c r="F68" s="96">
        <v>-300000</v>
      </c>
      <c r="G68" s="96">
        <v>0</v>
      </c>
    </row>
    <row r="69" spans="2:10" ht="16.5" x14ac:dyDescent="0.3">
      <c r="B69" s="95" t="s">
        <v>320</v>
      </c>
      <c r="C69" s="96">
        <v>3394616</v>
      </c>
      <c r="D69" s="96">
        <v>0</v>
      </c>
      <c r="E69" s="96">
        <v>0</v>
      </c>
      <c r="F69" s="96">
        <v>-3364616</v>
      </c>
      <c r="G69" s="96">
        <v>30000</v>
      </c>
      <c r="H69" s="41"/>
    </row>
    <row r="70" spans="2:10" ht="17.25" thickBot="1" x14ac:dyDescent="0.35">
      <c r="B70" s="95" t="s">
        <v>325</v>
      </c>
      <c r="C70" s="96">
        <v>510047</v>
      </c>
      <c r="D70" s="96">
        <v>0</v>
      </c>
      <c r="E70" s="96">
        <v>0</v>
      </c>
      <c r="F70" s="96">
        <v>-510047</v>
      </c>
      <c r="G70" s="96">
        <v>0</v>
      </c>
    </row>
    <row r="71" spans="2:10" ht="17.25" thickTop="1" x14ac:dyDescent="0.3">
      <c r="B71" s="102" t="s">
        <v>569</v>
      </c>
      <c r="C71" s="103">
        <v>22377709</v>
      </c>
      <c r="D71" s="103">
        <v>1237113</v>
      </c>
      <c r="E71" s="103">
        <v>-18850014.610000003</v>
      </c>
      <c r="F71" s="103">
        <v>-8808774</v>
      </c>
      <c r="G71" s="103">
        <v>-4043966.6100000031</v>
      </c>
    </row>
    <row r="72" spans="2:10" ht="16.5" x14ac:dyDescent="0.3">
      <c r="B72" s="101" t="s">
        <v>734</v>
      </c>
      <c r="C72" s="96"/>
      <c r="D72" s="96"/>
      <c r="E72" s="96"/>
      <c r="F72" s="96"/>
      <c r="G72" s="96"/>
    </row>
    <row r="73" spans="2:10" ht="17.25" thickBot="1" x14ac:dyDescent="0.35">
      <c r="B73" s="95" t="s">
        <v>343</v>
      </c>
      <c r="C73" s="96">
        <v>1800</v>
      </c>
      <c r="D73" s="96">
        <v>0</v>
      </c>
      <c r="E73" s="96">
        <v>0</v>
      </c>
      <c r="F73" s="96">
        <v>0</v>
      </c>
      <c r="G73" s="96">
        <v>1800</v>
      </c>
    </row>
    <row r="74" spans="2:10" ht="17.25" thickTop="1" x14ac:dyDescent="0.3">
      <c r="B74" s="102" t="s">
        <v>735</v>
      </c>
      <c r="C74" s="103">
        <v>1800</v>
      </c>
      <c r="D74" s="103">
        <v>0</v>
      </c>
      <c r="E74" s="103">
        <v>0</v>
      </c>
      <c r="F74" s="103">
        <v>0</v>
      </c>
      <c r="G74" s="103">
        <v>1800</v>
      </c>
    </row>
    <row r="75" spans="2:10" ht="18" x14ac:dyDescent="0.25">
      <c r="B75" s="97" t="s">
        <v>562</v>
      </c>
      <c r="C75" s="98">
        <v>509943885</v>
      </c>
      <c r="D75" s="98">
        <v>310000</v>
      </c>
      <c r="E75" s="98">
        <v>-143965283.75999999</v>
      </c>
      <c r="F75" s="98">
        <v>-124560269.34</v>
      </c>
      <c r="G75" s="98">
        <v>241728331.89999995</v>
      </c>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x14ac:dyDescent="0.25">
      <c r="B81"/>
      <c r="C81"/>
      <c r="D81"/>
      <c r="E81"/>
      <c r="F81"/>
      <c r="G81"/>
    </row>
    <row r="82" spans="2:7"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x14ac:dyDescent="0.25">
      <c r="B88"/>
      <c r="C88"/>
      <c r="D88"/>
      <c r="E88"/>
      <c r="F88"/>
      <c r="G88"/>
    </row>
    <row r="89" spans="2:7"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24" customWidth="1"/>
    <col min="4" max="4" width="32.140625" style="124" customWidth="1"/>
    <col min="5" max="5" width="21.7109375" bestFit="1" customWidth="1"/>
    <col min="6" max="6" width="17.28515625" customWidth="1"/>
    <col min="7" max="7" width="22.85546875" bestFit="1" customWidth="1"/>
    <col min="8" max="8" width="17.7109375" customWidth="1"/>
    <col min="9" max="9" width="40.7109375" style="124" customWidth="1"/>
  </cols>
  <sheetData>
    <row r="1" spans="1:9" ht="30" x14ac:dyDescent="0.25">
      <c r="A1" s="122" t="s">
        <v>4</v>
      </c>
      <c r="B1" s="122" t="s">
        <v>374</v>
      </c>
      <c r="C1" s="122" t="s">
        <v>376</v>
      </c>
      <c r="D1" s="122" t="s">
        <v>378</v>
      </c>
      <c r="E1" s="122" t="s">
        <v>379</v>
      </c>
      <c r="F1" s="123" t="s">
        <v>668</v>
      </c>
      <c r="G1" s="122" t="s">
        <v>669</v>
      </c>
      <c r="H1" s="123" t="s">
        <v>758</v>
      </c>
      <c r="I1" s="123" t="s">
        <v>760</v>
      </c>
    </row>
    <row r="2" spans="1:9" ht="45" x14ac:dyDescent="0.25">
      <c r="A2" s="115" t="s">
        <v>9</v>
      </c>
      <c r="B2" s="116" t="s">
        <v>95</v>
      </c>
      <c r="C2" s="111" t="s">
        <v>93</v>
      </c>
      <c r="D2" s="118" t="s">
        <v>545</v>
      </c>
      <c r="E2" s="117" t="s">
        <v>546</v>
      </c>
      <c r="F2" s="120">
        <v>45362</v>
      </c>
      <c r="G2" s="117" t="s">
        <v>547</v>
      </c>
      <c r="H2" s="120">
        <v>45365</v>
      </c>
      <c r="I2" s="127"/>
    </row>
    <row r="3" spans="1:9" ht="30" x14ac:dyDescent="0.25">
      <c r="A3" s="109" t="s">
        <v>9</v>
      </c>
      <c r="B3" s="110" t="s">
        <v>397</v>
      </c>
      <c r="C3" s="111" t="s">
        <v>98</v>
      </c>
      <c r="D3" s="111" t="s">
        <v>764</v>
      </c>
      <c r="E3" s="112" t="s">
        <v>763</v>
      </c>
      <c r="F3" s="121">
        <v>45415</v>
      </c>
      <c r="G3" s="112" t="s">
        <v>762</v>
      </c>
      <c r="H3" s="121">
        <v>45435</v>
      </c>
      <c r="I3" s="128"/>
    </row>
    <row r="4" spans="1:9" ht="45" x14ac:dyDescent="0.25">
      <c r="A4" s="109" t="s">
        <v>9</v>
      </c>
      <c r="B4" s="110" t="s">
        <v>101</v>
      </c>
      <c r="C4" s="111" t="s">
        <v>98</v>
      </c>
      <c r="D4" s="113" t="s">
        <v>746</v>
      </c>
      <c r="E4" s="112" t="s">
        <v>747</v>
      </c>
      <c r="F4" s="121">
        <v>45436</v>
      </c>
      <c r="G4" s="112" t="s">
        <v>753</v>
      </c>
      <c r="H4" s="121">
        <v>45439</v>
      </c>
      <c r="I4" s="128"/>
    </row>
    <row r="5" spans="1:9" x14ac:dyDescent="0.25">
      <c r="A5" s="109" t="s">
        <v>9</v>
      </c>
      <c r="B5" s="110" t="s">
        <v>399</v>
      </c>
      <c r="C5" s="111" t="s">
        <v>123</v>
      </c>
      <c r="D5" s="113" t="s">
        <v>542</v>
      </c>
      <c r="E5" s="112" t="s">
        <v>543</v>
      </c>
      <c r="F5" s="114">
        <v>45356</v>
      </c>
      <c r="G5" s="112" t="s">
        <v>544</v>
      </c>
      <c r="H5" s="114">
        <v>45358</v>
      </c>
      <c r="I5" s="126"/>
    </row>
    <row r="6" spans="1:9" x14ac:dyDescent="0.25">
      <c r="A6" s="115" t="s">
        <v>30</v>
      </c>
      <c r="B6" s="116" t="s">
        <v>201</v>
      </c>
      <c r="C6" s="111" t="s">
        <v>199</v>
      </c>
      <c r="D6" s="118" t="s">
        <v>751</v>
      </c>
      <c r="E6" s="117" t="s">
        <v>749</v>
      </c>
      <c r="F6" s="120">
        <v>45421</v>
      </c>
      <c r="G6" s="117" t="s">
        <v>752</v>
      </c>
      <c r="H6" s="120">
        <v>45441</v>
      </c>
      <c r="I6" s="127"/>
    </row>
    <row r="7" spans="1:9" x14ac:dyDescent="0.25">
      <c r="A7" s="109" t="s">
        <v>30</v>
      </c>
      <c r="B7" s="110" t="s">
        <v>202</v>
      </c>
      <c r="C7" s="111" t="s">
        <v>199</v>
      </c>
      <c r="D7" s="113" t="s">
        <v>750</v>
      </c>
      <c r="E7" s="112" t="s">
        <v>748</v>
      </c>
      <c r="F7" s="121">
        <v>45421</v>
      </c>
      <c r="G7" s="112" t="s">
        <v>752</v>
      </c>
      <c r="H7" s="121">
        <v>45441</v>
      </c>
      <c r="I7" s="128"/>
    </row>
    <row r="8" spans="1:9" x14ac:dyDescent="0.25">
      <c r="A8" s="115" t="s">
        <v>30</v>
      </c>
      <c r="B8" s="116" t="s">
        <v>407</v>
      </c>
      <c r="C8" s="111" t="s">
        <v>199</v>
      </c>
      <c r="D8" s="118" t="s">
        <v>756</v>
      </c>
      <c r="E8" s="117" t="s">
        <v>755</v>
      </c>
      <c r="F8" s="120">
        <v>45441</v>
      </c>
      <c r="G8" s="117" t="s">
        <v>752</v>
      </c>
      <c r="H8" s="120">
        <v>45441</v>
      </c>
      <c r="I8" s="127"/>
    </row>
    <row r="9" spans="1:9" ht="30" x14ac:dyDescent="0.25">
      <c r="A9" s="109" t="s">
        <v>30</v>
      </c>
      <c r="B9" s="110" t="s">
        <v>198</v>
      </c>
      <c r="C9" s="111" t="s">
        <v>199</v>
      </c>
      <c r="D9" s="113" t="s">
        <v>757</v>
      </c>
      <c r="E9" s="112"/>
      <c r="F9" s="121"/>
      <c r="G9" s="112" t="s">
        <v>752</v>
      </c>
      <c r="H9" s="121">
        <v>45441</v>
      </c>
      <c r="I9" s="128"/>
    </row>
    <row r="10" spans="1:9" ht="45" x14ac:dyDescent="0.25">
      <c r="A10" s="109" t="s">
        <v>9</v>
      </c>
      <c r="B10" s="110" t="s">
        <v>261</v>
      </c>
      <c r="C10" s="111" t="s">
        <v>259</v>
      </c>
      <c r="D10" s="113" t="s">
        <v>494</v>
      </c>
      <c r="E10" s="112" t="s">
        <v>690</v>
      </c>
      <c r="F10" s="121">
        <v>45406</v>
      </c>
      <c r="G10" s="112" t="s">
        <v>693</v>
      </c>
      <c r="H10" s="121">
        <v>45411</v>
      </c>
      <c r="I10" s="128"/>
    </row>
    <row r="11" spans="1:9" ht="45" x14ac:dyDescent="0.25">
      <c r="A11" s="109" t="s">
        <v>9</v>
      </c>
      <c r="B11" s="110" t="s">
        <v>370</v>
      </c>
      <c r="C11" s="111" t="s">
        <v>368</v>
      </c>
      <c r="D11" s="113" t="s">
        <v>497</v>
      </c>
      <c r="E11" s="112" t="s">
        <v>498</v>
      </c>
      <c r="F11" s="114">
        <v>45331</v>
      </c>
      <c r="G11" s="112" t="s">
        <v>499</v>
      </c>
      <c r="H11" s="114">
        <v>45336</v>
      </c>
      <c r="I11" s="126"/>
    </row>
    <row r="12" spans="1:9" x14ac:dyDescent="0.25">
      <c r="A12" s="115" t="s">
        <v>9</v>
      </c>
      <c r="B12" s="116" t="s">
        <v>276</v>
      </c>
      <c r="C12" s="111" t="s">
        <v>274</v>
      </c>
      <c r="D12" s="118" t="s">
        <v>649</v>
      </c>
      <c r="E12" s="117" t="s">
        <v>650</v>
      </c>
      <c r="F12" s="120">
        <v>45406</v>
      </c>
      <c r="G12" s="117" t="s">
        <v>689</v>
      </c>
      <c r="H12" s="120">
        <v>45406</v>
      </c>
      <c r="I12" s="127"/>
    </row>
    <row r="13" spans="1:9" ht="90" x14ac:dyDescent="0.25">
      <c r="A13" s="115" t="s">
        <v>30</v>
      </c>
      <c r="B13" s="116" t="s">
        <v>286</v>
      </c>
      <c r="C13" s="111" t="s">
        <v>284</v>
      </c>
      <c r="D13" s="118" t="s">
        <v>637</v>
      </c>
      <c r="E13" s="117" t="s">
        <v>638</v>
      </c>
      <c r="F13" s="120">
        <v>45386</v>
      </c>
      <c r="G13" s="117" t="s">
        <v>654</v>
      </c>
      <c r="H13" s="120">
        <v>45394</v>
      </c>
      <c r="I13" s="127"/>
    </row>
    <row r="14" spans="1:9" x14ac:dyDescent="0.25">
      <c r="A14" s="109" t="s">
        <v>30</v>
      </c>
      <c r="B14" s="110" t="s">
        <v>287</v>
      </c>
      <c r="C14" s="111" t="s">
        <v>284</v>
      </c>
      <c r="D14" s="113" t="s">
        <v>639</v>
      </c>
      <c r="E14" s="112" t="s">
        <v>640</v>
      </c>
      <c r="F14" s="121">
        <v>45391</v>
      </c>
      <c r="G14" s="112" t="s">
        <v>654</v>
      </c>
      <c r="H14" s="121">
        <v>45394</v>
      </c>
      <c r="I14" s="128"/>
    </row>
    <row r="15" spans="1:9" ht="45" x14ac:dyDescent="0.25">
      <c r="A15" s="109" t="s">
        <v>9</v>
      </c>
      <c r="B15" s="110" t="s">
        <v>286</v>
      </c>
      <c r="C15" s="111" t="s">
        <v>284</v>
      </c>
      <c r="D15" s="113" t="s">
        <v>742</v>
      </c>
      <c r="E15" s="112" t="s">
        <v>743</v>
      </c>
      <c r="F15" s="121">
        <v>45436</v>
      </c>
      <c r="G15" s="112" t="s">
        <v>754</v>
      </c>
      <c r="H15" s="121">
        <v>45439</v>
      </c>
      <c r="I15" s="128"/>
    </row>
    <row r="16" spans="1:9" ht="30" x14ac:dyDescent="0.25">
      <c r="A16" s="115" t="s">
        <v>9</v>
      </c>
      <c r="B16" s="116" t="s">
        <v>287</v>
      </c>
      <c r="C16" s="111" t="s">
        <v>284</v>
      </c>
      <c r="D16" s="118" t="s">
        <v>745</v>
      </c>
      <c r="E16" s="117" t="s">
        <v>744</v>
      </c>
      <c r="F16" s="120">
        <v>45436</v>
      </c>
      <c r="G16" s="117" t="s">
        <v>754</v>
      </c>
      <c r="H16" s="120">
        <v>45439</v>
      </c>
      <c r="I16" s="127"/>
    </row>
    <row r="17" spans="1:9" ht="45" x14ac:dyDescent="0.25">
      <c r="A17" s="115" t="s">
        <v>9</v>
      </c>
      <c r="B17" s="116" t="s">
        <v>420</v>
      </c>
      <c r="C17" s="111" t="s">
        <v>295</v>
      </c>
      <c r="D17" s="118" t="s">
        <v>540</v>
      </c>
      <c r="E17" s="117" t="s">
        <v>541</v>
      </c>
      <c r="F17" s="119">
        <v>45341</v>
      </c>
      <c r="G17" s="117" t="s">
        <v>659</v>
      </c>
      <c r="H17" s="119">
        <v>45404</v>
      </c>
      <c r="I17" s="125"/>
    </row>
    <row r="18" spans="1:9" ht="30" x14ac:dyDescent="0.25">
      <c r="A18" s="115" t="s">
        <v>9</v>
      </c>
      <c r="B18" s="116" t="s">
        <v>298</v>
      </c>
      <c r="C18" s="111" t="s">
        <v>295</v>
      </c>
      <c r="D18" s="118" t="s">
        <v>643</v>
      </c>
      <c r="E18" s="117" t="s">
        <v>644</v>
      </c>
      <c r="F18" s="120">
        <v>45391</v>
      </c>
      <c r="G18" s="117" t="s">
        <v>659</v>
      </c>
      <c r="H18" s="119">
        <v>45404</v>
      </c>
      <c r="I18" s="125"/>
    </row>
    <row r="19" spans="1:9" ht="90" x14ac:dyDescent="0.25">
      <c r="A19" s="115" t="s">
        <v>9</v>
      </c>
      <c r="B19" s="116" t="s">
        <v>421</v>
      </c>
      <c r="C19" s="111" t="s">
        <v>300</v>
      </c>
      <c r="D19" s="118" t="s">
        <v>480</v>
      </c>
      <c r="E19" s="117" t="s">
        <v>481</v>
      </c>
      <c r="F19" s="119">
        <v>45327</v>
      </c>
      <c r="G19" s="117" t="s">
        <v>681</v>
      </c>
      <c r="H19" s="119">
        <v>45404</v>
      </c>
      <c r="I19" s="125" t="s">
        <v>759</v>
      </c>
    </row>
    <row r="20" spans="1:9" ht="30" x14ac:dyDescent="0.25">
      <c r="A20" s="115" t="s">
        <v>9</v>
      </c>
      <c r="B20" s="116" t="s">
        <v>302</v>
      </c>
      <c r="C20" s="111" t="s">
        <v>300</v>
      </c>
      <c r="D20" s="118" t="s">
        <v>683</v>
      </c>
      <c r="E20" s="117" t="s">
        <v>682</v>
      </c>
      <c r="F20" s="120">
        <v>45400</v>
      </c>
      <c r="G20" s="117" t="s">
        <v>684</v>
      </c>
      <c r="H20" s="120">
        <v>45404</v>
      </c>
      <c r="I20" s="127"/>
    </row>
    <row r="21" spans="1:9" ht="30" x14ac:dyDescent="0.25">
      <c r="A21" s="109" t="s">
        <v>9</v>
      </c>
      <c r="B21" s="110" t="s">
        <v>303</v>
      </c>
      <c r="C21" s="111" t="s">
        <v>300</v>
      </c>
      <c r="D21" s="113" t="s">
        <v>686</v>
      </c>
      <c r="E21" s="112" t="s">
        <v>685</v>
      </c>
      <c r="F21" s="121">
        <v>45400</v>
      </c>
      <c r="G21" s="112" t="s">
        <v>684</v>
      </c>
      <c r="H21" s="121">
        <v>45404</v>
      </c>
      <c r="I21" s="128"/>
    </row>
    <row r="22" spans="1:9" ht="30" x14ac:dyDescent="0.25">
      <c r="A22" s="109" t="s">
        <v>30</v>
      </c>
      <c r="B22" s="110" t="s">
        <v>423</v>
      </c>
      <c r="C22" s="111" t="s">
        <v>338</v>
      </c>
      <c r="D22" s="113" t="s">
        <v>556</v>
      </c>
      <c r="E22" s="112" t="s">
        <v>557</v>
      </c>
      <c r="F22" s="121">
        <v>45344</v>
      </c>
      <c r="G22" s="112" t="s">
        <v>558</v>
      </c>
      <c r="H22" s="121">
        <v>45370</v>
      </c>
      <c r="I22" s="128"/>
    </row>
    <row r="23" spans="1:9" ht="30" x14ac:dyDescent="0.25">
      <c r="A23" s="109" t="s">
        <v>30</v>
      </c>
      <c r="B23" s="110" t="s">
        <v>423</v>
      </c>
      <c r="C23" s="111" t="s">
        <v>338</v>
      </c>
      <c r="D23" s="113" t="s">
        <v>651</v>
      </c>
      <c r="E23" s="112" t="s">
        <v>652</v>
      </c>
      <c r="F23" s="121">
        <v>45393</v>
      </c>
      <c r="G23" s="112" t="s">
        <v>673</v>
      </c>
      <c r="H23" s="121">
        <v>45394</v>
      </c>
      <c r="I23" s="128"/>
    </row>
    <row r="24" spans="1:9" ht="30" x14ac:dyDescent="0.25">
      <c r="A24" s="115" t="s">
        <v>9</v>
      </c>
      <c r="B24" s="116" t="s">
        <v>724</v>
      </c>
      <c r="C24" s="111" t="s">
        <v>723</v>
      </c>
      <c r="D24" s="118" t="s">
        <v>738</v>
      </c>
      <c r="E24" s="117" t="s">
        <v>739</v>
      </c>
      <c r="F24" s="120">
        <v>45427</v>
      </c>
      <c r="G24" s="117" t="s">
        <v>740</v>
      </c>
      <c r="H24" s="120">
        <v>45428</v>
      </c>
      <c r="I24" s="127"/>
    </row>
    <row r="25" spans="1:9" ht="30" x14ac:dyDescent="0.25">
      <c r="A25" s="115" t="s">
        <v>9</v>
      </c>
      <c r="B25" s="116" t="s">
        <v>327</v>
      </c>
      <c r="C25" s="111" t="s">
        <v>325</v>
      </c>
      <c r="D25" s="118" t="s">
        <v>465</v>
      </c>
      <c r="E25" s="117" t="s">
        <v>466</v>
      </c>
      <c r="F25" s="119">
        <v>45314</v>
      </c>
      <c r="G25" s="117" t="s">
        <v>728</v>
      </c>
      <c r="H25" s="120">
        <v>45426</v>
      </c>
      <c r="I25" s="127"/>
    </row>
    <row r="26" spans="1:9" x14ac:dyDescent="0.25">
      <c r="A26" s="109" t="s">
        <v>9</v>
      </c>
      <c r="B26" s="110" t="s">
        <v>426</v>
      </c>
      <c r="C26" s="111" t="s">
        <v>325</v>
      </c>
      <c r="D26" s="113" t="s">
        <v>502</v>
      </c>
      <c r="E26" s="112" t="s">
        <v>503</v>
      </c>
      <c r="F26" s="114">
        <v>45345</v>
      </c>
      <c r="G26" s="112" t="s">
        <v>728</v>
      </c>
      <c r="H26" s="121">
        <v>45426</v>
      </c>
      <c r="I26" s="128"/>
    </row>
    <row r="27" spans="1:9" ht="30" x14ac:dyDescent="0.25">
      <c r="A27" s="115" t="s">
        <v>9</v>
      </c>
      <c r="B27" s="116" t="s">
        <v>328</v>
      </c>
      <c r="C27" s="111" t="s">
        <v>325</v>
      </c>
      <c r="D27" s="118" t="s">
        <v>516</v>
      </c>
      <c r="E27" s="117" t="s">
        <v>517</v>
      </c>
      <c r="F27" s="119">
        <v>45349</v>
      </c>
      <c r="G27" s="117" t="s">
        <v>728</v>
      </c>
      <c r="H27" s="120">
        <v>45426</v>
      </c>
      <c r="I27" s="127"/>
    </row>
    <row r="28" spans="1:9" ht="30" x14ac:dyDescent="0.25">
      <c r="A28" s="109" t="s">
        <v>9</v>
      </c>
      <c r="B28" s="110" t="s">
        <v>426</v>
      </c>
      <c r="C28" s="111" t="s">
        <v>325</v>
      </c>
      <c r="D28" s="113" t="s">
        <v>548</v>
      </c>
      <c r="E28" s="112" t="s">
        <v>538</v>
      </c>
      <c r="F28" s="121">
        <v>45365</v>
      </c>
      <c r="G28" s="112" t="s">
        <v>728</v>
      </c>
      <c r="H28" s="121">
        <v>45426</v>
      </c>
      <c r="I28" s="12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topLeftCell="A10" zoomScaleNormal="100" zoomScaleSheetLayoutView="115" workbookViewId="0">
      <selection activeCell="B7" sqref="B7"/>
    </sheetView>
  </sheetViews>
  <sheetFormatPr baseColWidth="10" defaultColWidth="11.42578125" defaultRowHeight="15" x14ac:dyDescent="0.25"/>
  <cols>
    <col min="1" max="1" width="3.5703125" style="20" customWidth="1"/>
    <col min="2" max="2" width="53" style="20" bestFit="1" customWidth="1"/>
    <col min="3" max="3" width="16.710937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05"/>
      <c r="C2" s="108" t="s">
        <v>18</v>
      </c>
      <c r="D2" s="108"/>
      <c r="E2" s="108"/>
    </row>
    <row r="3" spans="2:5" ht="16.5" x14ac:dyDescent="0.3">
      <c r="B3" s="105"/>
      <c r="C3" s="106" t="s">
        <v>658</v>
      </c>
      <c r="D3" s="106" t="s">
        <v>627</v>
      </c>
      <c r="E3" s="106" t="s">
        <v>587</v>
      </c>
    </row>
    <row r="4" spans="2:5" ht="16.5" x14ac:dyDescent="0.3">
      <c r="B4" s="104" t="s">
        <v>24</v>
      </c>
      <c r="C4" s="96">
        <v>-82677895.48999998</v>
      </c>
      <c r="D4" s="96">
        <v>77602724.61999999</v>
      </c>
      <c r="E4" s="96">
        <v>-5075170.8700000048</v>
      </c>
    </row>
    <row r="5" spans="2:5" ht="16.5" x14ac:dyDescent="0.3">
      <c r="B5" s="107" t="s">
        <v>29</v>
      </c>
      <c r="C5" s="96">
        <v>-41609807.880000003</v>
      </c>
      <c r="D5" s="96">
        <v>41609807.880000003</v>
      </c>
      <c r="E5" s="96">
        <v>0</v>
      </c>
    </row>
    <row r="6" spans="2:5" ht="16.5" x14ac:dyDescent="0.3">
      <c r="B6" s="107" t="s">
        <v>37</v>
      </c>
      <c r="C6" s="96">
        <v>-294066.33</v>
      </c>
      <c r="D6" s="96">
        <v>294066.33</v>
      </c>
      <c r="E6" s="96">
        <v>0</v>
      </c>
    </row>
    <row r="7" spans="2:5" ht="16.5" x14ac:dyDescent="0.3">
      <c r="B7" s="107" t="s">
        <v>52</v>
      </c>
      <c r="C7" s="96">
        <v>-3124977.88</v>
      </c>
      <c r="D7" s="96">
        <v>3124977.88</v>
      </c>
      <c r="E7" s="96">
        <v>0</v>
      </c>
    </row>
    <row r="8" spans="2:5" ht="16.5" x14ac:dyDescent="0.3">
      <c r="B8" s="107" t="s">
        <v>57</v>
      </c>
      <c r="C8" s="96">
        <v>-5075170.87</v>
      </c>
      <c r="D8" s="96">
        <v>0</v>
      </c>
      <c r="E8" s="96">
        <v>-5075170.87</v>
      </c>
    </row>
    <row r="9" spans="2:5" ht="16.5" x14ac:dyDescent="0.3">
      <c r="B9" s="107" t="s">
        <v>62</v>
      </c>
      <c r="C9" s="96">
        <v>-496353.94</v>
      </c>
      <c r="D9" s="96">
        <v>496353.94</v>
      </c>
      <c r="E9" s="96">
        <v>0</v>
      </c>
    </row>
    <row r="10" spans="2:5" ht="16.5" x14ac:dyDescent="0.3">
      <c r="B10" s="107" t="s">
        <v>67</v>
      </c>
      <c r="C10" s="96">
        <v>-31669940.859999999</v>
      </c>
      <c r="D10" s="96">
        <v>31669940.859999999</v>
      </c>
      <c r="E10" s="96">
        <v>0</v>
      </c>
    </row>
    <row r="11" spans="2:5" ht="16.5" x14ac:dyDescent="0.3">
      <c r="B11" s="107" t="s">
        <v>82</v>
      </c>
      <c r="C11" s="96">
        <v>-190785.45999999996</v>
      </c>
      <c r="D11" s="96">
        <v>190785.45999999996</v>
      </c>
      <c r="E11" s="96">
        <v>0</v>
      </c>
    </row>
    <row r="12" spans="2:5" ht="16.5" x14ac:dyDescent="0.3">
      <c r="B12" s="107" t="s">
        <v>348</v>
      </c>
      <c r="C12" s="96">
        <v>-216792.27</v>
      </c>
      <c r="D12" s="96">
        <v>216792.27</v>
      </c>
      <c r="E12" s="96">
        <v>0</v>
      </c>
    </row>
    <row r="13" spans="2:5" ht="16.5" x14ac:dyDescent="0.3">
      <c r="B13" s="104" t="s">
        <v>91</v>
      </c>
      <c r="C13" s="96">
        <v>-373742.54</v>
      </c>
      <c r="D13" s="96">
        <v>315808.53999999998</v>
      </c>
      <c r="E13" s="96">
        <v>-57934</v>
      </c>
    </row>
    <row r="14" spans="2:5" ht="16.5" x14ac:dyDescent="0.3">
      <c r="B14" s="107" t="s">
        <v>143</v>
      </c>
      <c r="C14" s="96">
        <v>-57934</v>
      </c>
      <c r="D14" s="96">
        <v>0</v>
      </c>
      <c r="E14" s="96">
        <v>-57934</v>
      </c>
    </row>
    <row r="15" spans="2:5" ht="16.5" x14ac:dyDescent="0.3">
      <c r="B15" s="107" t="s">
        <v>148</v>
      </c>
      <c r="C15" s="96">
        <v>-159343.76999999999</v>
      </c>
      <c r="D15" s="96">
        <v>159343.76999999999</v>
      </c>
      <c r="E15" s="96">
        <v>0</v>
      </c>
    </row>
    <row r="16" spans="2:5" ht="16.5" x14ac:dyDescent="0.3">
      <c r="B16" s="107" t="s">
        <v>358</v>
      </c>
      <c r="C16" s="96">
        <v>-37554.769999999997</v>
      </c>
      <c r="D16" s="96">
        <v>37554.769999999997</v>
      </c>
      <c r="E16" s="96">
        <v>0</v>
      </c>
    </row>
    <row r="17" spans="2:5" ht="16.5" x14ac:dyDescent="0.3">
      <c r="B17" s="107" t="s">
        <v>158</v>
      </c>
      <c r="C17" s="96">
        <v>-118910</v>
      </c>
      <c r="D17" s="96">
        <v>118910</v>
      </c>
      <c r="E17" s="96">
        <v>0</v>
      </c>
    </row>
    <row r="18" spans="2:5" ht="16.5" x14ac:dyDescent="0.3">
      <c r="B18" s="104" t="s">
        <v>167</v>
      </c>
      <c r="C18" s="96">
        <v>-42063631.119999997</v>
      </c>
      <c r="D18" s="96">
        <v>29431150.920000002</v>
      </c>
      <c r="E18" s="96">
        <v>-12632480.200000003</v>
      </c>
    </row>
    <row r="19" spans="2:5" ht="16.5" x14ac:dyDescent="0.3">
      <c r="B19" s="107" t="s">
        <v>189</v>
      </c>
      <c r="C19" s="96">
        <v>-95847.049999999988</v>
      </c>
      <c r="D19" s="96">
        <v>3092.12</v>
      </c>
      <c r="E19" s="96">
        <v>-92754.93</v>
      </c>
    </row>
    <row r="20" spans="2:5" ht="16.5" x14ac:dyDescent="0.3">
      <c r="B20" s="107" t="s">
        <v>209</v>
      </c>
      <c r="C20" s="96">
        <v>-4487867.95</v>
      </c>
      <c r="D20" s="96">
        <v>4098337.95</v>
      </c>
      <c r="E20" s="96">
        <v>-389530</v>
      </c>
    </row>
    <row r="21" spans="2:5" ht="16.5" x14ac:dyDescent="0.3">
      <c r="B21" s="107" t="s">
        <v>224</v>
      </c>
      <c r="C21" s="96">
        <v>-23605072.5</v>
      </c>
      <c r="D21" s="96">
        <v>23605072.5</v>
      </c>
      <c r="E21" s="96">
        <v>0</v>
      </c>
    </row>
    <row r="22" spans="2:5" ht="16.5" x14ac:dyDescent="0.3">
      <c r="B22" s="107" t="s">
        <v>229</v>
      </c>
      <c r="C22" s="96">
        <v>-11200000</v>
      </c>
      <c r="D22" s="96">
        <v>0</v>
      </c>
      <c r="E22" s="96">
        <v>-11200000</v>
      </c>
    </row>
    <row r="23" spans="2:5" ht="16.5" x14ac:dyDescent="0.3">
      <c r="B23" s="107" t="s">
        <v>259</v>
      </c>
      <c r="C23" s="96">
        <v>-2974.65</v>
      </c>
      <c r="D23" s="96">
        <v>0</v>
      </c>
      <c r="E23" s="96">
        <v>-2974.65</v>
      </c>
    </row>
    <row r="24" spans="2:5" ht="16.5" x14ac:dyDescent="0.3">
      <c r="B24" s="107" t="s">
        <v>264</v>
      </c>
      <c r="C24" s="96">
        <v>-258756.76</v>
      </c>
      <c r="D24" s="96">
        <v>0</v>
      </c>
      <c r="E24" s="96">
        <v>-258756.76</v>
      </c>
    </row>
    <row r="25" spans="2:5" ht="16.5" x14ac:dyDescent="0.3">
      <c r="B25" s="107" t="s">
        <v>269</v>
      </c>
      <c r="C25" s="96">
        <v>-2149695.85</v>
      </c>
      <c r="D25" s="96">
        <v>1692588.3499999996</v>
      </c>
      <c r="E25" s="96">
        <v>-457107.50000000047</v>
      </c>
    </row>
    <row r="26" spans="2:5" ht="16.5" x14ac:dyDescent="0.3">
      <c r="B26" s="107" t="s">
        <v>279</v>
      </c>
      <c r="C26" s="96">
        <v>-240473.85999999972</v>
      </c>
      <c r="D26" s="96">
        <v>32059.999999999964</v>
      </c>
      <c r="E26" s="96">
        <v>-208413.85999999975</v>
      </c>
    </row>
    <row r="27" spans="2:5" ht="16.5" x14ac:dyDescent="0.3">
      <c r="B27" s="107" t="s">
        <v>284</v>
      </c>
      <c r="C27" s="96">
        <v>-22942.5</v>
      </c>
      <c r="D27" s="96">
        <v>0</v>
      </c>
      <c r="E27" s="96">
        <v>-22942.5</v>
      </c>
    </row>
    <row r="28" spans="2:5" ht="16.5" x14ac:dyDescent="0.3">
      <c r="B28" s="104" t="s">
        <v>293</v>
      </c>
      <c r="C28" s="96">
        <v>-18850014.610000003</v>
      </c>
      <c r="D28" s="96">
        <v>117299.99999999997</v>
      </c>
      <c r="E28" s="96">
        <v>-18732714.610000003</v>
      </c>
    </row>
    <row r="29" spans="2:5" ht="16.5" x14ac:dyDescent="0.3">
      <c r="B29" s="107" t="s">
        <v>315</v>
      </c>
      <c r="C29" s="96">
        <v>-18850014.610000003</v>
      </c>
      <c r="D29" s="96">
        <v>117299.99999999997</v>
      </c>
      <c r="E29" s="96">
        <v>-18732714.610000003</v>
      </c>
    </row>
    <row r="30" spans="2:5" ht="16.5" x14ac:dyDescent="0.3">
      <c r="B30" s="104" t="s">
        <v>626</v>
      </c>
      <c r="C30" s="96">
        <v>-143965283.75999999</v>
      </c>
      <c r="D30" s="96">
        <v>107466984.07999998</v>
      </c>
      <c r="E30" s="96">
        <v>-36498299.680000037</v>
      </c>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AF36"/>
  <sheetViews>
    <sheetView topLeftCell="V4" workbookViewId="0">
      <selection activeCell="U6" sqref="U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6" width="11.42578125" style="20"/>
    <col min="27" max="28" width="16.140625" style="20" bestFit="1" customWidth="1"/>
    <col min="29" max="30" width="15" style="20" bestFit="1" customWidth="1"/>
    <col min="31" max="31" width="16.140625" style="20" bestFit="1" customWidth="1"/>
    <col min="32" max="16384" width="11.42578125" style="20"/>
  </cols>
  <sheetData>
    <row r="2" spans="1:32" ht="15.75" thickBot="1" x14ac:dyDescent="0.3"/>
    <row r="3" spans="1:32" x14ac:dyDescent="0.25">
      <c r="A3" s="133"/>
      <c r="B3" s="134"/>
      <c r="C3" s="134"/>
      <c r="D3" s="134"/>
      <c r="E3" s="134"/>
      <c r="F3" s="135"/>
      <c r="H3" s="133"/>
      <c r="I3" s="134"/>
      <c r="J3" s="134"/>
      <c r="K3" s="134"/>
      <c r="L3" s="134"/>
      <c r="M3" s="134"/>
      <c r="N3" s="134"/>
      <c r="O3" s="135"/>
      <c r="Q3" s="133"/>
      <c r="R3" s="134"/>
      <c r="S3" s="134"/>
      <c r="T3" s="134"/>
      <c r="U3" s="134"/>
      <c r="V3" s="134"/>
      <c r="W3" s="135"/>
      <c r="Y3" s="133"/>
      <c r="Z3" s="134"/>
      <c r="AA3" s="134"/>
      <c r="AB3" s="134"/>
      <c r="AC3" s="134"/>
      <c r="AD3" s="134"/>
      <c r="AE3" s="134"/>
      <c r="AF3" s="135"/>
    </row>
    <row r="4" spans="1:32" ht="19.5" thickBot="1" x14ac:dyDescent="0.35">
      <c r="A4" s="136"/>
      <c r="B4" s="137" t="s">
        <v>570</v>
      </c>
      <c r="F4" s="138"/>
      <c r="H4" s="136"/>
      <c r="I4" s="137" t="s">
        <v>571</v>
      </c>
      <c r="O4" s="138"/>
      <c r="Q4" s="136"/>
      <c r="R4" s="137" t="s">
        <v>717</v>
      </c>
      <c r="W4" s="138"/>
      <c r="Y4" s="136"/>
      <c r="Z4" s="137" t="s">
        <v>771</v>
      </c>
      <c r="AF4" s="138"/>
    </row>
    <row r="5" spans="1:32" ht="15.75" thickBot="1" x14ac:dyDescent="0.3">
      <c r="A5" s="136"/>
      <c r="B5" s="5" t="s">
        <v>572</v>
      </c>
      <c r="C5" s="5" t="s">
        <v>573</v>
      </c>
      <c r="D5" s="5" t="s">
        <v>574</v>
      </c>
      <c r="E5" s="5" t="s">
        <v>575</v>
      </c>
      <c r="F5" s="139"/>
      <c r="G5" s="132"/>
      <c r="H5" s="136"/>
      <c r="I5" s="5" t="s">
        <v>576</v>
      </c>
      <c r="J5" s="5" t="s">
        <v>577</v>
      </c>
      <c r="K5" s="5" t="s">
        <v>578</v>
      </c>
      <c r="L5" s="5" t="s">
        <v>579</v>
      </c>
      <c r="M5" s="5" t="s">
        <v>580</v>
      </c>
      <c r="N5" s="5" t="s">
        <v>581</v>
      </c>
      <c r="O5" s="139"/>
      <c r="P5" s="132"/>
      <c r="Q5" s="136"/>
      <c r="R5" s="84" t="s">
        <v>714</v>
      </c>
      <c r="S5" s="87" t="s">
        <v>713</v>
      </c>
      <c r="T5" s="85" t="s">
        <v>715</v>
      </c>
      <c r="U5" s="87" t="s">
        <v>716</v>
      </c>
      <c r="V5" s="85" t="s">
        <v>390</v>
      </c>
      <c r="W5" s="145"/>
      <c r="Y5" s="136"/>
      <c r="Z5" s="5" t="s">
        <v>772</v>
      </c>
      <c r="AA5" s="5" t="s">
        <v>580</v>
      </c>
      <c r="AB5" s="5" t="s">
        <v>577</v>
      </c>
      <c r="AC5" s="5" t="s">
        <v>585</v>
      </c>
      <c r="AD5" s="5" t="s">
        <v>579</v>
      </c>
      <c r="AE5" s="5" t="s">
        <v>586</v>
      </c>
      <c r="AF5" s="138"/>
    </row>
    <row r="6" spans="1:32" ht="15.75" thickBot="1" x14ac:dyDescent="0.3">
      <c r="A6" s="136"/>
      <c r="B6" t="s">
        <v>580</v>
      </c>
      <c r="C6" s="140">
        <f>SUMIFS(DIARIO[Saldo],DIARIO[Estatus],"Saldo Inicial",DIARIO[Objeto de Gasto],"*SSRISS*")</f>
        <v>192078268.31999999</v>
      </c>
      <c r="D6" s="141">
        <f>SUMIFS(DIARIO[Saldo], DIARIO[Estatus],"Modificaciones",DIARIO[Objeto de Gasto],"*SSRISS*")</f>
        <v>0</v>
      </c>
      <c r="E6" s="25">
        <f>Tabla5[[#This Row],[APROBADO]]-Tabla5[[#This Row],[MODIFICACIONES]]</f>
        <v>192078268.31999999</v>
      </c>
      <c r="F6" s="142"/>
      <c r="G6" s="26"/>
      <c r="H6" s="136"/>
      <c r="I6" t="s">
        <v>584</v>
      </c>
      <c r="J6" s="140">
        <f>SUMIFS(DIARIO[Saldo],DIARIO[Estatus],"Saldo Inicial",DIARIO[Objeto de Gasto],"*VIH*")</f>
        <v>183420751.31</v>
      </c>
      <c r="K6" s="140">
        <f>SUMIFS(DIARIO[Saldo],DIARIO[Estatus],"Saldo Inicial",DIARIO[Objeto de Gasto],"*Malaria*")</f>
        <v>81855416.569999993</v>
      </c>
      <c r="L6" s="140">
        <f>SUMIFS(DIARIO[Saldo],DIARIO[Estatus],"Saldo Inicial",DIARIO[Objeto de Gasto],"*TB*")</f>
        <v>52589448.799999997</v>
      </c>
      <c r="M6" s="140">
        <f>SUMIFS(DIARIO[Saldo],DIARIO[Estatus],"Saldo Inicial",DIARIO[Objeto de Gasto],"*SSRISS*")</f>
        <v>192078268.31999999</v>
      </c>
      <c r="N6" s="140">
        <f>Tabla6[[#This Row],[VIH]]+Tabla6[[#This Row],[MARARIA]]+Tabla6[[#This Row],[TB]]+Tabla6[[#This Row],[SSRISS]]</f>
        <v>509943885</v>
      </c>
      <c r="O6" s="145"/>
      <c r="P6" s="41"/>
      <c r="Q6" s="136"/>
      <c r="R6" s="86">
        <f>N7/Tabla5[[#Totals],[DISPONIBLE]]</f>
        <v>0.28237060233798744</v>
      </c>
      <c r="S6" s="88">
        <f>N7</f>
        <v>143990338.25999999</v>
      </c>
      <c r="T6" s="89">
        <f>N8/Tabla5[[#Totals],[DISPONIBLE]]</f>
        <v>0.24422342876861383</v>
      </c>
      <c r="U6" s="90">
        <f>SUM(DIARIO[Pagado])/SUMIFS(DIARIO[Salida],DIARIO[Estatus],"Adjudicado")</f>
        <v>0.74634857712431635</v>
      </c>
      <c r="V6" s="91">
        <f>SUM(DIARIO[Pagado])</f>
        <v>107466984.07999998</v>
      </c>
      <c r="W6" s="138"/>
      <c r="Y6" s="136"/>
      <c r="Z6" s="5">
        <v>10000</v>
      </c>
      <c r="AA6" s="154">
        <f>SUMIFS(DIARIO[Entrada],DIARIO[Objeto de Gasto],"1*",DIARIO[Objeto de Gasto],"*SSRISS*")</f>
        <v>189915451.31999999</v>
      </c>
      <c r="AB6" s="154">
        <f>SUMIFS(DIARIO[Entrada],DIARIO[Objeto de Gasto],"1*",DIARIO[Objeto de Gasto],"*VIH*")</f>
        <v>44094786.310000002</v>
      </c>
      <c r="AC6" s="154">
        <f>SUMIFS(DIARIO[Entrada],DIARIO[Objeto de Gasto],"1*",DIARIO[Objeto de Gasto],"*MALARIA*")</f>
        <v>31918921.57</v>
      </c>
      <c r="AD6" s="154">
        <f>SUMIFS(DIARIO[Entrada],DIARIO[Objeto de Gasto],"1*",DIARIO[Objeto de Gasto],"*TB*")</f>
        <v>25699434.800000001</v>
      </c>
      <c r="AE6" s="155">
        <f>SUM(AA6:AD6)</f>
        <v>291628594</v>
      </c>
      <c r="AF6" s="138"/>
    </row>
    <row r="7" spans="1:32" x14ac:dyDescent="0.25">
      <c r="A7" s="136"/>
      <c r="B7" t="s">
        <v>577</v>
      </c>
      <c r="C7" s="140">
        <f>SUMIFS(DIARIO[Saldo],DIARIO[Estatus],"Saldo Inicial",DIARIO[Objeto de Gasto],"*VIH*")</f>
        <v>183420751.31</v>
      </c>
      <c r="D7" s="141">
        <f>SUMIFS(DIARIO[Saldo], DIARIO[Estatus],"Modificaciones",DIARIO[Objeto de Gasto],"*VIH*")</f>
        <v>232334.82135864813</v>
      </c>
      <c r="E7" s="25">
        <f>Tabla5[[#This Row],[APROBADO]]-Tabla5[[#This Row],[MODIFICACIONES]]</f>
        <v>183188416.48864135</v>
      </c>
      <c r="F7" s="142"/>
      <c r="G7" s="26"/>
      <c r="H7" s="136"/>
      <c r="I7" t="s">
        <v>583</v>
      </c>
      <c r="J7" s="140">
        <f>-SUMIFS(DIARIO[Saldo],DIARIO[Estatus],"Adjudicado",DIARIO[Objeto de Gasto],"*VIH*")</f>
        <v>43559330.16599299</v>
      </c>
      <c r="K7" s="140">
        <f>-SUMIFS(DIARIO[Saldo],DIARIO[Estatus],"Adjudicado",DIARIO[Objeto de Gasto],"*Malaria*")</f>
        <v>29967685.267634738</v>
      </c>
      <c r="L7" s="140">
        <f>-SUMIFS(DIARIO[Saldo],DIARIO[Estatus],"Adjudicado",DIARIO[Objeto de Gasto],"*TB*")</f>
        <v>12403474.608146966</v>
      </c>
      <c r="M7" s="140">
        <f>-SUMIFS(DIARIO[Saldo],DIARIO[Estatus],"Adjudicado",DIARIO[Objeto de Gasto],"*SSRISS*")</f>
        <v>58059848.218225315</v>
      </c>
      <c r="N7" s="140">
        <f>Tabla6[[#This Row],[VIH]]+Tabla6[[#This Row],[MARARIA]]+Tabla6[[#This Row],[TB]]+Tabla6[[#This Row],[SSRISS]]</f>
        <v>143990338.25999999</v>
      </c>
      <c r="O7" s="145"/>
      <c r="P7" s="41"/>
      <c r="Q7" s="136"/>
      <c r="W7" s="138"/>
      <c r="Y7" s="136"/>
      <c r="Z7" s="5">
        <v>20000</v>
      </c>
      <c r="AA7" s="154">
        <f>SUMIFS(DIARIO[Entrada],DIARIO[Objeto de Gasto],"2*",DIARIO[Objeto de Gasto],"*SSRISS*")</f>
        <v>1398254</v>
      </c>
      <c r="AB7" s="154">
        <f>SUMIFS(DIARIO[Entrada],DIARIO[Objeto de Gasto],"2*",DIARIO[Objeto de Gasto],"*VIH*")</f>
        <v>6726958</v>
      </c>
      <c r="AC7" s="154">
        <f>SUMIFS(DIARIO[Entrada],DIARIO[Objeto de Gasto],"2*",DIARIO[Objeto de Gasto],"*MALARIA*")</f>
        <v>2607845</v>
      </c>
      <c r="AD7" s="154">
        <f>SUMIFS(DIARIO[Entrada],DIARIO[Objeto de Gasto],"2*",DIARIO[Objeto de Gasto],"*TB*")</f>
        <v>3543620</v>
      </c>
      <c r="AE7" s="155">
        <f t="shared" ref="AE7:AE10" si="0">SUM(AA7:AD7)</f>
        <v>14276677</v>
      </c>
      <c r="AF7" s="138"/>
    </row>
    <row r="8" spans="1:32" x14ac:dyDescent="0.25">
      <c r="A8" s="136"/>
      <c r="B8" t="s">
        <v>585</v>
      </c>
      <c r="C8" s="140">
        <f>SUMIFS(DIARIO[Saldo],DIARIO[Estatus],"Saldo Inicial",DIARIO[Objeto de Gasto],"*Malaria*")</f>
        <v>81855416.569999993</v>
      </c>
      <c r="D8" s="141">
        <f>SUMIFS(DIARIO[Saldo], DIARIO[Estatus],"Modificaciones",DIARIO[Objeto de Gasto],"*Malaria*")</f>
        <v>-411786.29475672456</v>
      </c>
      <c r="E8" s="25">
        <f>Tabla5[[#This Row],[APROBADO]]-Tabla5[[#This Row],[MODIFICACIONES]]</f>
        <v>82267202.864756718</v>
      </c>
      <c r="F8" s="142"/>
      <c r="G8" s="26"/>
      <c r="H8" s="136"/>
      <c r="I8" t="s">
        <v>582</v>
      </c>
      <c r="J8" s="140">
        <f>-SUMIFS(DIARIO[Saldo],DIARIO[Estatus],"Proceso",DIARIO[Objeto de Gasto],"*VIH*")</f>
        <v>69117735.949455872</v>
      </c>
      <c r="K8" s="140">
        <f>-SUMIFS(DIARIO[Saldo],DIARIO[Estatus],"Proceso",DIARIO[Objeto de Gasto],"*Malaria*")</f>
        <v>26702133.925780177</v>
      </c>
      <c r="L8" s="140">
        <f>-SUMIFS(DIARIO[Saldo],DIARIO[Estatus],"Proceso",DIARIO[Objeto de Gasto],"*TB*")</f>
        <v>28462931.964763954</v>
      </c>
      <c r="M8" s="140">
        <f>-SUMIFS(DIARIO[Saldo],DIARIO[Estatus],"Proceso",DIARIO[Objeto de Gasto],"*SSRISS*")</f>
        <v>255000</v>
      </c>
      <c r="N8" s="140">
        <f>Tabla6[[#This Row],[VIH]]+Tabla6[[#This Row],[MARARIA]]+Tabla6[[#This Row],[TB]]+Tabla6[[#This Row],[SSRISS]]</f>
        <v>124537801.84</v>
      </c>
      <c r="O8" s="145"/>
      <c r="P8" s="41"/>
      <c r="Q8" s="136"/>
      <c r="W8" s="138"/>
      <c r="Y8" s="136"/>
      <c r="Z8" s="5">
        <v>30000</v>
      </c>
      <c r="AA8" s="154">
        <f>SUMIFS(DIARIO[Entrada],DIARIO[Objeto de Gasto],"3*",DIARIO[Objeto de Gasto],"*SSRISS*")</f>
        <v>732763</v>
      </c>
      <c r="AB8" s="154">
        <f>SUMIFS(DIARIO[Entrada],DIARIO[Objeto de Gasto],"3*",DIARIO[Objeto de Gasto],"*VIH*")</f>
        <v>121577769.82135865</v>
      </c>
      <c r="AC8" s="154">
        <f>SUMIFS(DIARIO[Entrada],DIARIO[Objeto de Gasto],"3*",DIARIO[Objeto de Gasto],"*MALARIA*")</f>
        <v>41088773.705243275</v>
      </c>
      <c r="AD8" s="154">
        <f>SUMIFS(DIARIO[Entrada],DIARIO[Objeto de Gasto],"3*",DIARIO[Objeto de Gasto],"*TB*")</f>
        <v>18929798.473398078</v>
      </c>
      <c r="AE8" s="155">
        <f t="shared" si="0"/>
        <v>182329105</v>
      </c>
      <c r="AF8" s="138"/>
    </row>
    <row r="9" spans="1:32" x14ac:dyDescent="0.25">
      <c r="A9" s="136"/>
      <c r="B9" t="s">
        <v>579</v>
      </c>
      <c r="C9" s="140">
        <f>SUMIFS(DIARIO[Saldo],DIARIO[Estatus],"Saldo Inicial",DIARIO[Objeto de Gasto],"*TB*")</f>
        <v>52589448.799999997</v>
      </c>
      <c r="D9" s="141">
        <f>SUMIFS(DIARIO[Saldo], DIARIO[Estatus],"Modificaciones",DIARIO[Objeto de Gasto],"*TB*")</f>
        <v>189451.47339807643</v>
      </c>
      <c r="E9" s="25">
        <f>Tabla5[[#This Row],[APROBADO]]-Tabla5[[#This Row],[MODIFICACIONES]]</f>
        <v>52399997.326601923</v>
      </c>
      <c r="F9" s="142"/>
      <c r="G9" s="26"/>
      <c r="H9" s="136"/>
      <c r="I9" s="143" t="s">
        <v>575</v>
      </c>
      <c r="J9" s="151">
        <f>J6-J7-J8</f>
        <v>70743685.194551155</v>
      </c>
      <c r="K9" s="151">
        <f t="shared" ref="K9:M9" si="1">K6-K7-K8</f>
        <v>25185597.376585081</v>
      </c>
      <c r="L9" s="151">
        <f t="shared" si="1"/>
        <v>11723042.227089077</v>
      </c>
      <c r="M9" s="151">
        <f t="shared" si="1"/>
        <v>133763420.10177468</v>
      </c>
      <c r="N9" s="151">
        <f>N6-N7-N8</f>
        <v>241415744.90000001</v>
      </c>
      <c r="O9" s="152"/>
      <c r="P9" s="150"/>
      <c r="Q9" s="136"/>
      <c r="W9" s="138"/>
      <c r="Y9" s="136"/>
      <c r="Z9" s="5">
        <v>40000</v>
      </c>
      <c r="AA9" s="154">
        <f>SUMIFS(DIARIO[Entrada],DIARIO[Objeto de Gasto],"4*",DIARIO[Objeto de Gasto],"*SSRISS*")</f>
        <v>30000</v>
      </c>
      <c r="AB9" s="154">
        <f>SUMIFS(DIARIO[Entrada],DIARIO[Objeto de Gasto],"4*",DIARIO[Objeto de Gasto],"*VIH*")</f>
        <v>11253572</v>
      </c>
      <c r="AC9" s="154">
        <f>SUMIFS(DIARIO[Entrada],DIARIO[Objeto de Gasto],"4*",DIARIO[Objeto de Gasto],"*MALARIA*")</f>
        <v>7725203</v>
      </c>
      <c r="AD9" s="154">
        <f>SUMIFS(DIARIO[Entrada],DIARIO[Objeto de Gasto],"4*",DIARIO[Objeto de Gasto],"*TB*")</f>
        <v>4606047</v>
      </c>
      <c r="AE9" s="155">
        <f t="shared" si="0"/>
        <v>23614822</v>
      </c>
      <c r="AF9" s="138"/>
    </row>
    <row r="10" spans="1:32" x14ac:dyDescent="0.25">
      <c r="A10" s="136"/>
      <c r="B10" s="143" t="s">
        <v>586</v>
      </c>
      <c r="C10" s="25">
        <f>SUBTOTAL(109,Tabla5[APROBADO])</f>
        <v>509943885</v>
      </c>
      <c r="D10" s="144">
        <f>SUBTOTAL(109,Tabla5[MODIFICACIONES])</f>
        <v>10000</v>
      </c>
      <c r="E10" s="25">
        <f>SUBTOTAL(109,Tabla5[DISPONIBLE])</f>
        <v>509933884.99999994</v>
      </c>
      <c r="F10" s="142"/>
      <c r="G10" s="26"/>
      <c r="H10" s="136"/>
      <c r="O10" s="138"/>
      <c r="Q10" s="136"/>
      <c r="W10" s="138"/>
      <c r="Y10" s="136"/>
      <c r="Z10" s="5">
        <v>50000</v>
      </c>
      <c r="AA10" s="154">
        <f>SUMIFS(DIARIO[Entrada],DIARIO[Objeto de Gasto],"5*",DIARIO[Objeto de Gasto],"*SSRISS*")</f>
        <v>1800</v>
      </c>
      <c r="AB10" s="154">
        <f>SUMIFS(DIARIO[Entrada],DIARIO[Objeto de Gasto],"5*",DIARIO[Objeto de Gasto],"*VIH*")</f>
        <v>0</v>
      </c>
      <c r="AC10" s="154">
        <f>SUMIFS(DIARIO[Entrada],DIARIO[Objeto de Gasto],"5*",DIARIO[Objeto de Gasto],"*MALARIA*")</f>
        <v>0</v>
      </c>
      <c r="AD10" s="154">
        <f>SUMIFS(DIARIO[Entrada],DIARIO[Objeto de Gasto],"5*",DIARIO[Objeto de Gasto],"*TB*")</f>
        <v>0</v>
      </c>
      <c r="AE10" s="155">
        <f t="shared" si="0"/>
        <v>1800</v>
      </c>
      <c r="AF10" s="138"/>
    </row>
    <row r="11" spans="1:32" x14ac:dyDescent="0.25">
      <c r="A11" s="136"/>
      <c r="F11" s="138"/>
      <c r="H11" s="136"/>
      <c r="O11" s="138"/>
      <c r="Q11" s="136"/>
      <c r="W11" s="138"/>
      <c r="Y11" s="136"/>
      <c r="AF11" s="138"/>
    </row>
    <row r="12" spans="1:32" x14ac:dyDescent="0.25">
      <c r="A12" s="136"/>
      <c r="F12" s="138"/>
      <c r="H12" s="136"/>
      <c r="O12" s="138"/>
      <c r="Q12" s="136"/>
      <c r="W12" s="138"/>
      <c r="Y12" s="136"/>
      <c r="AF12" s="138"/>
    </row>
    <row r="13" spans="1:32" x14ac:dyDescent="0.25">
      <c r="A13" s="136"/>
      <c r="F13" s="138"/>
      <c r="H13" s="136"/>
      <c r="O13" s="138"/>
      <c r="Q13" s="136"/>
      <c r="W13" s="138"/>
      <c r="Y13" s="136"/>
      <c r="AF13" s="138"/>
    </row>
    <row r="14" spans="1:32" x14ac:dyDescent="0.25">
      <c r="A14" s="136"/>
      <c r="F14" s="138"/>
      <c r="H14" s="136"/>
      <c r="O14" s="138"/>
      <c r="Q14" s="136"/>
      <c r="W14" s="138"/>
      <c r="Y14" s="136"/>
      <c r="AF14" s="138"/>
    </row>
    <row r="15" spans="1:32" x14ac:dyDescent="0.25">
      <c r="A15" s="136"/>
      <c r="F15" s="138"/>
      <c r="H15" s="136"/>
      <c r="O15" s="138"/>
      <c r="Q15" s="136"/>
      <c r="W15" s="138"/>
      <c r="Y15" s="136"/>
      <c r="AF15" s="138"/>
    </row>
    <row r="16" spans="1:32" x14ac:dyDescent="0.25">
      <c r="A16" s="136"/>
      <c r="F16" s="138"/>
      <c r="H16" s="136"/>
      <c r="O16" s="138"/>
      <c r="Q16" s="136"/>
      <c r="W16" s="138"/>
      <c r="Y16" s="136"/>
      <c r="AF16" s="138"/>
    </row>
    <row r="17" spans="1:32" x14ac:dyDescent="0.25">
      <c r="A17" s="136"/>
      <c r="F17" s="138"/>
      <c r="H17" s="136"/>
      <c r="O17" s="138"/>
      <c r="Q17" s="136"/>
      <c r="W17" s="138"/>
      <c r="Y17" s="136"/>
      <c r="AF17" s="138"/>
    </row>
    <row r="18" spans="1:32" x14ac:dyDescent="0.25">
      <c r="A18" s="136"/>
      <c r="F18" s="138"/>
      <c r="H18" s="136"/>
      <c r="O18" s="138"/>
      <c r="Q18" s="136"/>
      <c r="W18" s="138"/>
      <c r="Y18" s="136"/>
      <c r="AF18" s="138"/>
    </row>
    <row r="19" spans="1:32" x14ac:dyDescent="0.25">
      <c r="A19" s="136"/>
      <c r="F19" s="138"/>
      <c r="H19" s="136"/>
      <c r="O19" s="138"/>
      <c r="Q19" s="136"/>
      <c r="W19" s="138"/>
      <c r="Y19" s="136"/>
      <c r="AF19" s="138"/>
    </row>
    <row r="20" spans="1:32" x14ac:dyDescent="0.25">
      <c r="A20" s="136"/>
      <c r="F20" s="138"/>
      <c r="H20" s="136"/>
      <c r="O20" s="138"/>
      <c r="Q20" s="136"/>
      <c r="W20" s="138"/>
      <c r="Y20" s="136"/>
      <c r="AF20" s="138"/>
    </row>
    <row r="21" spans="1:32" x14ac:dyDescent="0.25">
      <c r="A21" s="136"/>
      <c r="F21" s="138"/>
      <c r="H21" s="136"/>
      <c r="O21" s="138"/>
      <c r="Q21" s="136"/>
      <c r="W21" s="138"/>
      <c r="Y21" s="136"/>
      <c r="AF21" s="138"/>
    </row>
    <row r="22" spans="1:32" x14ac:dyDescent="0.25">
      <c r="A22" s="136"/>
      <c r="F22" s="138"/>
      <c r="H22" s="136"/>
      <c r="O22" s="138"/>
      <c r="Q22" s="136"/>
      <c r="W22" s="138"/>
      <c r="Y22" s="136"/>
      <c r="AF22" s="138"/>
    </row>
    <row r="23" spans="1:32" x14ac:dyDescent="0.25">
      <c r="A23" s="136"/>
      <c r="F23" s="138"/>
      <c r="H23" s="136"/>
      <c r="O23" s="138"/>
      <c r="Q23" s="136"/>
      <c r="W23" s="138"/>
      <c r="Y23" s="136"/>
      <c r="AF23" s="138"/>
    </row>
    <row r="24" spans="1:32" x14ac:dyDescent="0.25">
      <c r="A24" s="136"/>
      <c r="F24" s="138"/>
      <c r="H24" s="136"/>
      <c r="O24" s="138"/>
      <c r="Q24" s="136"/>
      <c r="W24" s="138"/>
      <c r="Y24" s="136"/>
      <c r="AF24" s="138"/>
    </row>
    <row r="25" spans="1:32" x14ac:dyDescent="0.25">
      <c r="A25" s="136"/>
      <c r="F25" s="138"/>
      <c r="H25" s="136"/>
      <c r="M25" s="26"/>
      <c r="O25" s="138"/>
      <c r="Q25" s="136"/>
      <c r="W25" s="138"/>
      <c r="Y25" s="136"/>
      <c r="AF25" s="138"/>
    </row>
    <row r="26" spans="1:32" x14ac:dyDescent="0.25">
      <c r="A26" s="136"/>
      <c r="F26" s="138"/>
      <c r="H26" s="136"/>
      <c r="O26" s="138"/>
      <c r="Q26" s="136"/>
      <c r="W26" s="138"/>
      <c r="Y26" s="136"/>
      <c r="AF26" s="138"/>
    </row>
    <row r="27" spans="1:32" x14ac:dyDescent="0.25">
      <c r="A27" s="136"/>
      <c r="F27" s="138"/>
      <c r="H27" s="136"/>
      <c r="O27" s="138"/>
      <c r="Q27" s="136"/>
      <c r="W27" s="138"/>
      <c r="Y27" s="136"/>
      <c r="AF27" s="138"/>
    </row>
    <row r="28" spans="1:32" x14ac:dyDescent="0.25">
      <c r="A28" s="136"/>
      <c r="B28"/>
      <c r="C28" s="140"/>
      <c r="D28" s="140"/>
      <c r="E28" s="140"/>
      <c r="F28" s="145"/>
      <c r="G28" s="149"/>
      <c r="H28" s="153"/>
      <c r="I28" s="140"/>
      <c r="O28" s="138"/>
      <c r="Q28" s="136"/>
      <c r="W28" s="138"/>
      <c r="Y28" s="136"/>
      <c r="AF28" s="138"/>
    </row>
    <row r="29" spans="1:32" x14ac:dyDescent="0.25">
      <c r="A29" s="136"/>
      <c r="F29" s="138"/>
      <c r="H29" s="136"/>
      <c r="O29" s="138"/>
      <c r="Q29" s="136"/>
      <c r="W29" s="138"/>
      <c r="Y29" s="136"/>
      <c r="AF29" s="138"/>
    </row>
    <row r="30" spans="1:32" x14ac:dyDescent="0.25">
      <c r="A30" s="136"/>
      <c r="F30" s="138"/>
      <c r="H30" s="136"/>
      <c r="O30" s="138"/>
      <c r="Q30" s="136"/>
      <c r="W30" s="138"/>
      <c r="Y30" s="136"/>
      <c r="AF30" s="138"/>
    </row>
    <row r="31" spans="1:32" x14ac:dyDescent="0.25">
      <c r="A31" s="136"/>
      <c r="F31" s="138"/>
      <c r="H31" s="136"/>
      <c r="O31" s="138"/>
      <c r="Q31" s="136"/>
      <c r="W31" s="138"/>
      <c r="Y31" s="136"/>
      <c r="AF31" s="138"/>
    </row>
    <row r="32" spans="1:32" x14ac:dyDescent="0.25">
      <c r="A32" s="136"/>
      <c r="F32" s="138"/>
      <c r="H32" s="136"/>
      <c r="O32" s="138"/>
      <c r="Q32" s="136"/>
      <c r="W32" s="138"/>
      <c r="Y32" s="136"/>
      <c r="AF32" s="138"/>
    </row>
    <row r="33" spans="1:32" x14ac:dyDescent="0.25">
      <c r="A33" s="136"/>
      <c r="F33" s="138"/>
      <c r="H33" s="136"/>
      <c r="O33" s="138"/>
      <c r="Q33" s="136"/>
      <c r="W33" s="138"/>
      <c r="Y33" s="136"/>
      <c r="AF33" s="138"/>
    </row>
    <row r="34" spans="1:32" x14ac:dyDescent="0.25">
      <c r="A34" s="136"/>
      <c r="F34" s="138"/>
      <c r="H34" s="136"/>
      <c r="O34" s="138"/>
      <c r="Q34" s="136"/>
      <c r="W34" s="138"/>
      <c r="Y34" s="136"/>
      <c r="AF34" s="138"/>
    </row>
    <row r="35" spans="1:32" ht="15.75" thickBot="1" x14ac:dyDescent="0.3">
      <c r="A35" s="146"/>
      <c r="B35" s="147"/>
      <c r="C35" s="147"/>
      <c r="D35" s="147"/>
      <c r="E35" s="147"/>
      <c r="F35" s="148"/>
      <c r="H35" s="146"/>
      <c r="I35" s="147"/>
      <c r="J35" s="147"/>
      <c r="K35" s="147"/>
      <c r="L35" s="147"/>
      <c r="M35" s="147"/>
      <c r="N35" s="147"/>
      <c r="O35" s="148"/>
      <c r="Q35" s="146"/>
      <c r="R35" s="147"/>
      <c r="S35" s="147"/>
      <c r="T35" s="147"/>
      <c r="U35" s="147"/>
      <c r="V35" s="147"/>
      <c r="W35" s="148"/>
      <c r="Y35" s="146"/>
      <c r="Z35" s="147"/>
      <c r="AA35" s="147"/>
      <c r="AB35" s="147"/>
      <c r="AC35" s="147"/>
      <c r="AD35" s="147"/>
      <c r="AE35" s="147"/>
      <c r="AF35" s="148"/>
    </row>
    <row r="36" spans="1:32" x14ac:dyDescent="0.25">
      <c r="B36" s="81"/>
    </row>
  </sheetData>
  <pageMargins left="0.7" right="0.7" top="0.75" bottom="0.75" header="0.3" footer="0.3"/>
  <ignoredErrors>
    <ignoredError sqref="J7:M8" calculatedColumn="1"/>
  </ignoredErrors>
  <drawing r:id="rId1"/>
  <legacyDrawing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6" t="s">
        <v>589</v>
      </c>
      <c r="B1" s="76" t="s">
        <v>590</v>
      </c>
      <c r="C1" s="76" t="s">
        <v>374</v>
      </c>
      <c r="D1" s="76" t="s">
        <v>591</v>
      </c>
      <c r="E1" s="76" t="s">
        <v>592</v>
      </c>
      <c r="F1" s="77" t="s">
        <v>593</v>
      </c>
      <c r="G1" s="78" t="s">
        <v>594</v>
      </c>
      <c r="H1" s="76" t="s">
        <v>595</v>
      </c>
      <c r="I1" s="78" t="s">
        <v>596</v>
      </c>
      <c r="J1" s="79" t="s">
        <v>597</v>
      </c>
      <c r="K1" s="76" t="s">
        <v>10</v>
      </c>
    </row>
    <row r="2" spans="1:11" x14ac:dyDescent="0.25">
      <c r="B2" t="s">
        <v>433</v>
      </c>
      <c r="C2" s="5">
        <v>35252</v>
      </c>
      <c r="D2" t="s">
        <v>598</v>
      </c>
      <c r="F2" t="s">
        <v>603</v>
      </c>
      <c r="H2" s="24">
        <f>66125+17250+2300000</f>
        <v>2383375</v>
      </c>
      <c r="I2" s="25">
        <v>0</v>
      </c>
      <c r="J2" s="23">
        <v>102</v>
      </c>
      <c r="K2" t="s">
        <v>615</v>
      </c>
    </row>
    <row r="3" spans="1:11" x14ac:dyDescent="0.25">
      <c r="B3" t="s">
        <v>433</v>
      </c>
      <c r="C3" s="5">
        <v>35252</v>
      </c>
      <c r="D3" t="s">
        <v>598</v>
      </c>
      <c r="F3" t="s">
        <v>604</v>
      </c>
      <c r="H3" s="24">
        <f>2616480+876185+165600+10120+5520+358800+12075000</f>
        <v>16107705</v>
      </c>
      <c r="I3" s="25">
        <v>0</v>
      </c>
      <c r="J3" s="23">
        <v>102</v>
      </c>
      <c r="K3" t="s">
        <v>615</v>
      </c>
    </row>
    <row r="4" spans="1:11" x14ac:dyDescent="0.25">
      <c r="B4" t="s">
        <v>433</v>
      </c>
      <c r="C4" s="5">
        <v>35252</v>
      </c>
      <c r="D4" t="s">
        <v>598</v>
      </c>
      <c r="F4" t="s">
        <v>605</v>
      </c>
      <c r="H4" s="24">
        <f>2597905.2+2460080+56007.3</f>
        <v>5113992.5</v>
      </c>
      <c r="I4" s="25">
        <f t="shared" ref="I4:I5" si="0">H4</f>
        <v>5113992.5</v>
      </c>
      <c r="J4" s="23">
        <v>102</v>
      </c>
    </row>
    <row r="5" spans="1:11" x14ac:dyDescent="0.25">
      <c r="B5" t="s">
        <v>438</v>
      </c>
      <c r="C5" s="5">
        <v>39520</v>
      </c>
      <c r="D5" t="s">
        <v>599</v>
      </c>
      <c r="F5" t="s">
        <v>606</v>
      </c>
      <c r="H5" s="24">
        <v>457107.5</v>
      </c>
      <c r="I5" s="25">
        <f t="shared" si="0"/>
        <v>457107.5</v>
      </c>
      <c r="J5" s="23">
        <v>102</v>
      </c>
    </row>
    <row r="6" spans="1:11" x14ac:dyDescent="0.25">
      <c r="B6" t="s">
        <v>438</v>
      </c>
      <c r="C6" s="5">
        <v>39520</v>
      </c>
      <c r="D6" t="s">
        <v>599</v>
      </c>
      <c r="F6" t="s">
        <v>607</v>
      </c>
      <c r="H6" s="24">
        <v>75040</v>
      </c>
      <c r="I6" s="80">
        <v>0</v>
      </c>
      <c r="J6" s="23">
        <v>102</v>
      </c>
      <c r="K6" t="s">
        <v>615</v>
      </c>
    </row>
    <row r="7" spans="1:11" x14ac:dyDescent="0.25">
      <c r="B7" t="s">
        <v>438</v>
      </c>
      <c r="C7" s="5">
        <v>39520</v>
      </c>
      <c r="D7" t="s">
        <v>599</v>
      </c>
      <c r="F7" t="s">
        <v>604</v>
      </c>
      <c r="H7" s="24">
        <v>1692588.35</v>
      </c>
      <c r="I7" s="25">
        <f>H7</f>
        <v>1692588.35</v>
      </c>
      <c r="J7" s="23">
        <v>102</v>
      </c>
    </row>
    <row r="8" spans="1:11" x14ac:dyDescent="0.25">
      <c r="B8" t="s">
        <v>443</v>
      </c>
      <c r="C8" s="5">
        <v>42420</v>
      </c>
      <c r="D8" t="s">
        <v>600</v>
      </c>
      <c r="F8" t="s">
        <v>604</v>
      </c>
      <c r="H8" s="24">
        <v>28520</v>
      </c>
      <c r="I8" s="25">
        <f t="shared" ref="I8:I17" si="1">H8</f>
        <v>28520</v>
      </c>
      <c r="J8" s="23">
        <v>102</v>
      </c>
    </row>
    <row r="9" spans="1:11" x14ac:dyDescent="0.25">
      <c r="B9" t="s">
        <v>443</v>
      </c>
      <c r="C9" s="5">
        <v>42420</v>
      </c>
      <c r="D9" t="s">
        <v>600</v>
      </c>
      <c r="F9" t="s">
        <v>608</v>
      </c>
      <c r="H9" s="24">
        <v>2283900</v>
      </c>
      <c r="I9" s="25">
        <f t="shared" si="1"/>
        <v>2283900</v>
      </c>
      <c r="J9" s="23">
        <v>102</v>
      </c>
    </row>
    <row r="10" spans="1:11" x14ac:dyDescent="0.25">
      <c r="B10" t="s">
        <v>443</v>
      </c>
      <c r="C10" s="5">
        <v>42420</v>
      </c>
      <c r="D10" t="s">
        <v>600</v>
      </c>
      <c r="F10" t="s">
        <v>609</v>
      </c>
      <c r="H10" s="24">
        <v>4130959.43</v>
      </c>
      <c r="I10" s="25">
        <f t="shared" si="1"/>
        <v>4130959.43</v>
      </c>
      <c r="J10" s="23">
        <v>102</v>
      </c>
    </row>
    <row r="11" spans="1:11" x14ac:dyDescent="0.25">
      <c r="B11" t="s">
        <v>443</v>
      </c>
      <c r="C11" s="5">
        <v>42420</v>
      </c>
      <c r="D11" t="s">
        <v>600</v>
      </c>
      <c r="F11" t="s">
        <v>610</v>
      </c>
      <c r="H11" s="24">
        <v>117300</v>
      </c>
      <c r="I11" s="25">
        <f t="shared" si="1"/>
        <v>117300</v>
      </c>
      <c r="J11" s="23">
        <v>102</v>
      </c>
    </row>
    <row r="12" spans="1:11" x14ac:dyDescent="0.25">
      <c r="B12" t="s">
        <v>443</v>
      </c>
      <c r="C12" s="5">
        <v>42420</v>
      </c>
      <c r="D12" t="s">
        <v>600</v>
      </c>
      <c r="F12" t="s">
        <v>611</v>
      </c>
      <c r="H12" s="24">
        <v>12289335.24</v>
      </c>
      <c r="I12" s="25">
        <f t="shared" si="1"/>
        <v>12289335.24</v>
      </c>
      <c r="J12" s="23">
        <v>102</v>
      </c>
    </row>
    <row r="13" spans="1:11" x14ac:dyDescent="0.25">
      <c r="B13" t="s">
        <v>449</v>
      </c>
      <c r="C13" s="5">
        <v>35251</v>
      </c>
      <c r="D13" t="s">
        <v>601</v>
      </c>
      <c r="F13" t="s">
        <v>604</v>
      </c>
      <c r="H13" s="24">
        <v>389530</v>
      </c>
      <c r="I13" s="25">
        <f t="shared" si="1"/>
        <v>389530</v>
      </c>
      <c r="J13" s="23">
        <v>102</v>
      </c>
    </row>
    <row r="14" spans="1:11" x14ac:dyDescent="0.25">
      <c r="B14" t="s">
        <v>454</v>
      </c>
      <c r="C14" s="5">
        <v>39540</v>
      </c>
      <c r="D14" t="s">
        <v>602</v>
      </c>
      <c r="F14" t="s">
        <v>612</v>
      </c>
      <c r="H14" s="24">
        <v>89700</v>
      </c>
      <c r="I14" s="25">
        <f t="shared" si="1"/>
        <v>89700</v>
      </c>
      <c r="J14" s="23">
        <v>102</v>
      </c>
    </row>
    <row r="15" spans="1:11" x14ac:dyDescent="0.25">
      <c r="B15" t="s">
        <v>454</v>
      </c>
      <c r="C15" s="5">
        <v>39540</v>
      </c>
      <c r="D15" t="s">
        <v>602</v>
      </c>
      <c r="F15" t="s">
        <v>613</v>
      </c>
      <c r="H15" s="24">
        <v>61099.5</v>
      </c>
      <c r="I15" s="25">
        <f t="shared" si="1"/>
        <v>61099.5</v>
      </c>
      <c r="J15" s="23">
        <v>102</v>
      </c>
    </row>
    <row r="16" spans="1:11" x14ac:dyDescent="0.25">
      <c r="B16" t="s">
        <v>454</v>
      </c>
      <c r="C16" s="5">
        <v>39540</v>
      </c>
      <c r="D16" t="s">
        <v>602</v>
      </c>
      <c r="F16" t="s">
        <v>614</v>
      </c>
      <c r="H16" s="24">
        <v>17900</v>
      </c>
      <c r="I16" s="25">
        <f t="shared" si="1"/>
        <v>17900</v>
      </c>
      <c r="J16" s="23">
        <v>102</v>
      </c>
    </row>
    <row r="17" spans="2:10" x14ac:dyDescent="0.25">
      <c r="B17" t="s">
        <v>454</v>
      </c>
      <c r="C17" s="5">
        <v>39540</v>
      </c>
      <c r="D17" t="s">
        <v>602</v>
      </c>
      <c r="F17" t="s">
        <v>606</v>
      </c>
      <c r="H17" s="24">
        <v>109250</v>
      </c>
      <c r="I17" s="25">
        <f t="shared" si="1"/>
        <v>109250</v>
      </c>
      <c r="J17" s="23">
        <v>102</v>
      </c>
    </row>
    <row r="18" spans="2:10" x14ac:dyDescent="0.25">
      <c r="C18" s="23">
        <v>42110</v>
      </c>
      <c r="D18" t="s">
        <v>616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CATALOGO y LISTAS</vt:lpstr>
      <vt:lpstr>BUSCADOR</vt:lpstr>
      <vt:lpstr>BASE DE DATOS</vt:lpstr>
      <vt:lpstr>Hoja2</vt:lpstr>
      <vt:lpstr>REPORTE</vt:lpstr>
      <vt:lpstr>Hoja1</vt:lpstr>
      <vt:lpstr>PAGADO</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DELL</cp:lastModifiedBy>
  <cp:revision/>
  <cp:lastPrinted>2024-06-03T21:24:18Z</cp:lastPrinted>
  <dcterms:created xsi:type="dcterms:W3CDTF">2023-11-01T20:37:46Z</dcterms:created>
  <dcterms:modified xsi:type="dcterms:W3CDTF">2024-06-05T16:32:12Z</dcterms:modified>
  <cp:category/>
  <cp:contentStatus/>
</cp:coreProperties>
</file>