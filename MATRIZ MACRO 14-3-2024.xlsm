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5.xml" ContentType="application/vnd.openxmlformats-officedocument.spreadsheetml.table+xml"/>
  <Override PartName="/xl/pivotTables/pivotTable1.xml" ContentType="application/vnd.openxmlformats-officedocument.spreadsheetml.pivot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hidePivotFieldList="1" defaultThemeVersion="166925"/>
  <mc:AlternateContent xmlns:mc="http://schemas.openxmlformats.org/markup-compatibility/2006">
    <mc:Choice Requires="x15">
      <x15ac:absPath xmlns:x15ac="http://schemas.microsoft.com/office/spreadsheetml/2010/11/ac" url="C:\Users\NIMROD\Documents\GitHub\Matrices\"/>
    </mc:Choice>
  </mc:AlternateContent>
  <xr:revisionPtr revIDLastSave="0" documentId="13_ncr:1_{2BE03ACE-51D3-4847-9AB5-585CA17F2016}" xr6:coauthVersionLast="47" xr6:coauthVersionMax="47" xr10:uidLastSave="{00000000-0000-0000-0000-000000000000}"/>
  <bookViews>
    <workbookView xWindow="-120" yWindow="-120" windowWidth="20730" windowHeight="11040" firstSheet="3" activeTab="4" xr2:uid="{2FB2480B-EF2B-43D5-879D-FA457C0551FB}"/>
  </bookViews>
  <sheets>
    <sheet name="CATALOGO y LISTAS" sheetId="1" state="hidden" r:id="rId1"/>
    <sheet name="BUSCADOR" sheetId="6" state="hidden" r:id="rId2"/>
    <sheet name="Cedula para utiles." sheetId="8" state="hidden" r:id="rId3"/>
    <sheet name="PAGADO" sheetId="5" r:id="rId4"/>
    <sheet name="BASE DE DATOS" sheetId="2" r:id="rId5"/>
    <sheet name="ANALISIS" sheetId="4" r:id="rId6"/>
    <sheet name="REPORTE" sheetId="3" r:id="rId7"/>
    <sheet name="compromisos" sheetId="7" state="hidden" r:id="rId8"/>
  </sheets>
  <definedNames>
    <definedName name="_xlnm.Print_Area" localSheetId="3">PAGADO!$B$2:$E$36</definedName>
  </definedNames>
  <calcPr calcId="191028"/>
  <pivotCaches>
    <pivotCache cacheId="24" r:id="rId9"/>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81" i="2" l="1"/>
  <c r="P281" i="2" s="1"/>
  <c r="P284" i="2"/>
  <c r="P283" i="2"/>
  <c r="D284" i="2"/>
  <c r="E284" i="2"/>
  <c r="D283" i="2"/>
  <c r="E283" i="2"/>
  <c r="AK8" i="4"/>
  <c r="AK7" i="4"/>
  <c r="AK9" i="4"/>
  <c r="AK6" i="4"/>
  <c r="T202" i="2"/>
  <c r="O202" i="2"/>
  <c r="T236" i="2"/>
  <c r="O232" i="2"/>
  <c r="O203" i="2"/>
  <c r="O250" i="2"/>
  <c r="O176" i="2"/>
  <c r="D180" i="2"/>
  <c r="E180" i="2"/>
  <c r="P180" i="2"/>
  <c r="D179" i="2"/>
  <c r="E179" i="2"/>
  <c r="P179" i="2"/>
  <c r="D181" i="2"/>
  <c r="E181" i="2"/>
  <c r="P181" i="2"/>
  <c r="O237" i="2"/>
  <c r="O204" i="2"/>
  <c r="A131" i="2"/>
  <c r="D131" i="2"/>
  <c r="E131" i="2"/>
  <c r="P131" i="2"/>
  <c r="O208" i="2"/>
  <c r="O198" i="2"/>
  <c r="O213" i="2"/>
  <c r="D282" i="2"/>
  <c r="E282" i="2"/>
  <c r="P282" i="2"/>
  <c r="A176" i="2"/>
  <c r="D176" i="2"/>
  <c r="E176" i="2"/>
  <c r="P176" i="2"/>
  <c r="A175" i="2"/>
  <c r="D175" i="2"/>
  <c r="E175" i="2"/>
  <c r="P175" i="2"/>
  <c r="D281" i="2"/>
  <c r="E281" i="2"/>
  <c r="B19" i="8"/>
  <c r="I19" i="8"/>
  <c r="J19" i="8" s="1"/>
  <c r="L26" i="8"/>
  <c r="B4" i="8"/>
  <c r="B5" i="8" s="1"/>
  <c r="B6" i="8" s="1"/>
  <c r="B7" i="8" s="1"/>
  <c r="B8" i="8" s="1"/>
  <c r="B9" i="8" s="1"/>
  <c r="B10" i="8" s="1"/>
  <c r="B11" i="8" s="1"/>
  <c r="B12" i="8" s="1"/>
  <c r="B13" i="8" s="1"/>
  <c r="B14" i="8" s="1"/>
  <c r="B15" i="8" s="1"/>
  <c r="B16" i="8" s="1"/>
  <c r="B17" i="8" s="1"/>
  <c r="B18"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B49" i="8" s="1"/>
  <c r="B50" i="8" s="1"/>
  <c r="B51" i="8" s="1"/>
  <c r="B52" i="8" s="1"/>
  <c r="B53" i="8" s="1"/>
  <c r="B54" i="8" s="1"/>
  <c r="B55" i="8" s="1"/>
  <c r="B56" i="8" s="1"/>
  <c r="B57" i="8" s="1"/>
  <c r="B58" i="8" s="1"/>
  <c r="B59" i="8" s="1"/>
  <c r="B60" i="8" s="1"/>
  <c r="B61" i="8" s="1"/>
  <c r="B62" i="8" s="1"/>
  <c r="B63" i="8" s="1"/>
  <c r="B64" i="8" s="1"/>
  <c r="B65" i="8" s="1"/>
  <c r="B66" i="8" s="1"/>
  <c r="B67" i="8" s="1"/>
  <c r="B68" i="8" s="1"/>
  <c r="B69" i="8" s="1"/>
  <c r="B70" i="8" s="1"/>
  <c r="B71" i="8" s="1"/>
  <c r="B72" i="8" s="1"/>
  <c r="B73" i="8" s="1"/>
  <c r="B74" i="8" s="1"/>
  <c r="B75" i="8" s="1"/>
  <c r="I72" i="8"/>
  <c r="J72" i="8" s="1"/>
  <c r="L32" i="8"/>
  <c r="I33" i="8"/>
  <c r="J33" i="8" s="1"/>
  <c r="L75" i="8"/>
  <c r="I15" i="8"/>
  <c r="J15" i="8" s="1"/>
  <c r="L74" i="8"/>
  <c r="I18" i="8"/>
  <c r="J18" i="8" s="1"/>
  <c r="L73" i="8"/>
  <c r="L72" i="8"/>
  <c r="I54" i="8"/>
  <c r="J54" i="8" s="1"/>
  <c r="I46" i="8"/>
  <c r="J46" i="8" s="1"/>
  <c r="L70" i="8"/>
  <c r="I55" i="8"/>
  <c r="J55" i="8" s="1"/>
  <c r="I29" i="8"/>
  <c r="J29" i="8" s="1"/>
  <c r="I58" i="8"/>
  <c r="J58" i="8" s="1"/>
  <c r="I59" i="8"/>
  <c r="J59" i="8" s="1"/>
  <c r="I6" i="8"/>
  <c r="J6" i="8" s="1"/>
  <c r="I32" i="8"/>
  <c r="J32" i="8" s="1"/>
  <c r="I34" i="8"/>
  <c r="J34" i="8" s="1"/>
  <c r="I31" i="8"/>
  <c r="J31" i="8" s="1"/>
  <c r="I13" i="8"/>
  <c r="J13" i="8" s="1"/>
  <c r="I14" i="8"/>
  <c r="J14" i="8" s="1"/>
  <c r="I25" i="8"/>
  <c r="J25" i="8" s="1"/>
  <c r="I24" i="8"/>
  <c r="J24" i="8" s="1"/>
  <c r="I26" i="8"/>
  <c r="J26" i="8" s="1"/>
  <c r="I16" i="8"/>
  <c r="J16" i="8" s="1"/>
  <c r="I17" i="8"/>
  <c r="J17" i="8" s="1"/>
  <c r="I21" i="8"/>
  <c r="J21" i="8" s="1"/>
  <c r="I20" i="8"/>
  <c r="J20" i="8" s="1"/>
  <c r="I22" i="8"/>
  <c r="J22" i="8" s="1"/>
  <c r="I23" i="8"/>
  <c r="J23" i="8" s="1"/>
  <c r="I42" i="8"/>
  <c r="J42" i="8" s="1"/>
  <c r="I43" i="8"/>
  <c r="J43" i="8" s="1"/>
  <c r="I41" i="8"/>
  <c r="J41" i="8" s="1"/>
  <c r="I37" i="8"/>
  <c r="J37" i="8" s="1"/>
  <c r="I38" i="8"/>
  <c r="J38" i="8" s="1"/>
  <c r="I39" i="8"/>
  <c r="J39" i="8" s="1"/>
  <c r="I40" i="8"/>
  <c r="J40" i="8" s="1"/>
  <c r="I35" i="8"/>
  <c r="J35" i="8" s="1"/>
  <c r="I36" i="8"/>
  <c r="J36" i="8" s="1"/>
  <c r="I45" i="8"/>
  <c r="J45" i="8" s="1"/>
  <c r="I44" i="8"/>
  <c r="J44" i="8" s="1"/>
  <c r="I47" i="8"/>
  <c r="J47" i="8" s="1"/>
  <c r="I48" i="8"/>
  <c r="J48" i="8" s="1"/>
  <c r="I49" i="8"/>
  <c r="J49" i="8" s="1"/>
  <c r="I50" i="8"/>
  <c r="J50" i="8" s="1"/>
  <c r="I56" i="8"/>
  <c r="J56" i="8" s="1"/>
  <c r="I57" i="8"/>
  <c r="J57" i="8" s="1"/>
  <c r="I62" i="8"/>
  <c r="J62" i="8" s="1"/>
  <c r="I63" i="8"/>
  <c r="J63" i="8" s="1"/>
  <c r="I64" i="8"/>
  <c r="J64" i="8" s="1"/>
  <c r="I65" i="8"/>
  <c r="J65" i="8" s="1"/>
  <c r="I66" i="8"/>
  <c r="J66" i="8" s="1"/>
  <c r="I71" i="8"/>
  <c r="J71" i="8" s="1"/>
  <c r="I73" i="8"/>
  <c r="J73" i="8" s="1"/>
  <c r="I74" i="8"/>
  <c r="J74" i="8" s="1"/>
  <c r="I75" i="8"/>
  <c r="J75" i="8" s="1"/>
  <c r="I5" i="8"/>
  <c r="J5" i="8" s="1"/>
  <c r="I12" i="8"/>
  <c r="J12" i="8" s="1"/>
  <c r="I67" i="8"/>
  <c r="J67" i="8" s="1"/>
  <c r="I27" i="8"/>
  <c r="J27" i="8" s="1"/>
  <c r="I68" i="8"/>
  <c r="J68" i="8" s="1"/>
  <c r="I51" i="8"/>
  <c r="J51" i="8" s="1"/>
  <c r="I52" i="8"/>
  <c r="J52" i="8" s="1"/>
  <c r="I53" i="8"/>
  <c r="J53" i="8" s="1"/>
  <c r="I70" i="8"/>
  <c r="J70" i="8" s="1"/>
  <c r="I30" i="8"/>
  <c r="J30" i="8" s="1"/>
  <c r="I28" i="8"/>
  <c r="J28" i="8" s="1"/>
  <c r="I60" i="8"/>
  <c r="J60" i="8" s="1"/>
  <c r="I61" i="8"/>
  <c r="J61" i="8" s="1"/>
  <c r="I7" i="8"/>
  <c r="J7" i="8" s="1"/>
  <c r="I8" i="8"/>
  <c r="J8" i="8" s="1"/>
  <c r="I3" i="8"/>
  <c r="J3" i="8" s="1"/>
  <c r="I4" i="8"/>
  <c r="J4" i="8" s="1"/>
  <c r="I9" i="8"/>
  <c r="J9" i="8" s="1"/>
  <c r="I10" i="8"/>
  <c r="J10" i="8" s="1"/>
  <c r="I11" i="8"/>
  <c r="J11" i="8" s="1"/>
  <c r="I69" i="8"/>
  <c r="J69" i="8" s="1"/>
  <c r="O280" i="2"/>
  <c r="P280" i="2" s="1"/>
  <c r="D280" i="2"/>
  <c r="E280" i="2"/>
  <c r="AO9" i="4"/>
  <c r="AN9" i="4"/>
  <c r="AM9" i="4"/>
  <c r="AL9" i="4"/>
  <c r="AO8" i="4"/>
  <c r="AN8" i="4"/>
  <c r="AM8" i="4"/>
  <c r="AL8" i="4"/>
  <c r="AO7" i="4"/>
  <c r="AN7" i="4"/>
  <c r="AM7" i="4"/>
  <c r="AL7" i="4"/>
  <c r="AO6" i="4"/>
  <c r="AN6" i="4"/>
  <c r="AM6" i="4"/>
  <c r="AL6" i="4"/>
  <c r="A169" i="2"/>
  <c r="D169" i="2"/>
  <c r="E169" i="2"/>
  <c r="P169" i="2"/>
  <c r="A155" i="2"/>
  <c r="D155" i="2"/>
  <c r="E155" i="2"/>
  <c r="P155" i="2"/>
  <c r="A154" i="2"/>
  <c r="D154" i="2"/>
  <c r="E154" i="2"/>
  <c r="P154" i="2"/>
  <c r="A153" i="2"/>
  <c r="D153" i="2"/>
  <c r="E153" i="2"/>
  <c r="P153" i="2"/>
  <c r="A152" i="2"/>
  <c r="D152" i="2"/>
  <c r="E152" i="2"/>
  <c r="P152" i="2"/>
  <c r="A151" i="2"/>
  <c r="D151" i="2"/>
  <c r="E151" i="2"/>
  <c r="P151" i="2"/>
  <c r="A147" i="2"/>
  <c r="D147" i="2"/>
  <c r="E147" i="2"/>
  <c r="P147" i="2"/>
  <c r="A148" i="2"/>
  <c r="D148" i="2"/>
  <c r="E148" i="2"/>
  <c r="P148" i="2"/>
  <c r="A149" i="2"/>
  <c r="D149" i="2"/>
  <c r="E149" i="2"/>
  <c r="P149" i="2"/>
  <c r="A150" i="2"/>
  <c r="D150" i="2"/>
  <c r="E150" i="2"/>
  <c r="P150" i="2"/>
  <c r="T174" i="2"/>
  <c r="T173" i="2"/>
  <c r="T172" i="2"/>
  <c r="O173" i="2"/>
  <c r="P173" i="2" s="1"/>
  <c r="O174" i="2"/>
  <c r="P174" i="2" s="1"/>
  <c r="O172" i="2"/>
  <c r="P172" i="2" s="1"/>
  <c r="A158" i="2"/>
  <c r="D158" i="2"/>
  <c r="E158" i="2"/>
  <c r="P158" i="2"/>
  <c r="A159" i="2"/>
  <c r="D159" i="2"/>
  <c r="E159" i="2"/>
  <c r="P159" i="2"/>
  <c r="A172" i="2"/>
  <c r="D172" i="2"/>
  <c r="E172" i="2"/>
  <c r="A173" i="2"/>
  <c r="D173" i="2"/>
  <c r="E173" i="2"/>
  <c r="A174" i="2"/>
  <c r="D174" i="2"/>
  <c r="E174" i="2"/>
  <c r="L51" i="3"/>
  <c r="L52" i="3"/>
  <c r="L50" i="3"/>
  <c r="K50" i="3"/>
  <c r="K51" i="3"/>
  <c r="K52" i="3"/>
  <c r="A139" i="2"/>
  <c r="D139" i="2"/>
  <c r="E139" i="2"/>
  <c r="P139" i="2"/>
  <c r="A140" i="2"/>
  <c r="D140" i="2"/>
  <c r="E140" i="2"/>
  <c r="P140" i="2"/>
  <c r="A141" i="2"/>
  <c r="D141" i="2"/>
  <c r="E141" i="2"/>
  <c r="P141" i="2"/>
  <c r="A142" i="2"/>
  <c r="D142" i="2"/>
  <c r="E142" i="2"/>
  <c r="P142" i="2"/>
  <c r="O242" i="2"/>
  <c r="AE10" i="4"/>
  <c r="AE9" i="4"/>
  <c r="AE8" i="4"/>
  <c r="AE7" i="4"/>
  <c r="AE6" i="4"/>
  <c r="AD10" i="4"/>
  <c r="AD9" i="4"/>
  <c r="AD8" i="4"/>
  <c r="AD7" i="4"/>
  <c r="AD6" i="4"/>
  <c r="AC10" i="4"/>
  <c r="AC9" i="4"/>
  <c r="AC8" i="4"/>
  <c r="AC7" i="4"/>
  <c r="AC6" i="4"/>
  <c r="AB10" i="4"/>
  <c r="AB9" i="4"/>
  <c r="AB8" i="4"/>
  <c r="AB7" i="4"/>
  <c r="AB6" i="4"/>
  <c r="A171" i="2"/>
  <c r="D171" i="2"/>
  <c r="E171" i="2"/>
  <c r="P171" i="2"/>
  <c r="A170" i="2"/>
  <c r="D170" i="2"/>
  <c r="E170" i="2"/>
  <c r="P170" i="2"/>
  <c r="D279" i="2"/>
  <c r="E279" i="2"/>
  <c r="E87" i="2"/>
  <c r="O278" i="2"/>
  <c r="P278" i="2" s="1"/>
  <c r="D278" i="2"/>
  <c r="E278" i="2"/>
  <c r="O258" i="2"/>
  <c r="O256" i="2"/>
  <c r="O277" i="2"/>
  <c r="P277" i="2" s="1"/>
  <c r="O236" i="2"/>
  <c r="O276" i="2"/>
  <c r="P276" i="2" s="1"/>
  <c r="D277" i="2"/>
  <c r="E277" i="2"/>
  <c r="D276" i="2"/>
  <c r="E276" i="2"/>
  <c r="O274" i="2"/>
  <c r="P274" i="2" s="1"/>
  <c r="O275" i="2"/>
  <c r="P275" i="2" s="1"/>
  <c r="D275" i="2"/>
  <c r="E275" i="2"/>
  <c r="D274" i="2"/>
  <c r="E274" i="2"/>
  <c r="O273" i="2"/>
  <c r="P273" i="2" s="1"/>
  <c r="D273" i="2"/>
  <c r="E273" i="2"/>
  <c r="O272" i="2"/>
  <c r="P272" i="2" s="1"/>
  <c r="O271" i="2"/>
  <c r="P271" i="2" s="1"/>
  <c r="D272" i="2"/>
  <c r="E272" i="2"/>
  <c r="D271" i="2"/>
  <c r="E271" i="2"/>
  <c r="O231" i="2"/>
  <c r="O230" i="2"/>
  <c r="O262" i="2"/>
  <c r="O210" i="2"/>
  <c r="O270" i="2"/>
  <c r="P270" i="2" s="1"/>
  <c r="D270" i="2"/>
  <c r="E270" i="2"/>
  <c r="O261" i="2"/>
  <c r="O260" i="2"/>
  <c r="O259" i="2"/>
  <c r="P267" i="2"/>
  <c r="O268" i="2"/>
  <c r="P268" i="2" s="1"/>
  <c r="O269" i="2"/>
  <c r="P269" i="2" s="1"/>
  <c r="O266" i="2"/>
  <c r="P266" i="2" s="1"/>
  <c r="D269" i="2"/>
  <c r="E269" i="2"/>
  <c r="D268" i="2"/>
  <c r="E268" i="2"/>
  <c r="D267" i="2"/>
  <c r="E267" i="2"/>
  <c r="D266" i="2"/>
  <c r="E266" i="2"/>
  <c r="O265" i="2"/>
  <c r="P265" i="2" s="1"/>
  <c r="D265" i="2"/>
  <c r="E265" i="2"/>
  <c r="A168" i="2"/>
  <c r="D168" i="2"/>
  <c r="E168" i="2"/>
  <c r="P168" i="2"/>
  <c r="AP7" i="4" l="1"/>
  <c r="AP9" i="4"/>
  <c r="J76" i="8"/>
  <c r="AL10" i="4"/>
  <c r="AO10" i="4"/>
  <c r="AP6" i="4"/>
  <c r="AP8" i="4"/>
  <c r="AK10" i="4"/>
  <c r="AM10" i="4"/>
  <c r="AN10" i="4"/>
  <c r="AF9" i="4"/>
  <c r="AF10" i="4"/>
  <c r="AF7" i="4"/>
  <c r="AF6" i="4"/>
  <c r="AF8" i="4"/>
  <c r="A167" i="2"/>
  <c r="D167" i="2"/>
  <c r="E167" i="2"/>
  <c r="P167" i="2"/>
  <c r="O279" i="2"/>
  <c r="P279" i="2" s="1"/>
  <c r="E187" i="2"/>
  <c r="O233" i="2"/>
  <c r="W6" i="4"/>
  <c r="A164" i="2"/>
  <c r="D164" i="2"/>
  <c r="E164" i="2"/>
  <c r="P164" i="2"/>
  <c r="A165" i="2"/>
  <c r="D165" i="2"/>
  <c r="E165" i="2"/>
  <c r="P165" i="2"/>
  <c r="E262" i="2"/>
  <c r="AP10" i="4" l="1"/>
  <c r="A163" i="2"/>
  <c r="D163" i="2"/>
  <c r="E163" i="2"/>
  <c r="P163" i="2"/>
  <c r="A166" i="2"/>
  <c r="D166" i="2"/>
  <c r="E166" i="2"/>
  <c r="P166" i="2"/>
  <c r="A160" i="2"/>
  <c r="D160" i="2"/>
  <c r="E160" i="2"/>
  <c r="P160" i="2"/>
  <c r="A161" i="2"/>
  <c r="D161" i="2"/>
  <c r="E161" i="2"/>
  <c r="P161" i="2"/>
  <c r="A162" i="2"/>
  <c r="D162" i="2"/>
  <c r="E162" i="2"/>
  <c r="P162" i="2"/>
  <c r="A143" i="2"/>
  <c r="D143" i="2"/>
  <c r="E143" i="2"/>
  <c r="P143" i="2"/>
  <c r="A144" i="2"/>
  <c r="D144" i="2"/>
  <c r="E144" i="2"/>
  <c r="P144" i="2"/>
  <c r="A145" i="2"/>
  <c r="D145" i="2"/>
  <c r="E145" i="2"/>
  <c r="P145" i="2"/>
  <c r="O264" i="2"/>
  <c r="P264" i="2" s="1"/>
  <c r="D264" i="2"/>
  <c r="E264" i="2"/>
  <c r="E263" i="2"/>
  <c r="P262" i="2"/>
  <c r="D263" i="2"/>
  <c r="D262" i="2"/>
  <c r="P258" i="2"/>
  <c r="P259" i="2"/>
  <c r="P260" i="2"/>
  <c r="P261" i="2"/>
  <c r="P256" i="2"/>
  <c r="D260" i="2"/>
  <c r="D261" i="2"/>
  <c r="E260" i="2"/>
  <c r="E261" i="2"/>
  <c r="D259" i="2"/>
  <c r="E259" i="2"/>
  <c r="D257" i="2"/>
  <c r="D258" i="2"/>
  <c r="E257" i="2"/>
  <c r="E258" i="2"/>
  <c r="D256" i="2"/>
  <c r="E256" i="2"/>
  <c r="P254" i="2"/>
  <c r="O255" i="2"/>
  <c r="P255" i="2" s="1"/>
  <c r="D255" i="2"/>
  <c r="E255" i="2"/>
  <c r="D254" i="2"/>
  <c r="E254" i="2"/>
  <c r="O253" i="2"/>
  <c r="P253" i="2" s="1"/>
  <c r="D253" i="2"/>
  <c r="E253" i="2"/>
  <c r="O218" i="2"/>
  <c r="P218" i="2" s="1"/>
  <c r="O252" i="2"/>
  <c r="P252" i="2" s="1"/>
  <c r="D252" i="2"/>
  <c r="E252" i="2"/>
  <c r="O251" i="2"/>
  <c r="P251" i="2" s="1"/>
  <c r="D251" i="2"/>
  <c r="E251" i="2"/>
  <c r="O263" i="2"/>
  <c r="D250" i="2"/>
  <c r="E250" i="2"/>
  <c r="D249" i="2"/>
  <c r="E249" i="2"/>
  <c r="O248" i="2"/>
  <c r="P248" i="2" s="1"/>
  <c r="D248" i="2"/>
  <c r="E248" i="2"/>
  <c r="A157" i="2"/>
  <c r="D157" i="2"/>
  <c r="E157" i="2"/>
  <c r="P157" i="2"/>
  <c r="D247" i="2"/>
  <c r="E247" i="2"/>
  <c r="P247" i="2"/>
  <c r="D246" i="2"/>
  <c r="E246" i="2"/>
  <c r="P246" i="2"/>
  <c r="D245" i="2"/>
  <c r="E245" i="2"/>
  <c r="P245" i="2"/>
  <c r="D244" i="2"/>
  <c r="E244" i="2"/>
  <c r="P244" i="2"/>
  <c r="D243" i="2"/>
  <c r="E243" i="2"/>
  <c r="P243" i="2"/>
  <c r="D242" i="2"/>
  <c r="E242" i="2"/>
  <c r="P242" i="2"/>
  <c r="D241" i="2"/>
  <c r="E241" i="2"/>
  <c r="P241" i="2"/>
  <c r="D240" i="2"/>
  <c r="E240" i="2"/>
  <c r="P240" i="2"/>
  <c r="D238" i="2"/>
  <c r="D239" i="2"/>
  <c r="E238" i="2"/>
  <c r="E239" i="2"/>
  <c r="P238" i="2"/>
  <c r="P239" i="2"/>
  <c r="D237" i="2"/>
  <c r="E237" i="2"/>
  <c r="P237" i="2"/>
  <c r="D236" i="2"/>
  <c r="E236" i="2"/>
  <c r="P236" i="2"/>
  <c r="D235" i="2"/>
  <c r="E235" i="2"/>
  <c r="P235" i="2"/>
  <c r="D234" i="2"/>
  <c r="E234" i="2"/>
  <c r="P234" i="2"/>
  <c r="A135" i="2"/>
  <c r="D135" i="2"/>
  <c r="E135" i="2"/>
  <c r="P135" i="2"/>
  <c r="A136" i="2"/>
  <c r="D136" i="2"/>
  <c r="E136" i="2"/>
  <c r="P136" i="2"/>
  <c r="A137" i="2"/>
  <c r="D137" i="2"/>
  <c r="E137" i="2"/>
  <c r="P137" i="2"/>
  <c r="A138" i="2"/>
  <c r="D138" i="2"/>
  <c r="E138" i="2"/>
  <c r="P138" i="2"/>
  <c r="H2" i="7"/>
  <c r="I8" i="7"/>
  <c r="I9" i="7"/>
  <c r="I10" i="7"/>
  <c r="I11" i="7"/>
  <c r="I12" i="7"/>
  <c r="I13" i="7"/>
  <c r="I14" i="7"/>
  <c r="I15" i="7"/>
  <c r="I16" i="7"/>
  <c r="I17" i="7"/>
  <c r="I7" i="7"/>
  <c r="I4" i="7"/>
  <c r="I5" i="7"/>
  <c r="H4" i="7"/>
  <c r="H3" i="7"/>
  <c r="A5" i="6" a="1"/>
  <c r="A5" i="6" s="1"/>
  <c r="A156" i="2"/>
  <c r="D156" i="2"/>
  <c r="E156" i="2"/>
  <c r="P156" i="2"/>
  <c r="D233" i="2"/>
  <c r="E233" i="2"/>
  <c r="P233" i="2"/>
  <c r="D232" i="2"/>
  <c r="E232" i="2"/>
  <c r="P232" i="2"/>
  <c r="D231" i="2"/>
  <c r="E231" i="2"/>
  <c r="P231" i="2"/>
  <c r="D230" i="2"/>
  <c r="E230" i="2"/>
  <c r="P230" i="2"/>
  <c r="J66" i="3"/>
  <c r="D229" i="2"/>
  <c r="E229" i="2"/>
  <c r="P229" i="2"/>
  <c r="D228" i="2"/>
  <c r="E228" i="2"/>
  <c r="P228" i="2"/>
  <c r="D227" i="2"/>
  <c r="E227" i="2"/>
  <c r="P227" i="2"/>
  <c r="D226" i="2"/>
  <c r="E226" i="2"/>
  <c r="P226" i="2"/>
  <c r="A177" i="2"/>
  <c r="D177" i="2"/>
  <c r="E177" i="2"/>
  <c r="P177" i="2"/>
  <c r="A134" i="2"/>
  <c r="D134" i="2"/>
  <c r="E134" i="2"/>
  <c r="P134" i="2"/>
  <c r="A146" i="2"/>
  <c r="D146" i="2"/>
  <c r="E146" i="2"/>
  <c r="P146" i="2"/>
  <c r="A127" i="2"/>
  <c r="D127" i="2"/>
  <c r="E127" i="2"/>
  <c r="P127" i="2"/>
  <c r="A128" i="2"/>
  <c r="D128" i="2"/>
  <c r="E128" i="2"/>
  <c r="P128" i="2"/>
  <c r="A129" i="2"/>
  <c r="D129" i="2"/>
  <c r="E129" i="2"/>
  <c r="P129" i="2"/>
  <c r="A130" i="2"/>
  <c r="D130" i="2"/>
  <c r="E130" i="2"/>
  <c r="P130" i="2"/>
  <c r="A132" i="2"/>
  <c r="D132" i="2"/>
  <c r="E132" i="2"/>
  <c r="P132" i="2"/>
  <c r="A133" i="2"/>
  <c r="D133" i="2"/>
  <c r="E133" i="2"/>
  <c r="P133" i="2"/>
  <c r="I8" i="3"/>
  <c r="I7" i="3"/>
  <c r="I6" i="3"/>
  <c r="I5" i="3"/>
  <c r="K64" i="3"/>
  <c r="L64" i="3" s="1"/>
  <c r="D225" i="2"/>
  <c r="E225" i="2"/>
  <c r="P225" i="2"/>
  <c r="D224" i="2"/>
  <c r="E224" i="2"/>
  <c r="P224" i="2"/>
  <c r="D223" i="2"/>
  <c r="E223" i="2"/>
  <c r="P223" i="2"/>
  <c r="D222" i="2"/>
  <c r="E222" i="2"/>
  <c r="P222" i="2"/>
  <c r="D221" i="2"/>
  <c r="E221" i="2"/>
  <c r="P221" i="2"/>
  <c r="D220" i="2"/>
  <c r="E220" i="2"/>
  <c r="P220" i="2"/>
  <c r="D219" i="2"/>
  <c r="E219" i="2"/>
  <c r="P219" i="2"/>
  <c r="D218" i="2"/>
  <c r="E218" i="2"/>
  <c r="D217" i="2"/>
  <c r="E217" i="2"/>
  <c r="P217" i="2"/>
  <c r="D216" i="2"/>
  <c r="E216" i="2"/>
  <c r="P216" i="2"/>
  <c r="D215" i="2"/>
  <c r="E215" i="2"/>
  <c r="P215" i="2"/>
  <c r="D214" i="2"/>
  <c r="E214" i="2"/>
  <c r="P214" i="2"/>
  <c r="D213" i="2"/>
  <c r="E213" i="2"/>
  <c r="P213" i="2"/>
  <c r="D212" i="2"/>
  <c r="E212" i="2"/>
  <c r="P212" i="2"/>
  <c r="D211" i="2"/>
  <c r="E211" i="2"/>
  <c r="P211" i="2"/>
  <c r="A283" i="2" l="1"/>
  <c r="A284" i="2"/>
  <c r="A180" i="2"/>
  <c r="A181" i="2"/>
  <c r="A282" i="2"/>
  <c r="A179" i="2"/>
  <c r="A280" i="2"/>
  <c r="A281" i="2"/>
  <c r="A278" i="2"/>
  <c r="A279" i="2"/>
  <c r="A277" i="2"/>
  <c r="A276" i="2"/>
  <c r="P250" i="2"/>
  <c r="P263" i="2"/>
  <c r="A274" i="2"/>
  <c r="A275" i="2"/>
  <c r="A272" i="2"/>
  <c r="A273" i="2"/>
  <c r="A270" i="2"/>
  <c r="A271" i="2"/>
  <c r="A266" i="2"/>
  <c r="A267" i="2"/>
  <c r="A268" i="2"/>
  <c r="A269" i="2"/>
  <c r="A183" i="2"/>
  <c r="A265" i="2"/>
  <c r="A263" i="2"/>
  <c r="A262" i="2"/>
  <c r="A264" i="2"/>
  <c r="A261" i="2"/>
  <c r="A260" i="2"/>
  <c r="A257" i="2"/>
  <c r="A258" i="2"/>
  <c r="A259" i="2"/>
  <c r="A256" i="2"/>
  <c r="A255" i="2"/>
  <c r="A254" i="2"/>
  <c r="A253" i="2"/>
  <c r="A252" i="2"/>
  <c r="A251" i="2"/>
  <c r="A250" i="2"/>
  <c r="A249" i="2"/>
  <c r="A248" i="2"/>
  <c r="A247" i="2"/>
  <c r="A246" i="2"/>
  <c r="A245" i="2"/>
  <c r="A244" i="2"/>
  <c r="A243" i="2"/>
  <c r="A242" i="2"/>
  <c r="A241" i="2"/>
  <c r="A240" i="2"/>
  <c r="A239" i="2"/>
  <c r="A238" i="2"/>
  <c r="A236" i="2"/>
  <c r="A237" i="2"/>
  <c r="A235" i="2"/>
  <c r="A234" i="2"/>
  <c r="A233" i="2"/>
  <c r="A232" i="2"/>
  <c r="A231" i="2"/>
  <c r="A230" i="2"/>
  <c r="A229" i="2"/>
  <c r="A228" i="2"/>
  <c r="A227" i="2"/>
  <c r="A226" i="2"/>
  <c r="A214" i="2"/>
  <c r="A206" i="2"/>
  <c r="A198" i="2"/>
  <c r="A222" i="2"/>
  <c r="A190" i="2"/>
  <c r="A221" i="2"/>
  <c r="A213" i="2"/>
  <c r="A205" i="2"/>
  <c r="A197" i="2"/>
  <c r="A189" i="2"/>
  <c r="A182" i="2"/>
  <c r="A218" i="2"/>
  <c r="A210" i="2"/>
  <c r="A202" i="2"/>
  <c r="A194" i="2"/>
  <c r="A186" i="2"/>
  <c r="A225" i="2"/>
  <c r="A217" i="2"/>
  <c r="A209" i="2"/>
  <c r="A201" i="2"/>
  <c r="A193" i="2"/>
  <c r="A185" i="2"/>
  <c r="A224" i="2"/>
  <c r="A220" i="2"/>
  <c r="A216" i="2"/>
  <c r="A212" i="2"/>
  <c r="A208" i="2"/>
  <c r="A204" i="2"/>
  <c r="A200" i="2"/>
  <c r="A196" i="2"/>
  <c r="A192" i="2"/>
  <c r="A188" i="2"/>
  <c r="A184" i="2"/>
  <c r="A178" i="2"/>
  <c r="A223" i="2"/>
  <c r="A219" i="2"/>
  <c r="A215" i="2"/>
  <c r="A211" i="2"/>
  <c r="A207" i="2"/>
  <c r="A203" i="2"/>
  <c r="A199" i="2"/>
  <c r="A195" i="2"/>
  <c r="A191" i="2"/>
  <c r="A187" i="2"/>
  <c r="D210" i="2"/>
  <c r="E210" i="2"/>
  <c r="P210" i="2"/>
  <c r="D209" i="2"/>
  <c r="E209" i="2"/>
  <c r="P209" i="2"/>
  <c r="A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E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78" i="2"/>
  <c r="E182" i="2"/>
  <c r="E183" i="2"/>
  <c r="E184" i="2"/>
  <c r="E185" i="2"/>
  <c r="E186" i="2"/>
  <c r="E188" i="2"/>
  <c r="E189" i="2"/>
  <c r="E190" i="2"/>
  <c r="E191" i="2"/>
  <c r="E192" i="2"/>
  <c r="E193" i="2"/>
  <c r="E194" i="2"/>
  <c r="E195" i="2"/>
  <c r="E196" i="2"/>
  <c r="E197" i="2"/>
  <c r="E198" i="2"/>
  <c r="E199" i="2"/>
  <c r="E200" i="2"/>
  <c r="E201" i="2"/>
  <c r="E202" i="2"/>
  <c r="E203" i="2"/>
  <c r="E204" i="2"/>
  <c r="E205" i="2"/>
  <c r="E206" i="2"/>
  <c r="E207" i="2"/>
  <c r="E208" i="2"/>
  <c r="D208" i="2"/>
  <c r="P208" i="2"/>
  <c r="D206" i="2"/>
  <c r="P206" i="2"/>
  <c r="D205" i="2"/>
  <c r="P205" i="2"/>
  <c r="D2" i="2"/>
  <c r="P2" i="2"/>
  <c r="D3" i="2"/>
  <c r="P3" i="2"/>
  <c r="D4" i="2"/>
  <c r="P4" i="2"/>
  <c r="D5" i="2"/>
  <c r="P5" i="2"/>
  <c r="D6" i="2"/>
  <c r="P6" i="2"/>
  <c r="D7" i="2"/>
  <c r="P7" i="2"/>
  <c r="D8" i="2"/>
  <c r="P8" i="2"/>
  <c r="D9" i="2"/>
  <c r="P9" i="2"/>
  <c r="D10" i="2"/>
  <c r="P10" i="2"/>
  <c r="D11" i="2"/>
  <c r="P11" i="2"/>
  <c r="D12" i="2"/>
  <c r="P12" i="2"/>
  <c r="D13" i="2"/>
  <c r="P13" i="2"/>
  <c r="D14" i="2"/>
  <c r="P14" i="2"/>
  <c r="D15" i="2"/>
  <c r="P15" i="2"/>
  <c r="D16" i="2"/>
  <c r="P16" i="2"/>
  <c r="D17" i="2"/>
  <c r="P17" i="2"/>
  <c r="D18" i="2"/>
  <c r="P18" i="2"/>
  <c r="D19" i="2"/>
  <c r="P19" i="2"/>
  <c r="D20" i="2"/>
  <c r="P20" i="2"/>
  <c r="D21" i="2"/>
  <c r="P21" i="2"/>
  <c r="D22" i="2"/>
  <c r="P22" i="2"/>
  <c r="D23" i="2"/>
  <c r="P23" i="2"/>
  <c r="D24" i="2"/>
  <c r="P24" i="2"/>
  <c r="D25" i="2"/>
  <c r="P25" i="2"/>
  <c r="D26" i="2"/>
  <c r="P26" i="2"/>
  <c r="D27" i="2"/>
  <c r="P27" i="2"/>
  <c r="D28" i="2"/>
  <c r="P28" i="2"/>
  <c r="D29" i="2"/>
  <c r="P29" i="2"/>
  <c r="D30" i="2"/>
  <c r="P30" i="2"/>
  <c r="D31" i="2"/>
  <c r="P31" i="2"/>
  <c r="D32" i="2"/>
  <c r="P32" i="2"/>
  <c r="D33" i="2"/>
  <c r="P33" i="2"/>
  <c r="D34" i="2"/>
  <c r="P34" i="2"/>
  <c r="D35" i="2"/>
  <c r="P35" i="2"/>
  <c r="D36" i="2"/>
  <c r="P36" i="2"/>
  <c r="D37" i="2"/>
  <c r="P37" i="2"/>
  <c r="D38" i="2"/>
  <c r="P38" i="2"/>
  <c r="D39" i="2"/>
  <c r="P39" i="2"/>
  <c r="D40" i="2"/>
  <c r="P40" i="2"/>
  <c r="D41" i="2"/>
  <c r="P41" i="2"/>
  <c r="D42" i="2"/>
  <c r="P42" i="2"/>
  <c r="D43" i="2"/>
  <c r="P43" i="2"/>
  <c r="D44" i="2"/>
  <c r="P44" i="2"/>
  <c r="D45" i="2"/>
  <c r="P45" i="2"/>
  <c r="D46" i="2"/>
  <c r="P46" i="2"/>
  <c r="D47" i="2"/>
  <c r="P47" i="2"/>
  <c r="D48" i="2"/>
  <c r="P48" i="2"/>
  <c r="D49" i="2"/>
  <c r="P49" i="2"/>
  <c r="D50" i="2"/>
  <c r="P50" i="2"/>
  <c r="D51" i="2"/>
  <c r="P51" i="2"/>
  <c r="D52" i="2"/>
  <c r="P52" i="2"/>
  <c r="D53" i="2"/>
  <c r="P53" i="2"/>
  <c r="D54" i="2"/>
  <c r="P54" i="2"/>
  <c r="D55" i="2"/>
  <c r="P55" i="2"/>
  <c r="D56" i="2"/>
  <c r="P56" i="2"/>
  <c r="D57" i="2"/>
  <c r="P57" i="2"/>
  <c r="D58" i="2"/>
  <c r="P58" i="2"/>
  <c r="D59" i="2"/>
  <c r="P59" i="2"/>
  <c r="D60" i="2"/>
  <c r="P60" i="2"/>
  <c r="D61" i="2"/>
  <c r="P61" i="2"/>
  <c r="D62" i="2"/>
  <c r="P62" i="2"/>
  <c r="D63" i="2"/>
  <c r="P63" i="2"/>
  <c r="D64" i="2"/>
  <c r="P64" i="2"/>
  <c r="D65" i="2"/>
  <c r="P65" i="2"/>
  <c r="D66" i="2"/>
  <c r="P66" i="2"/>
  <c r="D67" i="2"/>
  <c r="P67" i="2"/>
  <c r="D68" i="2"/>
  <c r="P68" i="2"/>
  <c r="D69" i="2"/>
  <c r="P69" i="2"/>
  <c r="D70" i="2"/>
  <c r="P70" i="2"/>
  <c r="D71" i="2"/>
  <c r="P71" i="2"/>
  <c r="D72" i="2"/>
  <c r="P72" i="2"/>
  <c r="D73" i="2"/>
  <c r="P73" i="2"/>
  <c r="D74" i="2"/>
  <c r="P74" i="2"/>
  <c r="D75" i="2"/>
  <c r="P75" i="2"/>
  <c r="D76" i="2"/>
  <c r="P76" i="2"/>
  <c r="D77" i="2"/>
  <c r="P77" i="2"/>
  <c r="D78" i="2"/>
  <c r="P78" i="2"/>
  <c r="D79" i="2"/>
  <c r="P79" i="2"/>
  <c r="D80" i="2"/>
  <c r="P80" i="2"/>
  <c r="D81" i="2"/>
  <c r="P81" i="2"/>
  <c r="D82" i="2"/>
  <c r="P82" i="2"/>
  <c r="D83" i="2"/>
  <c r="P83" i="2"/>
  <c r="D84" i="2"/>
  <c r="P84" i="2"/>
  <c r="D85" i="2"/>
  <c r="P85" i="2"/>
  <c r="D86" i="2"/>
  <c r="P86" i="2"/>
  <c r="D87" i="2"/>
  <c r="P87" i="2"/>
  <c r="D88" i="2"/>
  <c r="P88" i="2"/>
  <c r="D89" i="2"/>
  <c r="P89" i="2"/>
  <c r="D90" i="2"/>
  <c r="P90" i="2"/>
  <c r="D91" i="2"/>
  <c r="P91" i="2"/>
  <c r="D92" i="2"/>
  <c r="P92" i="2"/>
  <c r="D93" i="2"/>
  <c r="P93" i="2"/>
  <c r="D94" i="2"/>
  <c r="P94" i="2"/>
  <c r="D95" i="2"/>
  <c r="P95" i="2"/>
  <c r="D96" i="2"/>
  <c r="P96" i="2"/>
  <c r="D97" i="2"/>
  <c r="P97" i="2"/>
  <c r="D98" i="2"/>
  <c r="P98" i="2"/>
  <c r="D99" i="2"/>
  <c r="P99" i="2"/>
  <c r="D100" i="2"/>
  <c r="P100" i="2"/>
  <c r="D101" i="2"/>
  <c r="P101" i="2"/>
  <c r="D102" i="2"/>
  <c r="P102" i="2"/>
  <c r="D103" i="2"/>
  <c r="P103" i="2"/>
  <c r="D104" i="2"/>
  <c r="P104" i="2"/>
  <c r="D105" i="2"/>
  <c r="P105" i="2"/>
  <c r="D106" i="2"/>
  <c r="P106" i="2"/>
  <c r="D107" i="2"/>
  <c r="P107" i="2"/>
  <c r="D108" i="2"/>
  <c r="P108" i="2"/>
  <c r="D109" i="2"/>
  <c r="P109" i="2"/>
  <c r="D110" i="2"/>
  <c r="P110" i="2"/>
  <c r="D111" i="2"/>
  <c r="P111" i="2"/>
  <c r="D112" i="2"/>
  <c r="P112" i="2"/>
  <c r="D113" i="2"/>
  <c r="P113" i="2"/>
  <c r="D114" i="2"/>
  <c r="P114" i="2"/>
  <c r="D115" i="2"/>
  <c r="P115" i="2"/>
  <c r="D116" i="2"/>
  <c r="P116" i="2"/>
  <c r="D117" i="2"/>
  <c r="P117" i="2"/>
  <c r="D118" i="2"/>
  <c r="P118" i="2"/>
  <c r="D119" i="2"/>
  <c r="P119" i="2"/>
  <c r="D120" i="2"/>
  <c r="P120" i="2"/>
  <c r="D121" i="2"/>
  <c r="P121" i="2"/>
  <c r="D122" i="2"/>
  <c r="P122" i="2"/>
  <c r="D123" i="2"/>
  <c r="P123" i="2"/>
  <c r="D124" i="2"/>
  <c r="P124" i="2"/>
  <c r="D125" i="2"/>
  <c r="P125" i="2"/>
  <c r="D126" i="2"/>
  <c r="P126" i="2"/>
  <c r="D178" i="2"/>
  <c r="P178" i="2"/>
  <c r="D182" i="2"/>
  <c r="O257" i="2"/>
  <c r="D183" i="2"/>
  <c r="P183" i="2"/>
  <c r="D184" i="2"/>
  <c r="P184" i="2"/>
  <c r="D185" i="2"/>
  <c r="P185" i="2"/>
  <c r="D186" i="2"/>
  <c r="P186" i="2"/>
  <c r="D187" i="2"/>
  <c r="P187" i="2"/>
  <c r="D188" i="2"/>
  <c r="P188" i="2"/>
  <c r="D189" i="2"/>
  <c r="P189" i="2"/>
  <c r="D190" i="2"/>
  <c r="P190" i="2"/>
  <c r="D191" i="2"/>
  <c r="P191" i="2"/>
  <c r="D192" i="2"/>
  <c r="P192" i="2"/>
  <c r="D193" i="2"/>
  <c r="P193" i="2"/>
  <c r="D194" i="2"/>
  <c r="P194" i="2"/>
  <c r="D195" i="2"/>
  <c r="P195" i="2"/>
  <c r="D196" i="2"/>
  <c r="P196" i="2"/>
  <c r="D197" i="2"/>
  <c r="P197" i="2"/>
  <c r="D198" i="2"/>
  <c r="P198" i="2"/>
  <c r="D199" i="2"/>
  <c r="P199" i="2"/>
  <c r="D200" i="2"/>
  <c r="P200" i="2"/>
  <c r="D201" i="2"/>
  <c r="P201" i="2"/>
  <c r="D202" i="2"/>
  <c r="P202" i="2"/>
  <c r="D203" i="2"/>
  <c r="P203" i="2"/>
  <c r="D204" i="2"/>
  <c r="P204" i="2"/>
  <c r="N8" i="4"/>
  <c r="N7" i="4"/>
  <c r="D6" i="4"/>
  <c r="D9" i="4"/>
  <c r="D8" i="4"/>
  <c r="D7" i="4"/>
  <c r="J307" i="1"/>
  <c r="J310" i="1" s="1"/>
  <c r="M8" i="4" l="1"/>
  <c r="P182" i="2"/>
  <c r="P257" i="2"/>
  <c r="D10" i="4"/>
  <c r="J5" i="3"/>
  <c r="J7" i="3"/>
  <c r="J6" i="3"/>
  <c r="J8" i="3"/>
  <c r="M7" i="4"/>
  <c r="K8" i="4"/>
  <c r="K7" i="4"/>
  <c r="C7" i="4"/>
  <c r="E7" i="4" s="1"/>
  <c r="C8" i="4"/>
  <c r="E8" i="4" s="1"/>
  <c r="N6" i="4"/>
  <c r="N9" i="4" s="1"/>
  <c r="L6" i="4"/>
  <c r="K6" i="4"/>
  <c r="C9" i="4"/>
  <c r="E9" i="4" s="1"/>
  <c r="M6" i="4"/>
  <c r="C6" i="4"/>
  <c r="E6" i="4" s="1"/>
  <c r="F6" i="4" l="1"/>
  <c r="F9" i="4"/>
  <c r="F8" i="4"/>
  <c r="F7" i="4"/>
  <c r="K8" i="3"/>
  <c r="L8" i="3" s="1"/>
  <c r="K5" i="3"/>
  <c r="L5" i="3" s="1"/>
  <c r="K7" i="3"/>
  <c r="L7" i="3" s="1"/>
  <c r="K6" i="3"/>
  <c r="L6" i="3" s="1"/>
  <c r="M9" i="4"/>
  <c r="K9" i="4"/>
  <c r="C10" i="4"/>
  <c r="O6" i="4"/>
  <c r="E10" i="4"/>
  <c r="F10" i="4" l="1"/>
  <c r="T10" i="6"/>
  <c r="S10" i="6"/>
  <c r="R10" i="6"/>
  <c r="Q10" i="6"/>
  <c r="P10" i="6"/>
  <c r="O10" i="6"/>
  <c r="N10" i="6"/>
  <c r="M10" i="6"/>
  <c r="L10" i="6"/>
  <c r="K10" i="6"/>
  <c r="J10" i="6"/>
  <c r="I10" i="6"/>
  <c r="H10" i="6"/>
  <c r="G10" i="6"/>
  <c r="F10" i="6"/>
  <c r="E10" i="6"/>
  <c r="D10" i="6"/>
  <c r="C10" i="6"/>
  <c r="B10" i="6"/>
  <c r="A10" i="6"/>
  <c r="T9" i="6"/>
  <c r="S9" i="6"/>
  <c r="R9" i="6"/>
  <c r="Q9" i="6"/>
  <c r="P9" i="6"/>
  <c r="O9" i="6"/>
  <c r="N9" i="6"/>
  <c r="M9" i="6"/>
  <c r="L9" i="6"/>
  <c r="K9" i="6"/>
  <c r="J9" i="6"/>
  <c r="I9" i="6"/>
  <c r="H9" i="6"/>
  <c r="G9" i="6"/>
  <c r="F9" i="6"/>
  <c r="E9" i="6"/>
  <c r="D9" i="6"/>
  <c r="C9" i="6"/>
  <c r="B9" i="6"/>
  <c r="A9" i="6"/>
  <c r="T8" i="6"/>
  <c r="S8" i="6"/>
  <c r="R8" i="6"/>
  <c r="Q8" i="6"/>
  <c r="P8" i="6"/>
  <c r="O8" i="6"/>
  <c r="N8" i="6"/>
  <c r="M8" i="6"/>
  <c r="L8" i="6"/>
  <c r="K8" i="6"/>
  <c r="J8" i="6"/>
  <c r="I8" i="6"/>
  <c r="H8" i="6"/>
  <c r="G8" i="6"/>
  <c r="F8" i="6"/>
  <c r="E8" i="6"/>
  <c r="D8" i="6"/>
  <c r="C8" i="6"/>
  <c r="B8" i="6"/>
  <c r="A8" i="6"/>
  <c r="T7" i="6"/>
  <c r="S7" i="6"/>
  <c r="R7" i="6"/>
  <c r="Q7" i="6"/>
  <c r="P7" i="6"/>
  <c r="O7" i="6"/>
  <c r="N7" i="6"/>
  <c r="M7" i="6"/>
  <c r="L7" i="6"/>
  <c r="K7" i="6"/>
  <c r="J7" i="6"/>
  <c r="I7" i="6"/>
  <c r="H7" i="6"/>
  <c r="G7" i="6"/>
  <c r="F7" i="6"/>
  <c r="E7" i="6"/>
  <c r="D7" i="6"/>
  <c r="C7" i="6"/>
  <c r="B7" i="6"/>
  <c r="A7" i="6"/>
  <c r="T6" i="6"/>
  <c r="S6" i="6"/>
  <c r="R6" i="6"/>
  <c r="Q6" i="6"/>
  <c r="P6" i="6"/>
  <c r="O6" i="6"/>
  <c r="N6" i="6"/>
  <c r="M6" i="6"/>
  <c r="L6" i="6"/>
  <c r="K6" i="6"/>
  <c r="J6" i="6"/>
  <c r="I6" i="6"/>
  <c r="H6" i="6"/>
  <c r="G6" i="6"/>
  <c r="F6" i="6"/>
  <c r="E6" i="6"/>
  <c r="D6" i="6"/>
  <c r="C6" i="6"/>
  <c r="B6" i="6"/>
  <c r="A6" i="6"/>
  <c r="T5" i="6"/>
  <c r="S5" i="6"/>
  <c r="R5" i="6"/>
  <c r="Q5" i="6"/>
  <c r="P5" i="6"/>
  <c r="O5" i="6"/>
  <c r="N5" i="6"/>
  <c r="M5" i="6"/>
  <c r="L5" i="6"/>
  <c r="K5" i="6"/>
  <c r="J5" i="6"/>
  <c r="I5" i="6"/>
  <c r="H5" i="6"/>
  <c r="G5" i="6"/>
  <c r="F5" i="6"/>
  <c r="E5" i="6"/>
  <c r="D5" i="6"/>
  <c r="C5" i="6"/>
  <c r="B5" i="6"/>
  <c r="L8" i="4"/>
  <c r="O8" i="4" s="1"/>
  <c r="U6" i="4" s="1"/>
  <c r="V6" i="4"/>
  <c r="P249" i="2"/>
  <c r="L7" i="4" s="1"/>
  <c r="S6" i="4" s="1"/>
  <c r="O7" i="4" l="1"/>
  <c r="T6" i="4" s="1"/>
  <c r="L9" i="4"/>
  <c r="O9" i="4"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<sst xmlns="http://schemas.openxmlformats.org/spreadsheetml/2006/main" count="2443" uniqueCount="957">
  <si>
    <t>Codigo de Objeto</t>
  </si>
  <si>
    <t>Código de Orden</t>
  </si>
  <si>
    <t>Nombre de Objeto</t>
  </si>
  <si>
    <t>Nivel</t>
  </si>
  <si>
    <t>Tipo de Compra</t>
  </si>
  <si>
    <t>Estatus</t>
  </si>
  <si>
    <t>Responsables</t>
  </si>
  <si>
    <t>Grupo 100-SSRISS</t>
  </si>
  <si>
    <t>Grupo Grupo 100</t>
  </si>
  <si>
    <t>Compra Menor</t>
  </si>
  <si>
    <t>Observaciones</t>
  </si>
  <si>
    <t>Lic. Josias</t>
  </si>
  <si>
    <t>Grupo 100-Malaria</t>
  </si>
  <si>
    <t>Licitación Privada</t>
  </si>
  <si>
    <t>Proceso</t>
  </si>
  <si>
    <t>Lic. Nimrod</t>
  </si>
  <si>
    <t>Grupo 100-VIH</t>
  </si>
  <si>
    <t>Licitación Pública</t>
  </si>
  <si>
    <t>Adjudicado</t>
  </si>
  <si>
    <t>Lcda. Graciela</t>
  </si>
  <si>
    <t>Grupo 100-TB</t>
  </si>
  <si>
    <t>Compra Directa</t>
  </si>
  <si>
    <t>Desierto</t>
  </si>
  <si>
    <t>Dra. Jessy</t>
  </si>
  <si>
    <t>Grupo 100</t>
  </si>
  <si>
    <t>Transferencia de Fondos</t>
  </si>
  <si>
    <t>Fracasado</t>
  </si>
  <si>
    <t>Dra. Waleska</t>
  </si>
  <si>
    <t>11100-SSRISS</t>
  </si>
  <si>
    <t>11100 Sueldos Basicos</t>
  </si>
  <si>
    <t>Catalago Electrónico</t>
  </si>
  <si>
    <t>Saldo inicial</t>
  </si>
  <si>
    <t>11100-Malaria</t>
  </si>
  <si>
    <t>Modificaciones</t>
  </si>
  <si>
    <t>11100-VIH</t>
  </si>
  <si>
    <t>11100-TB</t>
  </si>
  <si>
    <t>11400-SSRISS</t>
  </si>
  <si>
    <t>11400 Adicionales</t>
  </si>
  <si>
    <t>11400-Malaria</t>
  </si>
  <si>
    <t>11400-VIH</t>
  </si>
  <si>
    <t>11400-TB</t>
  </si>
  <si>
    <t>11510-SSRISS</t>
  </si>
  <si>
    <t>11510 Decimotercer Mes</t>
  </si>
  <si>
    <t>11510-Malaria</t>
  </si>
  <si>
    <t>11510-VIH</t>
  </si>
  <si>
    <t>11510-TB</t>
  </si>
  <si>
    <t>11520-SSRISS</t>
  </si>
  <si>
    <t>11520 Decimocuarto Mes</t>
  </si>
  <si>
    <t>11520-Malaria</t>
  </si>
  <si>
    <t>11520-VIH</t>
  </si>
  <si>
    <t>11520-TB</t>
  </si>
  <si>
    <t>11600-SSRISS</t>
  </si>
  <si>
    <t>11600 Complementos</t>
  </si>
  <si>
    <t>11600-Malaria</t>
  </si>
  <si>
    <t>11600-VIH</t>
  </si>
  <si>
    <t>11600-TB</t>
  </si>
  <si>
    <t>11710-SSRISS</t>
  </si>
  <si>
    <t>11710 Contribuciones Al Injupemp</t>
  </si>
  <si>
    <t>11710-Malaria</t>
  </si>
  <si>
    <t>11710-VIH</t>
  </si>
  <si>
    <t>11710-TB</t>
  </si>
  <si>
    <t>11750-SSRISS</t>
  </si>
  <si>
    <t>11750 Contribuciones Para El Seguro Social</t>
  </si>
  <si>
    <t>11750-Malaria</t>
  </si>
  <si>
    <t>11750-VIH</t>
  </si>
  <si>
    <t>11750-TB</t>
  </si>
  <si>
    <t>12100-SSRISS</t>
  </si>
  <si>
    <t>12100 Sueldos Basicos</t>
  </si>
  <si>
    <t>12100-Malaria</t>
  </si>
  <si>
    <t>12100-VIH</t>
  </si>
  <si>
    <t>12100-TB</t>
  </si>
  <si>
    <t>12410-SSRISS</t>
  </si>
  <si>
    <t>12410 Decimotercer Mes</t>
  </si>
  <si>
    <t>12410-Malaria</t>
  </si>
  <si>
    <t>12410-VIH</t>
  </si>
  <si>
    <t>12410-TB</t>
  </si>
  <si>
    <t>12420-SSRISS</t>
  </si>
  <si>
    <t>12420 Decimocuarto Mes</t>
  </si>
  <si>
    <t>12420-Malaria</t>
  </si>
  <si>
    <t>12420-VIH</t>
  </si>
  <si>
    <t>12420-TB</t>
  </si>
  <si>
    <t>12550-SSRISS</t>
  </si>
  <si>
    <t>12550 Contribuciones Para El Seguro Social</t>
  </si>
  <si>
    <t>12550-Malaria</t>
  </si>
  <si>
    <t>12550-VIH</t>
  </si>
  <si>
    <t>12550-TB</t>
  </si>
  <si>
    <t>Grupo 200-SSRISS</t>
  </si>
  <si>
    <t>Grupo Grupo 200</t>
  </si>
  <si>
    <t>Grupo 200-Malaria</t>
  </si>
  <si>
    <t>Grupo 200-VIH</t>
  </si>
  <si>
    <t>Grupo 200-TB</t>
  </si>
  <si>
    <t>Grupo 200</t>
  </si>
  <si>
    <t>23100-SSRISS</t>
  </si>
  <si>
    <t>23100 Mantenimiento Y Reparacion De Edificios Y Locales</t>
  </si>
  <si>
    <t>23100-Malaria</t>
  </si>
  <si>
    <t>23100-VIH</t>
  </si>
  <si>
    <t>23100-TB</t>
  </si>
  <si>
    <t>23200-SSRISS</t>
  </si>
  <si>
    <t>23200 Mantenimiento Y Reparacion De Equipos Y Medios De Transporte Terrestre</t>
  </si>
  <si>
    <t>23200-Malaria</t>
  </si>
  <si>
    <t>23200-VIH</t>
  </si>
  <si>
    <t>23200-TB</t>
  </si>
  <si>
    <t>23330-SSRISS</t>
  </si>
  <si>
    <t xml:space="preserve">23330 Mantenimiento Y Reparacion De Equipos Sanitarios Y Laboratorio </t>
  </si>
  <si>
    <t>23330-Malaria</t>
  </si>
  <si>
    <t>23330-VIH</t>
  </si>
  <si>
    <t>23330-TB</t>
  </si>
  <si>
    <t>23350-SSRISS</t>
  </si>
  <si>
    <t>23350 Mantenimiento Y Reparación De Equipo De Computación</t>
  </si>
  <si>
    <t>23350-Malaria</t>
  </si>
  <si>
    <t>23350-VIH</t>
  </si>
  <si>
    <t>23350-TB</t>
  </si>
  <si>
    <t>23600-SSRISS</t>
  </si>
  <si>
    <t>23600 Mantenimiento De Sistemas Informaticos</t>
  </si>
  <si>
    <t>23600-Malaria</t>
  </si>
  <si>
    <t>23600-VIH</t>
  </si>
  <si>
    <t>23600-TB</t>
  </si>
  <si>
    <t>24200-SSRISS</t>
  </si>
  <si>
    <t>24200 Estudios, Investigaciones Y Analisis De Factibilidad</t>
  </si>
  <si>
    <t>24200-Malaria</t>
  </si>
  <si>
    <t>24200-VIH</t>
  </si>
  <si>
    <t>24200-TB</t>
  </si>
  <si>
    <t>25100-SSRISS</t>
  </si>
  <si>
    <t>25100 Servicios De Transporte</t>
  </si>
  <si>
    <t>25100-Malaria</t>
  </si>
  <si>
    <t>25100-VIH</t>
  </si>
  <si>
    <t>25100-TB</t>
  </si>
  <si>
    <t>25300-SSRISS</t>
  </si>
  <si>
    <t>25300 Servicio De Imprenta Publicaciones Y Reproducciones</t>
  </si>
  <si>
    <t>25300-Malaria</t>
  </si>
  <si>
    <t>25300-VIH</t>
  </si>
  <si>
    <t>25300-TB</t>
  </si>
  <si>
    <t>25400-SSRISS</t>
  </si>
  <si>
    <t>25400 Primas Y Gastos De Seguro</t>
  </si>
  <si>
    <t>25400-Malaria</t>
  </si>
  <si>
    <t>25400-VIH</t>
  </si>
  <si>
    <t>25400-TB</t>
  </si>
  <si>
    <t>25700-SSRISS</t>
  </si>
  <si>
    <t xml:space="preserve">25700 Servicio De Internet  </t>
  </si>
  <si>
    <t>25700-Malaria</t>
  </si>
  <si>
    <t>25700-VIH</t>
  </si>
  <si>
    <t>25700-TB</t>
  </si>
  <si>
    <t>26110-SSRISS</t>
  </si>
  <si>
    <t>26110 Pasajes  Nacionales</t>
  </si>
  <si>
    <t>26110-Malaria</t>
  </si>
  <si>
    <t>26110-VIH</t>
  </si>
  <si>
    <t>26110-TB</t>
  </si>
  <si>
    <t>26210-SSRISS</t>
  </si>
  <si>
    <t>26210 Viaticos Nacionales</t>
  </si>
  <si>
    <t>26210-Malaria</t>
  </si>
  <si>
    <t>26210-VIH</t>
  </si>
  <si>
    <t>26210-TB</t>
  </si>
  <si>
    <t>27210-SSRISS</t>
  </si>
  <si>
    <t>27210 Tasas</t>
  </si>
  <si>
    <t>27210-Malaria</t>
  </si>
  <si>
    <t>27210-VIH</t>
  </si>
  <si>
    <t>27210-TB</t>
  </si>
  <si>
    <t>29100-SSRISS</t>
  </si>
  <si>
    <t>29100 Ceremonial Y Protocolo</t>
  </si>
  <si>
    <t>29100-Malaria</t>
  </si>
  <si>
    <t>29100-VIH</t>
  </si>
  <si>
    <t>29100-TB</t>
  </si>
  <si>
    <t>Grupo 300-SSRISS</t>
  </si>
  <si>
    <t>Grupo Grupo 300</t>
  </si>
  <si>
    <t>Grupo 300-Malaria</t>
  </si>
  <si>
    <t>Grupo 300-VIH</t>
  </si>
  <si>
    <t>Grupo 300-TB</t>
  </si>
  <si>
    <t>Grupo 300</t>
  </si>
  <si>
    <t>31110-SSRISS</t>
  </si>
  <si>
    <t>31110 Productos Alimenticios Y Bebidas</t>
  </si>
  <si>
    <t>31110-Malaria</t>
  </si>
  <si>
    <t>31110-VIH</t>
  </si>
  <si>
    <t>31110-TB</t>
  </si>
  <si>
    <t>32100-SSRISS</t>
  </si>
  <si>
    <t>32100 Hilados Y Telas</t>
  </si>
  <si>
    <t>32100-Malaria</t>
  </si>
  <si>
    <t>32100-VIH</t>
  </si>
  <si>
    <t>32100-TB</t>
  </si>
  <si>
    <t>32310-SSRISS</t>
  </si>
  <si>
    <t>32310 Prendas De Vestir</t>
  </si>
  <si>
    <t>32310-Malaria</t>
  </si>
  <si>
    <t>32310-VIH</t>
  </si>
  <si>
    <t>32310-TB</t>
  </si>
  <si>
    <t>32400-SSRISS</t>
  </si>
  <si>
    <t>32400 Calzado</t>
  </si>
  <si>
    <t>32400-Malaria</t>
  </si>
  <si>
    <t>32400-VIH</t>
  </si>
  <si>
    <t>32400-TB</t>
  </si>
  <si>
    <t>33100-SSRISS</t>
  </si>
  <si>
    <t xml:space="preserve">33100 Productos De Papel Y Carton </t>
  </si>
  <si>
    <t>33100-Malaria</t>
  </si>
  <si>
    <t>33100-VIH</t>
  </si>
  <si>
    <t>33100-TB</t>
  </si>
  <si>
    <t>33300-SSRISS</t>
  </si>
  <si>
    <t>33300 Productos De Artes Graficas</t>
  </si>
  <si>
    <t>33300-Malaria</t>
  </si>
  <si>
    <t>33300-VIH</t>
  </si>
  <si>
    <t>33300-TB</t>
  </si>
  <si>
    <t>34400-SSRISS</t>
  </si>
  <si>
    <t>34400 Llantas Y Camaras De Aire</t>
  </si>
  <si>
    <t>34400-Malaria</t>
  </si>
  <si>
    <t>34400-VIH</t>
  </si>
  <si>
    <t>34400-TB</t>
  </si>
  <si>
    <t>35100-SSRISS</t>
  </si>
  <si>
    <t>35100 Productos Quimicos</t>
  </si>
  <si>
    <t>35100-Malaria</t>
  </si>
  <si>
    <t>35100-VIH</t>
  </si>
  <si>
    <t>35100-TB</t>
  </si>
  <si>
    <t>35251-SSRISS</t>
  </si>
  <si>
    <t>35251 Reactivos</t>
  </si>
  <si>
    <t>35251-Malaria</t>
  </si>
  <si>
    <t>35251-VIH</t>
  </si>
  <si>
    <t>35251-TB</t>
  </si>
  <si>
    <t>35230-SSRISS</t>
  </si>
  <si>
    <t>35230 Antirretrovirales</t>
  </si>
  <si>
    <t>35230-Malaria</t>
  </si>
  <si>
    <t>35230-VIH</t>
  </si>
  <si>
    <t>35230-TB</t>
  </si>
  <si>
    <t>35210-SSRISS</t>
  </si>
  <si>
    <t>35210 Productos Farmaceuticos Y Medicinales</t>
  </si>
  <si>
    <t>35210-Malaria</t>
  </si>
  <si>
    <t>35210-VIH</t>
  </si>
  <si>
    <t>35210-TB</t>
  </si>
  <si>
    <t>35252-SSRISS</t>
  </si>
  <si>
    <t>35252 Reactivo (VIH)</t>
  </si>
  <si>
    <t>35252-Malaria</t>
  </si>
  <si>
    <t>35252-VIH</t>
  </si>
  <si>
    <t>35252-TB</t>
  </si>
  <si>
    <t>35400-SSRISS</t>
  </si>
  <si>
    <t>35400 Insecticidas, Fumigantes Y Otros</t>
  </si>
  <si>
    <t>35400-Malaria</t>
  </si>
  <si>
    <t>35400-VIH</t>
  </si>
  <si>
    <t>35400-TB</t>
  </si>
  <si>
    <t>35620-SSRISS</t>
  </si>
  <si>
    <t>35620 Diesel</t>
  </si>
  <si>
    <t>35620-Malaria</t>
  </si>
  <si>
    <t>35620-VIH</t>
  </si>
  <si>
    <t>35620-TB</t>
  </si>
  <si>
    <t>35640-SSRISS</t>
  </si>
  <si>
    <t>35640 Gas Lpg</t>
  </si>
  <si>
    <t>35640-Malaria</t>
  </si>
  <si>
    <t>35640-VIH</t>
  </si>
  <si>
    <t>35640-TB</t>
  </si>
  <si>
    <t>35650-SSRISS</t>
  </si>
  <si>
    <t>35650 Aceites Y Grasas Lubricantes</t>
  </si>
  <si>
    <t>35650-Malaria</t>
  </si>
  <si>
    <t>35650-VIH</t>
  </si>
  <si>
    <t>35650-TB</t>
  </si>
  <si>
    <t>35800-SSRISS</t>
  </si>
  <si>
    <t xml:space="preserve">35800 Productos De Material Plastico </t>
  </si>
  <si>
    <t>35800-Malaria</t>
  </si>
  <si>
    <t>35800-VIH</t>
  </si>
  <si>
    <t>35800-TB</t>
  </si>
  <si>
    <t>38100-SSRISS</t>
  </si>
  <si>
    <t>38100 Material De Defensa Y Seguridad</t>
  </si>
  <si>
    <t>38100-Malaria</t>
  </si>
  <si>
    <t>38100-VIH</t>
  </si>
  <si>
    <t>38100-TB</t>
  </si>
  <si>
    <t>39100-SSRISS</t>
  </si>
  <si>
    <t>39100 Elementos De Limpieza Y Aseo Personal</t>
  </si>
  <si>
    <t>39100-Malaria</t>
  </si>
  <si>
    <t>39100-VIH</t>
  </si>
  <si>
    <t>39100-TB</t>
  </si>
  <si>
    <t>39200-SSRISS</t>
  </si>
  <si>
    <t>39200 Utiles De Esritorio, Oficina  Y Enseñanza</t>
  </si>
  <si>
    <t>39200-Malaria</t>
  </si>
  <si>
    <t>39200-VIH</t>
  </si>
  <si>
    <t>39200-TB</t>
  </si>
  <si>
    <t>39520-SSRISS</t>
  </si>
  <si>
    <t xml:space="preserve">39520 Intrumental Y Material Para Laboratorio </t>
  </si>
  <si>
    <t>39520-Malaria</t>
  </si>
  <si>
    <t>39520-VIH</t>
  </si>
  <si>
    <t>39520-TB</t>
  </si>
  <si>
    <t>39530-SSRISS</t>
  </si>
  <si>
    <t>39530 Material Medico Quirurgico Menor</t>
  </si>
  <si>
    <t>39530-Malaria</t>
  </si>
  <si>
    <t>39530-VIH</t>
  </si>
  <si>
    <t>39530-TB</t>
  </si>
  <si>
    <t>39540-SSRISS</t>
  </si>
  <si>
    <t>39540 Otro Instrumental, Accesorios Y Material Medico</t>
  </si>
  <si>
    <t>39540-Malaria</t>
  </si>
  <si>
    <t>39540-VIH</t>
  </si>
  <si>
    <t>39540-TB</t>
  </si>
  <si>
    <t>39600-SSRISS</t>
  </si>
  <si>
    <t>39600 Otros Repuestos Y Accesorios Menores</t>
  </si>
  <si>
    <t>39600-Malaria</t>
  </si>
  <si>
    <t>39600-VIH</t>
  </si>
  <si>
    <t>39600-TB</t>
  </si>
  <si>
    <t>Grupo 400-SSRISS</t>
  </si>
  <si>
    <t>Grupo Grupo 400</t>
  </si>
  <si>
    <t>Grupo 400-Malaria</t>
  </si>
  <si>
    <t>Grupo 400-VIH</t>
  </si>
  <si>
    <t>Grupo 400-TB</t>
  </si>
  <si>
    <t>Grupo 400</t>
  </si>
  <si>
    <t>42110-SSRISS</t>
  </si>
  <si>
    <t>42110 Muebles Varios De Oficina</t>
  </si>
  <si>
    <t>42110-Malaria</t>
  </si>
  <si>
    <t>42110-VIH</t>
  </si>
  <si>
    <t>42110-TB</t>
  </si>
  <si>
    <t>42120-SSRISS</t>
  </si>
  <si>
    <t>42120 Equipos Varios De Oficina</t>
  </si>
  <si>
    <t>42120-Malaria</t>
  </si>
  <si>
    <t>42120-VIH</t>
  </si>
  <si>
    <t>42120-TB</t>
  </si>
  <si>
    <t>42140-SSRISS</t>
  </si>
  <si>
    <t>42140 Electrodomesticos</t>
  </si>
  <si>
    <t>42140-Malaria</t>
  </si>
  <si>
    <t>42140-VIH</t>
  </si>
  <si>
    <t>42140-TB</t>
  </si>
  <si>
    <t>42220-SSRISS</t>
  </si>
  <si>
    <t>42220 Maquinaria Y Equipo De Producción Agropecuaria Y Forestal</t>
  </si>
  <si>
    <t>42220-Malaria</t>
  </si>
  <si>
    <t>42220-VIH</t>
  </si>
  <si>
    <t>42220-TB</t>
  </si>
  <si>
    <t>42420-SSRISS</t>
  </si>
  <si>
    <t>42420 Equipo De Laboratorio Medico</t>
  </si>
  <si>
    <t>42420-Malaria</t>
  </si>
  <si>
    <t>42420-VIH</t>
  </si>
  <si>
    <t>42420-TB</t>
  </si>
  <si>
    <t>42600-SSRISS</t>
  </si>
  <si>
    <t>42600 Equipo Para Computacion</t>
  </si>
  <si>
    <t>42600-Malaria</t>
  </si>
  <si>
    <t>42600-VIH</t>
  </si>
  <si>
    <t>42600-TB</t>
  </si>
  <si>
    <t>45100-SSRISS</t>
  </si>
  <si>
    <t>45100 Aplicaciones Informaticas</t>
  </si>
  <si>
    <t>45100-Malaria</t>
  </si>
  <si>
    <t>45100-VIH</t>
  </si>
  <si>
    <t>45100-TB</t>
  </si>
  <si>
    <t xml:space="preserve"> Presupuesto Aprobado 2023</t>
  </si>
  <si>
    <t>SUB-SSRISS</t>
  </si>
  <si>
    <t>Sub-D Subvención Ssriss</t>
  </si>
  <si>
    <t>SUB-VIH</t>
  </si>
  <si>
    <t>Sub-V Subvención Vih</t>
  </si>
  <si>
    <t>SUB-TB</t>
  </si>
  <si>
    <t>Sub-T Subvención Tuberculosis</t>
  </si>
  <si>
    <t>SUB-MALARIA</t>
  </si>
  <si>
    <t>Sub-M Subvención Malaria</t>
  </si>
  <si>
    <t>42310 Equipo De Transporte Terrestre Para Personas</t>
  </si>
  <si>
    <t>42310-Malaria</t>
  </si>
  <si>
    <t>42310-VIH</t>
  </si>
  <si>
    <t>42310-TB</t>
  </si>
  <si>
    <t>42310-SSRISS</t>
  </si>
  <si>
    <t>51240 Beneficios Especiales</t>
  </si>
  <si>
    <t>51240-Malaria</t>
  </si>
  <si>
    <t>51240-VIH</t>
  </si>
  <si>
    <t>51240-TB</t>
  </si>
  <si>
    <t>51240-SSRISS</t>
  </si>
  <si>
    <t>14100 Horas Extraordinarias</t>
  </si>
  <si>
    <t>14100-Malaria</t>
  </si>
  <si>
    <t>14100-VIH</t>
  </si>
  <si>
    <t>14100-TB</t>
  </si>
  <si>
    <t>14100-SSRISS</t>
  </si>
  <si>
    <t>26120 Pasajes Al Exterior</t>
  </si>
  <si>
    <t>26120-Malaria</t>
  </si>
  <si>
    <t>26120-VIH</t>
  </si>
  <si>
    <t>26120-TB</t>
  </si>
  <si>
    <t>26120-SSRISS</t>
  </si>
  <si>
    <t>26220 Viáticos Al Exterior</t>
  </si>
  <si>
    <t>26220-Malaria</t>
  </si>
  <si>
    <t>26220-VIH</t>
  </si>
  <si>
    <t>26220-TB</t>
  </si>
  <si>
    <t>26220-SSRISS</t>
  </si>
  <si>
    <t>35610 Gasolina</t>
  </si>
  <si>
    <t>35610-Malaria</t>
  </si>
  <si>
    <t>35610-VIH</t>
  </si>
  <si>
    <t>35610-TB</t>
  </si>
  <si>
    <t>35610-SSRISSS</t>
  </si>
  <si>
    <t>39300 Utiles Y Materiales Eléctricos</t>
  </si>
  <si>
    <t>39300-Malaria</t>
  </si>
  <si>
    <t>39300-VIH</t>
  </si>
  <si>
    <t>39300-TB</t>
  </si>
  <si>
    <t>39300-SSRISS</t>
  </si>
  <si>
    <t># Reg.</t>
  </si>
  <si>
    <t>Objeto de Gasto</t>
  </si>
  <si>
    <t>Código de orden</t>
  </si>
  <si>
    <t>Nombre de Cuenta</t>
  </si>
  <si>
    <t>Responsable</t>
  </si>
  <si>
    <t>Especificaciones Técnicas</t>
  </si>
  <si>
    <t>No. de Oficio de solicitud ETN</t>
  </si>
  <si>
    <t>Fecha de ingreso del Of. ETN a DGN</t>
  </si>
  <si>
    <t>Número de Of. De SSRISS a GA</t>
  </si>
  <si>
    <t>Fecha solicitud de SSRISS a GA2</t>
  </si>
  <si>
    <t>Numero de Of. de CNS a SSRISS</t>
  </si>
  <si>
    <t>Fecha de Of. de SSRISS a DGN2</t>
  </si>
  <si>
    <t>Entrada</t>
  </si>
  <si>
    <t>Salida</t>
  </si>
  <si>
    <t>Saldo</t>
  </si>
  <si>
    <t># de Proceso</t>
  </si>
  <si>
    <t>Comentarios Finales</t>
  </si>
  <si>
    <t>Pagado</t>
  </si>
  <si>
    <t>11400-MALARIA</t>
  </si>
  <si>
    <t>12100-MALARIA</t>
  </si>
  <si>
    <t>12410-MALARIA</t>
  </si>
  <si>
    <t>12420-MALARIA</t>
  </si>
  <si>
    <t>12550-MALARIA</t>
  </si>
  <si>
    <t>23100-MALARIA</t>
  </si>
  <si>
    <t>23200-MALARIA</t>
  </si>
  <si>
    <t>23350-MALARIA</t>
  </si>
  <si>
    <t>25100-MALARIA</t>
  </si>
  <si>
    <t>26110-MALARIA</t>
  </si>
  <si>
    <t>26210-MALARIA</t>
  </si>
  <si>
    <t>31110-MALARIA</t>
  </si>
  <si>
    <t>32310-MALARIA</t>
  </si>
  <si>
    <t>32400-MALARIA</t>
  </si>
  <si>
    <t>33100-MALARIA</t>
  </si>
  <si>
    <t>33300-MALARIA</t>
  </si>
  <si>
    <t>34400-MALARIA</t>
  </si>
  <si>
    <t>35210-MALARIA</t>
  </si>
  <si>
    <t>35251-MALARIA</t>
  </si>
  <si>
    <t>35400-MALARIA</t>
  </si>
  <si>
    <t>35610-MALARIA</t>
  </si>
  <si>
    <t>35620-MALARIA</t>
  </si>
  <si>
    <t>35650-MALARIA</t>
  </si>
  <si>
    <t>38100-MALARIA</t>
  </si>
  <si>
    <t>39100-MALARIA</t>
  </si>
  <si>
    <t>39200-MALARIA</t>
  </si>
  <si>
    <t>39520-MALARIA</t>
  </si>
  <si>
    <t>39540-MALARIA</t>
  </si>
  <si>
    <t>39600-MALARIA</t>
  </si>
  <si>
    <t>42110-MALARIA</t>
  </si>
  <si>
    <t>42120-MALARIA</t>
  </si>
  <si>
    <t>42220-MALARIA</t>
  </si>
  <si>
    <t>42310-MALARIA</t>
  </si>
  <si>
    <t>42420-MALARIA</t>
  </si>
  <si>
    <t>42600-MALARIA</t>
  </si>
  <si>
    <t>45100-MALARIA</t>
  </si>
  <si>
    <t>Pago de planilla</t>
  </si>
  <si>
    <t>Modificaciòn presupuestaria de malaria para reparaciòn de vehiculos en las regiones</t>
  </si>
  <si>
    <t>Carga viral y 35,000  Pruebas</t>
  </si>
  <si>
    <t>Of.-427-JLNV-2023</t>
  </si>
  <si>
    <t>Of-531-DGN-SS-2023</t>
  </si>
  <si>
    <t xml:space="preserve">Of-078-CNS-SRISS-2023. </t>
  </si>
  <si>
    <t>CD-11-2023-SESAL</t>
  </si>
  <si>
    <t>Adjudicado según oficio 923-DL-2023</t>
  </si>
  <si>
    <t>Algodón, puenta para coloración, tubos conios</t>
  </si>
  <si>
    <t>Of.-242-JLNV-2023</t>
  </si>
  <si>
    <t>Of.-386-DGN-SS-2023</t>
  </si>
  <si>
    <t>CD-12-2023-SESAL</t>
  </si>
  <si>
    <t>Equipo para los 3 laboratorios (Consolidado por LNV)</t>
  </si>
  <si>
    <t>Of.-244-JLNV-2023</t>
  </si>
  <si>
    <t>Of.No.388-DGN-SS-2022</t>
  </si>
  <si>
    <t>CD-14-2023-SESAL</t>
  </si>
  <si>
    <t>Se adjudico la cantidad de L. 18,850,014.61 En compra conjunta en el 2023</t>
  </si>
  <si>
    <t>Agua libre de ARNasa y ADNasa, Master mix, agua destilada, marcador de peso molecular 25 pares de bases</t>
  </si>
  <si>
    <t>531-JLNV-2023</t>
  </si>
  <si>
    <t>Of-552-DGN-SS-2023</t>
  </si>
  <si>
    <t xml:space="preserve">Of-107-CNS-SRISS-2023. </t>
  </si>
  <si>
    <t>CD-24-2023-SESAL</t>
  </si>
  <si>
    <t>Se adjudico por L. 389,530.00 a la empresa prodilab en precompromiso para el 2024</t>
  </si>
  <si>
    <t>Insumos para los 3 Laboratorios (Consolidado por el LNV)</t>
  </si>
  <si>
    <t>Of.-243-JLNV-2023</t>
  </si>
  <si>
    <t>Of.No. 389-DGN-SS-2023</t>
  </si>
  <si>
    <t>CD-13-2023-SESAL</t>
  </si>
  <si>
    <t>Se adjudicó por la cantidad de L. 277,949.51  en copra conjunta el dato es proporcional.</t>
  </si>
  <si>
    <t>Se adjudicó por la cantidad de L. 277,949.51  en copra conjunta el dato es proporcional. Se rebajaron (37,475.65) que fueron pagados el 2023 se supone fueron pagados de esta solicitud</t>
  </si>
  <si>
    <t>Insecticidas para combatir la malaria</t>
  </si>
  <si>
    <t>Of. 607-JLNV 2023</t>
  </si>
  <si>
    <t>Of.-175-CNS-SRISS-2023</t>
  </si>
  <si>
    <t>Resolución Número 110-2024-SS, donde se declara Fracasado por que los proveedores no se ajustaban a los requisitos de los insecticidos</t>
  </si>
  <si>
    <t>Of. 422-ETNEM-SS-2023</t>
  </si>
  <si>
    <t>Of.-172-CNS-SRISS-2023</t>
  </si>
  <si>
    <t>Dejar sin valor y efecto, SE HARA POR LA CARGA VIRAL SIN LOS SERVICIOS CONEXOS</t>
  </si>
  <si>
    <t>Vehiculos Gerencia administrativa</t>
  </si>
  <si>
    <t>Licencias de zoom, antivirus y Office</t>
  </si>
  <si>
    <t>Of. 089-DGRP-2024</t>
  </si>
  <si>
    <t>Of. 075-CNS-SSRISS-2024</t>
  </si>
  <si>
    <t>Chalecos, gorras, gabachas, Camisetas</t>
  </si>
  <si>
    <t>Of. 088-DGRP-2024</t>
  </si>
  <si>
    <t>Of. 032-ETNEM-SS-2024</t>
  </si>
  <si>
    <t>Of. 023-CNS-SSRISS-2024</t>
  </si>
  <si>
    <t>CD-02-2024-SESAL</t>
  </si>
  <si>
    <t>Computadoras de escritorio, computadora portatil, impresora</t>
  </si>
  <si>
    <t>Of. 097-DGRP-2024</t>
  </si>
  <si>
    <t>Of. 060-CNS-SSRISS-2024</t>
  </si>
  <si>
    <t>Bombas de rociado, Termonebulizadores</t>
  </si>
  <si>
    <t>Of. 033-ETNEM-SS-2024</t>
  </si>
  <si>
    <t>Of. 024-CNS-SSRISS-2024</t>
  </si>
  <si>
    <t>CD-04-2024-SESAL</t>
  </si>
  <si>
    <t>Aspiradora, Fotocopiadoras</t>
  </si>
  <si>
    <t>Of. 037-ETNEM-SS-2024</t>
  </si>
  <si>
    <t>Solo se deja el presupuesto pendiente en una de las solicitudes de malaria para no duplicar saldos</t>
  </si>
  <si>
    <t>Computadora Escritorrio, Computadora portatil, impresora multifuncional, mochila para laptops, protector para datashow</t>
  </si>
  <si>
    <t>Of. 040-ETNEM-SS-2024</t>
  </si>
  <si>
    <t>USB, Disco duro externo, CD, Mouse Inalambrico, Mouse Alambrico, Teclado alambrico, adaptador macho USB para HDMI, Tintas, lector de CD</t>
  </si>
  <si>
    <t>Of. 038-ETNEM-SS-2024</t>
  </si>
  <si>
    <t>Of.059-CNS-SSRISS-2024</t>
  </si>
  <si>
    <t>Pizarras, Lapices, Borrador,  pegamento en barra, Sacapuntas, Marcadores, Clips, Perforadoras, Engrapadoras, Grapas</t>
  </si>
  <si>
    <t>Of. 041-ETNEM-SS-2024</t>
  </si>
  <si>
    <t>Of.058-CNS-SSRISS-2024</t>
  </si>
  <si>
    <t>Papel Bond Tamaño oficio, carta, Folder carta, Folder Oficio.</t>
  </si>
  <si>
    <t>Of. 042-ETNEM-SS-2024</t>
  </si>
  <si>
    <t>Of.056-CNS-SSRISS-2024</t>
  </si>
  <si>
    <t>Detergente, paños para limpieza, papel toalla Interfoliada (KLEENEX), papel toalla</t>
  </si>
  <si>
    <t>Of. 199-DGRP-2024</t>
  </si>
  <si>
    <t>Of.57-CNS-SSRISS-2024</t>
  </si>
  <si>
    <t>Tubo, Fluorecente, extensión de tipo regleta, extensión, tomacorrientes</t>
  </si>
  <si>
    <t>Of. 197-DGRP-2024</t>
  </si>
  <si>
    <t>Of.044-CNS-SSRISS-2024</t>
  </si>
  <si>
    <t>Of. 191-DGRP-2024</t>
  </si>
  <si>
    <t>Computadora Escritorrio, Computadora portatil, impresora multifuncional (flujo continuo)</t>
  </si>
  <si>
    <t>Licencias de Office 13 unidades</t>
  </si>
  <si>
    <t>Of. 070-ETNEM-SS-2024</t>
  </si>
  <si>
    <t>compra de Diésel donde se adjunta cuadro de distribución</t>
  </si>
  <si>
    <t>Of. 036-ETNEM-SS-2024</t>
  </si>
  <si>
    <t>Of. 066-CNS-SSRISS-2024</t>
  </si>
  <si>
    <t>compra de Gasolina donde se adjunta cuadro de distribución</t>
  </si>
  <si>
    <t>Of. 085-ETNEM-SS-2024</t>
  </si>
  <si>
    <t>Of. 067-CNS-SSRISS-2024</t>
  </si>
  <si>
    <t>Mesas, silllas, carpas, manteles, arreglo floral, coffe break, bebidas soda, botes de agua</t>
  </si>
  <si>
    <t>Of. 310-DGRP-2024</t>
  </si>
  <si>
    <t>Of. 072-CNS-SSRISS-2024</t>
  </si>
  <si>
    <t>computadora de escritorio, computadora portatil, impresora multifuncional (flujo continuo)</t>
  </si>
  <si>
    <t>Of. 311-DGRP-2024</t>
  </si>
  <si>
    <t>Of. 090-CNS-SSRISS-2024</t>
  </si>
  <si>
    <t>Licencias Zoom, Antivirus, Microsoft</t>
  </si>
  <si>
    <t>Of. 312-DGRP-2024</t>
  </si>
  <si>
    <t>Chalecos, gabachas,</t>
  </si>
  <si>
    <t>Of. 097-ETNEM-SS-2024</t>
  </si>
  <si>
    <t>Chalecos, Camisetas, Gorras, Capotes, gabachas</t>
  </si>
  <si>
    <t>Of. 051-ETNEM-SS-2024</t>
  </si>
  <si>
    <t>Chalecos</t>
  </si>
  <si>
    <t>Of. 188-DGRP-2024</t>
  </si>
  <si>
    <t>ML-1, ML-1 Modificado para los laboratorios regiionales, ML-2, MPDR Informe mensual de PDR, ML-6, M-0</t>
  </si>
  <si>
    <t>Of. 071-ETNEM-SS-2024</t>
  </si>
  <si>
    <t>Formularios ya se enviaon virtual</t>
  </si>
  <si>
    <t>Aire acondicionado 36000 BTU, Aire acondicionado 60000</t>
  </si>
  <si>
    <t>Of. 098-ETNEM-SS-2024</t>
  </si>
  <si>
    <t>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t>
  </si>
  <si>
    <t>Of. 092-ETNEM-SS-2024</t>
  </si>
  <si>
    <t>Of. 120-CNS-SSRISS-2024</t>
  </si>
  <si>
    <t>Aceite de pino, Asistin, baldes, bolsas para basura, basureros, cloro, desinfectante ambiental, desodorante ambiental, escobas, jabon para labar losa, jabon liquido, desinfectante para superficies, mecha de trapeador, papel toalla absorvente, pastillas para baño, recogedor de basura</t>
  </si>
  <si>
    <t>Of. 095-ETNEM-SS-2024</t>
  </si>
  <si>
    <t>Opalina Lineal Blanco, Acetatos para laminar</t>
  </si>
  <si>
    <t>Of. 107-ETNEM-SS-2024</t>
  </si>
  <si>
    <t>regresarlos por incorrección de clasificación</t>
  </si>
  <si>
    <t>Licencias de Office 10 unidades, Antivirus Kaspersky</t>
  </si>
  <si>
    <t>Of. 096-ETNEM-SS-2024</t>
  </si>
  <si>
    <t>sin valor y efecto por que sie habia incluido la marca del antivirus en la solicitud</t>
  </si>
  <si>
    <t>Silla Secretarial, Archiveros metalicos, mesa de usos multiples pequeñoa</t>
  </si>
  <si>
    <t>Of. 039-ETNEM-SS-2024</t>
  </si>
  <si>
    <t xml:space="preserve">Transporte de varios </t>
  </si>
  <si>
    <t>Of. 108-ETNEM-SS-2024</t>
  </si>
  <si>
    <t>Of. 095-CNS-SSRISS-2024</t>
  </si>
  <si>
    <t>Reparación y mejoras de las areas de los laboratorios de VIH, Malaria y TB</t>
  </si>
  <si>
    <t>Of. 370-UVS-2024</t>
  </si>
  <si>
    <t>Of. 110-CNS-SSRISS-2024</t>
  </si>
  <si>
    <t>Licencias para OfficeMicrosoft 365, Antivirus</t>
  </si>
  <si>
    <t>Of. 096-ETNEM-2024</t>
  </si>
  <si>
    <t>Folder manila, Post-it 3M, Leitz, Cuaderno Unico, Papel, Sobres Manila, Papel Bond</t>
  </si>
  <si>
    <t>Of. 365-DGRP-2024</t>
  </si>
  <si>
    <t>Of.115-CNS-SSRISS-2024</t>
  </si>
  <si>
    <t>papel y carton varios para la cooordinación</t>
  </si>
  <si>
    <t>utiles varios de oficina para la cooordinación</t>
  </si>
  <si>
    <t>Of.117-CNS-SSRISS-2024</t>
  </si>
  <si>
    <t>Pick Up y Camionsito</t>
  </si>
  <si>
    <t>Of. 083-ETNEM-2024</t>
  </si>
  <si>
    <t>Of.074-CNS-SSRISS-2024</t>
  </si>
  <si>
    <t>Suma de Saldo</t>
  </si>
  <si>
    <t>Etiquetas de columna</t>
  </si>
  <si>
    <t>Objeto de gasto</t>
  </si>
  <si>
    <t>Disponible</t>
  </si>
  <si>
    <t>Objeto a Prorratear:</t>
  </si>
  <si>
    <t>Cantidad Prorrateada:</t>
  </si>
  <si>
    <t>Aplicaciones</t>
  </si>
  <si>
    <t>1.-FONDOS PARA EL AÑO 2024</t>
  </si>
  <si>
    <t>2.-PROGRESO DEL PRESUPUESTO 2024</t>
  </si>
  <si>
    <t>FONDOS PARA:</t>
  </si>
  <si>
    <t>APROBADO</t>
  </si>
  <si>
    <t>MODIFICACIONES</t>
  </si>
  <si>
    <t>DISPONIBLE</t>
  </si>
  <si>
    <t>ESTADO</t>
  </si>
  <si>
    <t>VIH</t>
  </si>
  <si>
    <t>MARARIA</t>
  </si>
  <si>
    <t>TB</t>
  </si>
  <si>
    <t>SSRISS</t>
  </si>
  <si>
    <t>TOTAL</t>
  </si>
  <si>
    <t>PROCESO</t>
  </si>
  <si>
    <t>ADJUDICADO</t>
  </si>
  <si>
    <t>SALDO INICIAL</t>
  </si>
  <si>
    <t>MALARIA</t>
  </si>
  <si>
    <t>Total</t>
  </si>
  <si>
    <t>Compromiso</t>
  </si>
  <si>
    <t>BUSCAR:</t>
  </si>
  <si>
    <t>N°</t>
  </si>
  <si>
    <t>No.- Proceso</t>
  </si>
  <si>
    <t>Nombre</t>
  </si>
  <si>
    <t>Timpos de entrega</t>
  </si>
  <si>
    <t>Empresa adjudicada según contrato</t>
  </si>
  <si>
    <t xml:space="preserve">Fecha de contrato </t>
  </si>
  <si>
    <t>Monto del Contrato</t>
  </si>
  <si>
    <t>PENDIENTE DE PAGO</t>
  </si>
  <si>
    <t>Unidad Ejecutora</t>
  </si>
  <si>
    <t>Reactivo (VIH)</t>
  </si>
  <si>
    <t xml:space="preserve">Intrumental Y Material Para Laboratorio </t>
  </si>
  <si>
    <t>Equipo De Laboratorio Medico</t>
  </si>
  <si>
    <t>Reactivos</t>
  </si>
  <si>
    <t>Otro Instrumental, Accesorios Y Material Medico</t>
  </si>
  <si>
    <t>DIPRODI</t>
  </si>
  <si>
    <t>PRODYLAB</t>
  </si>
  <si>
    <t>PROMED</t>
  </si>
  <si>
    <t>NIPRO MEDICAL CORPORATION</t>
  </si>
  <si>
    <t>INVERSIONES COBAN</t>
  </si>
  <si>
    <t>IMLAB</t>
  </si>
  <si>
    <t>LABIIOSPPY</t>
  </si>
  <si>
    <t>ST MEDIC</t>
  </si>
  <si>
    <t>GMAS</t>
  </si>
  <si>
    <t>COBAN</t>
  </si>
  <si>
    <t>IMECCSA</t>
  </si>
  <si>
    <t>CORIFAR</t>
  </si>
  <si>
    <t>Tenemos duda en que si se pago o no?</t>
  </si>
  <si>
    <t>Muebles Varios De Oficina</t>
  </si>
  <si>
    <t/>
  </si>
  <si>
    <t>Of.125-CNS-SSRISS-2024</t>
  </si>
  <si>
    <t>Of. 129-ETNEM-2024</t>
  </si>
  <si>
    <t>Pasajes para viajar a Gracias a Dios y las islas de Roatán</t>
  </si>
  <si>
    <t>Fracaso por no haber existencia</t>
  </si>
  <si>
    <t>Of. 564-DGRP-2024</t>
  </si>
  <si>
    <t>Folders, cartoncillo, cartulina, papel bond, leitz</t>
  </si>
  <si>
    <t>Of. 434-DGRP-2024</t>
  </si>
  <si>
    <t>Lapices, marcadores, grapas, perforadoras, engrapadoras</t>
  </si>
  <si>
    <t>Total general</t>
  </si>
  <si>
    <t>Suma de Pagado</t>
  </si>
  <si>
    <t>Of.142-CNS-SSRISS-2024</t>
  </si>
  <si>
    <t>Of.141-CNS-SSRISS-2024</t>
  </si>
  <si>
    <t>Of. 128-ETNEM-2024</t>
  </si>
  <si>
    <t>Of. 135-ETNEM-2024</t>
  </si>
  <si>
    <t xml:space="preserve">Viaticos para gira de Gracias a Dios e Islas de la bahía </t>
  </si>
  <si>
    <t xml:space="preserve">Pasajes para gira de Gracias a Dios e Islas de la bahía </t>
  </si>
  <si>
    <t>Se devolvio por que habia muchas cosas por corregir</t>
  </si>
  <si>
    <t>(se deja en "0" para no duplicar montos en el reporte)</t>
  </si>
  <si>
    <t>Juegos de tintas 664, juegos de tintas BT 5001, Tinta BT D60, Juegos de tintas 544, juegos de tintas GI 190, toner #83A-83X, Toner#GPR-67, Toner #49A, Toner #GPR-35, memoria USB</t>
  </si>
  <si>
    <t>Of. 575-DGRP-2024</t>
  </si>
  <si>
    <t>tintas</t>
  </si>
  <si>
    <t>Of. 436-DGRP-2024</t>
  </si>
  <si>
    <t>utiles varios de oficina</t>
  </si>
  <si>
    <t>Of. 435-DGRP-2024</t>
  </si>
  <si>
    <t xml:space="preserve">Archivo, escritorio, silla, armario, silla, banco, </t>
  </si>
  <si>
    <t>Of. 593-DGRP-2024</t>
  </si>
  <si>
    <t>Discos delanteros</t>
  </si>
  <si>
    <t>Of. 153-ETNEM-2024</t>
  </si>
  <si>
    <t xml:space="preserve">Se deja un solo valor por que ya hay una solicitud de compra de tintas </t>
  </si>
  <si>
    <t>Cloro, detergente, cepillo, detergente liquido neutro PH7</t>
  </si>
  <si>
    <t>Jeringas</t>
  </si>
  <si>
    <t>Of. 213-JLNV-2024</t>
  </si>
  <si>
    <t>adención de vehiculo mas una motocicleta</t>
  </si>
  <si>
    <t>Of. 162-ETNEM-2024</t>
  </si>
  <si>
    <t>adención de vehiculo mas una motocicleta al oficio 074-CNS-SSRISS-2024</t>
  </si>
  <si>
    <t>Of.151-CNS-SSRISS-2024</t>
  </si>
  <si>
    <t>Of.155-CNS-SSRISS-2024</t>
  </si>
  <si>
    <t>Of.146-CNS-SSRISS-2024</t>
  </si>
  <si>
    <t>Saldo Adjudicado</t>
  </si>
  <si>
    <t>Of. 154-CNS-SSRISS-2024</t>
  </si>
  <si>
    <t>Of. 628-DGRP-2024</t>
  </si>
  <si>
    <t>Of. 166-CNS-SSRISS-2024</t>
  </si>
  <si>
    <t>Of. 091-CNS-SSRISS-2024</t>
  </si>
  <si>
    <t>Se enviaron rectificaciones con Oficio No .150-CNS-SSRISS-2024</t>
  </si>
  <si>
    <t>Se enviaron rectificaciones con Oficio No .150-CNS-SSRISS-2024. Solo se deja el presupuesto pendiente en una de las solicitudes de malaria para no duplicar saldos</t>
  </si>
  <si>
    <t>se regreso por observaciones</t>
  </si>
  <si>
    <t>Of. 123-CNS-SSRISS-2024</t>
  </si>
  <si>
    <t>se envio adhesión para adquirir licrncias microsoft</t>
  </si>
  <si>
    <t>Fecha de ingreso del Of. ETN a CNS</t>
  </si>
  <si>
    <t>Número de Of. De CNS a GA</t>
  </si>
  <si>
    <t>Manuales, lineamientos,Plan metodologoico,  diagramación diseño e impresión</t>
  </si>
  <si>
    <t>Of. 619-DGRP-2024</t>
  </si>
  <si>
    <t>10/4/204</t>
  </si>
  <si>
    <t>Of. 164-CNS-SSRISS-2024</t>
  </si>
  <si>
    <t>Acta No. 0008-2024</t>
  </si>
  <si>
    <t>Of. 231-JLNV-2024</t>
  </si>
  <si>
    <t>Of. 230-JLNV-2024</t>
  </si>
  <si>
    <t>Of. 170-CNS-SSRISS-2024</t>
  </si>
  <si>
    <t>Of. 169-CNS-SSRISS-2024</t>
  </si>
  <si>
    <t>Biolne malaria AG P.F/P.V Rapid Test kid, 25 T/KIT ( CAT# 05FK83)</t>
  </si>
  <si>
    <t>Cartucho Cartucho Xpert MTB RIF Ultra
Cartucho Cartucho Xpert MTB XDR</t>
  </si>
  <si>
    <t>Of. 168-CNS-SRISS-2024</t>
  </si>
  <si>
    <t>Of. 668-DGRP-2024</t>
  </si>
  <si>
    <t>Guillotina, encuadernadora, Ventilador, Triturador de papel</t>
  </si>
  <si>
    <t>Of. 168-CNS-SSRISS-2024</t>
  </si>
  <si>
    <t>Of. 603-DGRP-2024</t>
  </si>
  <si>
    <t>Aire acondicionado 36000 BTU encuadernadora</t>
  </si>
  <si>
    <t>Of. 180-CNS-SSRISS-2024</t>
  </si>
  <si>
    <t>quedo sin valor y efecto</t>
  </si>
  <si>
    <t>Of. 185-CNS-SSRISS-2024</t>
  </si>
  <si>
    <t>Of. 245-JLNV-2024</t>
  </si>
  <si>
    <t>Of. 217-JLNV-2024</t>
  </si>
  <si>
    <t>Pendiente de espera de resolución del proceso de febrero</t>
  </si>
  <si>
    <t>Of. 186-CNS-SSRISS-2024</t>
  </si>
  <si>
    <t>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t>
  </si>
  <si>
    <t>Of. 240-JLNV-2024</t>
  </si>
  <si>
    <t>Se requiere de autorización de compra directa por parte de la ministra</t>
  </si>
  <si>
    <t>Of. 242-JLNV-2024</t>
  </si>
  <si>
    <t>Mascarillas , botas quirurgicas, cinta testigo, aplicadores, guantes, batas, caretas protectoras, gorro quirurgico, cubrezapatos, bolsas de bioseguridad, tubos conicos</t>
  </si>
  <si>
    <t>Se requiere de autorización de compra directa por parte de la ministra. Y en busqueda del expediente mencionado en el oficio</t>
  </si>
  <si>
    <t>Dra. Lucy</t>
  </si>
  <si>
    <t>Of. 238-JLNV-2024</t>
  </si>
  <si>
    <t>Reactivos malaria</t>
  </si>
  <si>
    <t>Reactivos TB</t>
  </si>
  <si>
    <t>Of. 187-CNS-SSRISS-2024</t>
  </si>
  <si>
    <t>Se requiere de autorización de compra directa por parte de la ministra. Se requiere justificación en hojas aparte por solicitud de items con marcas 26, 29, 51, 72</t>
  </si>
  <si>
    <t>Of. 239-JLNV-2024</t>
  </si>
  <si>
    <t>Reactivos VIH</t>
  </si>
  <si>
    <t>Of. 181-CNS-SSRISS-2024</t>
  </si>
  <si>
    <t>Modificación presupuestaria de malaria para adquisición de vehiculos</t>
  </si>
  <si>
    <t>Of. 193-CNS-SSRISS</t>
  </si>
  <si>
    <t>Of. 194-CNS-SSRISS</t>
  </si>
  <si>
    <t>Modificación realizada por gerencia administrativa para fortalecer  este objeto</t>
  </si>
  <si>
    <t>Ejecución (L)</t>
  </si>
  <si>
    <t>% de Ejecución</t>
  </si>
  <si>
    <t>% Proceso</t>
  </si>
  <si>
    <t>De lo adjudicado pagado</t>
  </si>
  <si>
    <t>3.-RESUMEN DE EJECUCIÓN</t>
  </si>
  <si>
    <t>Se realizará mediante compra conjunta, como para el Dengue, Zika, etc. NOTA: SE AFECTARÁN LAS SIGUIENTES ESTRUCTURAS PRESUPUESTARIAS:
UE: 53 PROGRAMA: 19 ACTIVIDAD 001 POR L.46,460,000.00
UE: 58 PROGRAMA: 18 ACTIVIDAD 012 POR L.580,000.00</t>
  </si>
  <si>
    <t>42510-Malaria</t>
  </si>
  <si>
    <t>42510-VIH</t>
  </si>
  <si>
    <t>42510-TB</t>
  </si>
  <si>
    <t>42510-SSRISS</t>
  </si>
  <si>
    <t>42510 Equipo de Comunicación</t>
  </si>
  <si>
    <t>42510-MALARIA</t>
  </si>
  <si>
    <t>Modificación para la adquisición de data show y televisores</t>
  </si>
  <si>
    <t>Of. 208-CNS-SSRISS-2024</t>
  </si>
  <si>
    <t xml:space="preserve">Leches </t>
  </si>
  <si>
    <t>Of. 214-CNS-SSRISS-2024</t>
  </si>
  <si>
    <t>Confirmar si los 1,024.65 son los de VIH</t>
  </si>
  <si>
    <t>Numero de requerimiento,  REQ24-00003243 con un monto de USD 198,645.25 (L 4,906,493.63)</t>
  </si>
  <si>
    <t>Numero de requerimiento,  REQ24-00002044 con un monto de USD 165,926.88 (L 4,098,337.95)</t>
  </si>
  <si>
    <t>Of. 220-CNS-SSRISS-2024</t>
  </si>
  <si>
    <t>Of. 442-2024-ULMI</t>
  </si>
  <si>
    <t>Se deja en 0 por que ya hay una solicitud en proceso y no duplicar datos</t>
  </si>
  <si>
    <t>Se requiere de autorización de compra directa por parte de la ministra. Pendiente justificaciones mismas que se recibieron el 24/4/2024. se pidio la aotorización mediante Of. 189-CNS-SSRISS-2024</t>
  </si>
  <si>
    <t>Data Show, Televisores y Pantallas para proyectar</t>
  </si>
  <si>
    <t>Of. 228-ETNEM-SS-2024</t>
  </si>
  <si>
    <t>Of. 219-CNS-SSRISS-2024</t>
  </si>
  <si>
    <t>Según orden de compra N° 2686-2024</t>
  </si>
  <si>
    <t>Filtros, Soporte, Bombas, Retenedores, Balinera, Hules, Cruces, Bandas, Escobillas, Disco</t>
  </si>
  <si>
    <t>Of. 936-DGRP-2024</t>
  </si>
  <si>
    <t>Of. 805-DGRP-2024</t>
  </si>
  <si>
    <t>Fricciones, Filtros, Amortiguadores, banda, bombas</t>
  </si>
  <si>
    <t>Reparación de vehiculos  nuevos Pick Up Colorado mantenimiento de 5,000 Km</t>
  </si>
  <si>
    <t>Of. 802-DGRP-2024</t>
  </si>
  <si>
    <t>Of. 804-DGRP-2024</t>
  </si>
  <si>
    <t>Of. 809-DGRP-2024</t>
  </si>
  <si>
    <t>14 llantas para 3 Vehiculos</t>
  </si>
  <si>
    <t>15 llantas para 3 Vehiculos</t>
  </si>
  <si>
    <t>Of. 235-CNS-SSRISS-2024</t>
  </si>
  <si>
    <t>Of. 241-CNS-SSRISS-2024</t>
  </si>
  <si>
    <t>Of. 240-CNS-SSRISS-2024</t>
  </si>
  <si>
    <t>Of. 244-ETNEM-SS-2024</t>
  </si>
  <si>
    <t>Llantas para malaria</t>
  </si>
  <si>
    <t>Llantas para vehiculo de la coodinación</t>
  </si>
  <si>
    <t>Solo se deja el presupuesto pendiente en una de las solicitudes de malaria para no duplicar saldos. Oficio 2380-2024-GA ( Aires acondicionados) 2381-2024-GA (Fotocopiadora) 2382-2024-GA (Aspiradora ventiladores trituradora, encuadernadora)</t>
  </si>
  <si>
    <t>Mantenimiento</t>
  </si>
  <si>
    <t>Of. 236-CNS-SSRISS-2024</t>
  </si>
  <si>
    <t>Of. 210-ETNEM-SS-2024</t>
  </si>
  <si>
    <t>Tintas, mouse y USB</t>
  </si>
  <si>
    <t>Of. 257-CNS-SSRISS-2024</t>
  </si>
  <si>
    <t>Solicitud de viaticos corregida. Fracasado por falta de documentación necesaria para gestión del proceso.</t>
  </si>
  <si>
    <t>Viaticos de la Subsecretaria de Redes Integradas de Servicios de Salud</t>
  </si>
  <si>
    <t>Pasajes de la Subsecretaria de Redes Integradas de Servicios de Salud</t>
  </si>
  <si>
    <t>4-DISTRIBUCIÓN DEL PRESUPUESTO POR UNIDAD</t>
  </si>
  <si>
    <t>Grupo</t>
  </si>
  <si>
    <t>Modificación para compra de vehiculos</t>
  </si>
  <si>
    <t>Grupo 20000 Servicios No Personales</t>
  </si>
  <si>
    <t>Grupo 10000 Servicios Personales</t>
  </si>
  <si>
    <t>Grupo 30000 Materiales y Suministros</t>
  </si>
  <si>
    <t>Grupo 40000 Bienes Capitalizables</t>
  </si>
  <si>
    <t>Grupo 50000 Transferencias y Donaciones</t>
  </si>
  <si>
    <t> SESAL-CM-GC-0120-2024</t>
  </si>
  <si>
    <t>SESAL-CM-GC-0145-2024</t>
  </si>
  <si>
    <t>Agregado por presupuestos para desaduanaje de vacunas</t>
  </si>
  <si>
    <t>Retirado por GA</t>
  </si>
  <si>
    <t>Agregado por GA</t>
  </si>
  <si>
    <t>5-SOLICITUDES REALIZADAS MEDIANTE CNS</t>
  </si>
  <si>
    <t>SUMA</t>
  </si>
  <si>
    <t>TUBERCULOSIS</t>
  </si>
  <si>
    <t>EQUIPOS</t>
  </si>
  <si>
    <t>FRACASADO</t>
  </si>
  <si>
    <t>DESIERTO</t>
  </si>
  <si>
    <t>OBSERVACIONES</t>
  </si>
  <si>
    <t>Aceite para motor 15W30 8 Galones</t>
  </si>
  <si>
    <t>Of. 803-DGRP-2024</t>
  </si>
  <si>
    <t>Of. 233-CNS-SSRISS-2024</t>
  </si>
  <si>
    <t>% Total</t>
  </si>
  <si>
    <t>LPN 05-2024-SESAL</t>
  </si>
  <si>
    <t>No. De Item</t>
  </si>
  <si>
    <t>Producto</t>
  </si>
  <si>
    <t>Descripción</t>
  </si>
  <si>
    <t>Cantidad</t>
  </si>
  <si>
    <t>Lápiz tinta color negro</t>
  </si>
  <si>
    <t>Lápiz tinta color rojo</t>
  </si>
  <si>
    <t>Lápiz tinta color azul</t>
  </si>
  <si>
    <t>Clips estándar</t>
  </si>
  <si>
    <t>Clips Jumbo</t>
  </si>
  <si>
    <t>Corrector</t>
  </si>
  <si>
    <t>Grapa estándar</t>
  </si>
  <si>
    <t>Grapas estándar caja de 5000 unidades caja 26/6</t>
  </si>
  <si>
    <t>Fasteners</t>
  </si>
  <si>
    <t>Fastenes metálicos de #8 cm 50 unidades caja</t>
  </si>
  <si>
    <t>Grapa industrial</t>
  </si>
  <si>
    <t>Grapa industrial 23/13 caja</t>
  </si>
  <si>
    <t>Grapa industrial 23/17 caja</t>
  </si>
  <si>
    <t>Marcadores para pizarra negro</t>
  </si>
  <si>
    <t xml:space="preserve">Marcadores para pizarra rojo </t>
  </si>
  <si>
    <t>Marcadores para pizarra azul</t>
  </si>
  <si>
    <t>Marcador permanente negro</t>
  </si>
  <si>
    <t>Masking tape de 2</t>
  </si>
  <si>
    <t>Masking tape de 2" x hasta 40 yardas de largo c/u</t>
  </si>
  <si>
    <t>Precio</t>
  </si>
  <si>
    <t>Pegamento</t>
  </si>
  <si>
    <t>Perforadora</t>
  </si>
  <si>
    <t>Quita grapas</t>
  </si>
  <si>
    <t>Reglas</t>
  </si>
  <si>
    <t>Regla de plástico trasparente de 12" c/u</t>
  </si>
  <si>
    <t>Resaltadores</t>
  </si>
  <si>
    <t>Sacapuntas</t>
  </si>
  <si>
    <t>Tape trasparente</t>
  </si>
  <si>
    <t>Tijera</t>
  </si>
  <si>
    <t>Tijera de acero inoxidable de 8" de largo c/u</t>
  </si>
  <si>
    <t>Tinta para Sellos</t>
  </si>
  <si>
    <t>Tinta para sellos en bote roll-on negro 60cc c/u</t>
  </si>
  <si>
    <t>Tinta para sellos</t>
  </si>
  <si>
    <t>Tinta para sellos en bote roll-on azul 60cc c/u</t>
  </si>
  <si>
    <t xml:space="preserve">Masking tape de 3/4 </t>
  </si>
  <si>
    <t>Masking tape de 3/4 " x hasta 40 yardas c/u</t>
  </si>
  <si>
    <t>Borrador</t>
  </si>
  <si>
    <t>Marcador permanente Rojo</t>
  </si>
  <si>
    <t>Cinta adhesiva café</t>
  </si>
  <si>
    <t>Señaladores para firma</t>
  </si>
  <si>
    <t>Lapiz grafito</t>
  </si>
  <si>
    <t>Grapadora estándar</t>
  </si>
  <si>
    <t>Separadores de carpetas</t>
  </si>
  <si>
    <t>Paquete de separadores de carpeta tamaño carta</t>
  </si>
  <si>
    <r>
      <t xml:space="preserve">resaltadores fluorescentes gruesos </t>
    </r>
    <r>
      <rPr>
        <b/>
        <sz val="9"/>
        <color theme="1"/>
        <rFont val="Century Gothic"/>
        <family val="2"/>
      </rPr>
      <t>amarillo</t>
    </r>
    <r>
      <rPr>
        <sz val="9"/>
        <color theme="1"/>
        <rFont val="Century Gothic"/>
        <family val="2"/>
      </rPr>
      <t xml:space="preserve"> 3mm-5mm caja 12 unidades de buena calidad</t>
    </r>
  </si>
  <si>
    <t>Grapadora Avanzada</t>
  </si>
  <si>
    <t>Pinzas sujeta papel (binder)</t>
  </si>
  <si>
    <t>Caja de Binders Metalicos de buena calidad 32MM</t>
  </si>
  <si>
    <t>Caja de Binders Metalicos de buena calidad 25MM</t>
  </si>
  <si>
    <t>Tachuelas de colores</t>
  </si>
  <si>
    <t>De acero color negro capacidad 25 hojas c/u, Alta calidad</t>
  </si>
  <si>
    <t>Grapadora Manual</t>
  </si>
  <si>
    <t>Perforadora de dos orificios metalica capacidad 100 hojas unidad</t>
  </si>
  <si>
    <t>Marcador punta fina</t>
  </si>
  <si>
    <r>
      <t xml:space="preserve">marcador permanente de punta fina (1mm - 2mm) color </t>
    </r>
    <r>
      <rPr>
        <b/>
        <sz val="9"/>
        <color theme="1"/>
        <rFont val="Century Gothic"/>
        <family val="2"/>
      </rPr>
      <t>verde</t>
    </r>
    <r>
      <rPr>
        <sz val="9"/>
        <color theme="1"/>
        <rFont val="Century Gothic"/>
        <family val="2"/>
      </rPr>
      <t>, alta calidad</t>
    </r>
  </si>
  <si>
    <r>
      <t xml:space="preserve">marcador permanente de punta fina (1mm - 2mm) color </t>
    </r>
    <r>
      <rPr>
        <b/>
        <sz val="9"/>
        <color theme="1"/>
        <rFont val="Century Gothic"/>
        <family val="2"/>
      </rPr>
      <t>Negro</t>
    </r>
    <r>
      <rPr>
        <sz val="9"/>
        <color theme="1"/>
        <rFont val="Century Gothic"/>
        <family val="2"/>
      </rPr>
      <t>, alta calidad</t>
    </r>
  </si>
  <si>
    <t>Calculadora Cientifica</t>
  </si>
  <si>
    <t>Calculadora Escritorio</t>
  </si>
  <si>
    <t>Bandeja para correspondencia</t>
  </si>
  <si>
    <t>Carpeta plastificada</t>
  </si>
  <si>
    <t>Corrector en cinta</t>
  </si>
  <si>
    <t>Lapiz Portaminas Plastico</t>
  </si>
  <si>
    <t>Lapiz Portaminas Metal</t>
  </si>
  <si>
    <t>Cera para Contar</t>
  </si>
  <si>
    <t>Marcador indeleble</t>
  </si>
  <si>
    <t>Caja de Binders Metalicos de buena calidad 41MM</t>
  </si>
  <si>
    <t>Repuestos para lápices portaminas</t>
  </si>
  <si>
    <t>minas 0.7 hb, alta calidad </t>
  </si>
  <si>
    <t>minas 0.5 hb, alta calidad </t>
  </si>
  <si>
    <t>Tablas para sujetar</t>
  </si>
  <si>
    <t>tabla sujetapapel tamaño carta de fibracel, alta calidad</t>
  </si>
  <si>
    <t>Precio con ISV</t>
  </si>
  <si>
    <t>Grapadora Manual para pared, Alta calidad, Unidad</t>
  </si>
  <si>
    <t>perforadora de dos orificios metálica capacidad de 1 hasta 25 hojas, alta calidad , unidad</t>
  </si>
  <si>
    <t>perforadora de dos orificios metálica capacidad de 26 hasta 50 hojas, alta calidad, Unidad</t>
  </si>
  <si>
    <t>Caja de tacuelas de colores, alta calidad Caja</t>
  </si>
  <si>
    <t>Repuestos de borrador</t>
  </si>
  <si>
    <t>Paquete de Borradores para lapiz grafito</t>
  </si>
  <si>
    <t>cera para contar de 14 gr, alta calidad unidades</t>
  </si>
  <si>
    <t xml:space="preserve">Grapadora industrial de acero reforzado capacidad 100 hojas </t>
  </si>
  <si>
    <t>calculadora científica, alta calidad, Unidad</t>
  </si>
  <si>
    <t>borrador en lápiz con repuestos, alta calidad Unidad</t>
  </si>
  <si>
    <t>calculadora tipo sumadora para escritorio de 14 dígitos eléctrica, alta calidad Unidad</t>
  </si>
  <si>
    <t>Bandeja de plástico para correspondencia de 3 depósitos tamaño a4, alta calidad, Unidad</t>
  </si>
  <si>
    <t>bandeja de metal para correspondencia de 3 depósitos tamaño a4, alta calidad, Unidad</t>
  </si>
  <si>
    <t>carpeta plástificada tamaño carta, expandible de 7 a 13 espacios, alta calidad unidades</t>
  </si>
  <si>
    <t>carpeta plástificada tamaño oficio, expandible de 7 a 13 espacios, alta calidad Unidades</t>
  </si>
  <si>
    <t>Cinta adhesiva café 2 PLG de buena calidad Unidades</t>
  </si>
  <si>
    <r>
      <t>lápiz portaminas 0.5 con cuerpo de metal, alta calidad </t>
    </r>
    <r>
      <rPr>
        <b/>
        <sz val="9"/>
        <color theme="1"/>
        <rFont val="Century Gothic"/>
        <family val="2"/>
      </rPr>
      <t>Unidades</t>
    </r>
  </si>
  <si>
    <r>
      <t xml:space="preserve">lápiz portaminas 0.7 con cuerpo de plástico resistente, alta calidad, </t>
    </r>
    <r>
      <rPr>
        <b/>
        <sz val="9"/>
        <color theme="1"/>
        <rFont val="Century Gothic"/>
        <family val="2"/>
      </rPr>
      <t>unidades</t>
    </r>
  </si>
  <si>
    <t>Costo total</t>
  </si>
  <si>
    <r>
      <t xml:space="preserve">Clip estándar pequeño color plateado </t>
    </r>
    <r>
      <rPr>
        <b/>
        <sz val="9"/>
        <color theme="1"/>
        <rFont val="Century Gothic"/>
        <family val="2"/>
      </rPr>
      <t>caja</t>
    </r>
    <r>
      <rPr>
        <sz val="9"/>
        <color theme="1"/>
        <rFont val="Century Gothic"/>
        <family val="2"/>
      </rPr>
      <t xml:space="preserve"> de 100 unidades </t>
    </r>
  </si>
  <si>
    <r>
      <t xml:space="preserve">Clip jumbo color plateado </t>
    </r>
    <r>
      <rPr>
        <b/>
        <sz val="9"/>
        <color theme="1"/>
        <rFont val="Century Gothic"/>
        <family val="2"/>
      </rPr>
      <t>caja</t>
    </r>
    <r>
      <rPr>
        <sz val="9"/>
        <color theme="1"/>
        <rFont val="Century Gothic"/>
        <family val="2"/>
      </rPr>
      <t xml:space="preserve"> de 100 unidades </t>
    </r>
  </si>
  <si>
    <r>
      <t xml:space="preserve">cinta correctora en seco, alta calidad </t>
    </r>
    <r>
      <rPr>
        <b/>
        <sz val="9"/>
        <color theme="1"/>
        <rFont val="Century Gothic"/>
        <family val="2"/>
      </rPr>
      <t>unidades</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</si>
  <si>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</si>
  <si>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de 12 unidades 1,0 mm punto mediano Alta calidad </t>
    </r>
  </si>
  <si>
    <r>
      <rPr>
        <b/>
        <sz val="9"/>
        <color theme="1"/>
        <rFont val="Century Gothic"/>
        <family val="2"/>
      </rPr>
      <t>Caja</t>
    </r>
    <r>
      <rPr>
        <sz val="9"/>
        <color theme="1"/>
        <rFont val="Century Gothic"/>
        <family val="2"/>
      </rPr>
      <t xml:space="preserve"> marcador indeleble color blanco, permanente, alta calidad </t>
    </r>
  </si>
  <si>
    <r>
      <rPr>
        <b/>
        <sz val="9"/>
        <color theme="1"/>
        <rFont val="Century Gothic"/>
        <family val="2"/>
      </rPr>
      <t>Caja</t>
    </r>
    <r>
      <rPr>
        <sz val="9"/>
        <color theme="1"/>
        <rFont val="Century Gothic"/>
        <family val="2"/>
      </rPr>
      <t xml:space="preserve"> marcador indeleble color plateado, permanente, alta calidad </t>
    </r>
  </si>
  <si>
    <r>
      <t xml:space="preserve">Marcadores permanentes color negro </t>
    </r>
    <r>
      <rPr>
        <b/>
        <sz val="9"/>
        <color theme="1"/>
        <rFont val="Century Gothic"/>
        <family val="2"/>
      </rPr>
      <t>caja</t>
    </r>
    <r>
      <rPr>
        <sz val="9"/>
        <color theme="1"/>
        <rFont val="Century Gothic"/>
        <family val="2"/>
      </rPr>
      <t xml:space="preserve"> de 12 unidades Buena calidad</t>
    </r>
  </si>
  <si>
    <r>
      <t xml:space="preserve">Marcadores permanentes color rojo </t>
    </r>
    <r>
      <rPr>
        <b/>
        <sz val="9"/>
        <color theme="1"/>
        <rFont val="Century Gothic"/>
        <family val="2"/>
      </rPr>
      <t>caja</t>
    </r>
    <r>
      <rPr>
        <sz val="9"/>
        <color theme="1"/>
        <rFont val="Century Gothic"/>
        <family val="2"/>
      </rPr>
      <t xml:space="preserve"> de 12 unidades de buena calidad</t>
    </r>
  </si>
  <si>
    <r>
      <t xml:space="preserve">Marcador para pizarra negro 3mm-5mm c/u </t>
    </r>
    <r>
      <rPr>
        <b/>
        <sz val="9"/>
        <color theme="1"/>
        <rFont val="Century Gothic"/>
        <family val="2"/>
      </rPr>
      <t>caja</t>
    </r>
    <r>
      <rPr>
        <sz val="9"/>
        <color theme="1"/>
        <rFont val="Century Gothic"/>
        <family val="2"/>
      </rPr>
      <t xml:space="preserve"> de 12 unidades</t>
    </r>
  </si>
  <si>
    <r>
      <t xml:space="preserve">Marcador para pizarra azul 3mm-5mm c/u </t>
    </r>
    <r>
      <rPr>
        <b/>
        <sz val="9"/>
        <color theme="1"/>
        <rFont val="Century Gothic"/>
        <family val="2"/>
      </rPr>
      <t>caja</t>
    </r>
    <r>
      <rPr>
        <sz val="9"/>
        <color theme="1"/>
        <rFont val="Century Gothic"/>
        <family val="2"/>
      </rPr>
      <t xml:space="preserve"> de 12 unidades</t>
    </r>
  </si>
  <si>
    <r>
      <t xml:space="preserve">Marcador para pizarra rojo 3mm-5mm c/u </t>
    </r>
    <r>
      <rPr>
        <b/>
        <sz val="9"/>
        <color theme="1"/>
        <rFont val="Century Gothic"/>
        <family val="2"/>
      </rPr>
      <t>caja</t>
    </r>
    <r>
      <rPr>
        <sz val="9"/>
        <color theme="1"/>
        <rFont val="Century Gothic"/>
        <family val="2"/>
      </rPr>
      <t xml:space="preserve"> de 12 unidades</t>
    </r>
  </si>
  <si>
    <r>
      <t xml:space="preserve">Quitagrapas metálico de uñas </t>
    </r>
    <r>
      <rPr>
        <b/>
        <sz val="9"/>
        <color theme="1"/>
        <rFont val="Century Gothic"/>
        <family val="2"/>
      </rPr>
      <t>unidad</t>
    </r>
  </si>
  <si>
    <t>regla de aluminio gris, alta calidad</t>
  </si>
  <si>
    <r>
      <t xml:space="preserve">resaltadores fluorescentes gruesos </t>
    </r>
    <r>
      <rPr>
        <b/>
        <sz val="9"/>
        <color theme="1"/>
        <rFont val="Century Gothic"/>
        <family val="2"/>
      </rPr>
      <t>rosado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</si>
  <si>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verde</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</si>
  <si>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r>
      <t xml:space="preserve">resaltadores fluorescentes gruesos </t>
    </r>
    <r>
      <rPr>
        <b/>
        <sz val="9"/>
        <color theme="1"/>
        <rFont val="Century Gothic"/>
        <family val="2"/>
      </rPr>
      <t>anaranjado</t>
    </r>
    <r>
      <rPr>
        <sz val="9"/>
        <color theme="1"/>
        <rFont val="Century Gothic"/>
        <family val="2"/>
      </rPr>
      <t xml:space="preserve"> 3mm-5mm </t>
    </r>
    <r>
      <rPr>
        <b/>
        <sz val="9"/>
        <color theme="1"/>
        <rFont val="Century Gothic"/>
        <family val="2"/>
      </rPr>
      <t>caja</t>
    </r>
    <r>
      <rPr>
        <sz val="9"/>
        <color theme="1"/>
        <rFont val="Century Gothic"/>
        <family val="2"/>
      </rPr>
      <t xml:space="preserve"> 12 unidades buena calidad</t>
    </r>
  </si>
  <si>
    <t>Paquete de varios colores Buena calidad</t>
  </si>
  <si>
    <r>
      <t xml:space="preserve">Lápiz portaminas 0.7 con cuerpo de metal, alta calidad </t>
    </r>
    <r>
      <rPr>
        <b/>
        <sz val="9"/>
        <color theme="1"/>
        <rFont val="Century Gothic"/>
        <family val="2"/>
      </rPr>
      <t>unidades</t>
    </r>
  </si>
  <si>
    <t>Sacapuntas manual de 1 orificio metálico, Buena calidad</t>
  </si>
  <si>
    <t>Organizadores para cajones de escritorio</t>
  </si>
  <si>
    <t xml:space="preserve">portalápices un depósito malla metálica, alta calidad </t>
  </si>
  <si>
    <t>Portalápices</t>
  </si>
  <si>
    <t>organizador de escritorio de malla, alta calidad</t>
  </si>
  <si>
    <t>portaclip magnético, alta calidad</t>
  </si>
  <si>
    <t>Dispensador de cinta</t>
  </si>
  <si>
    <t>Cordon porta carné</t>
  </si>
  <si>
    <t>Borradores de lápiz</t>
  </si>
  <si>
    <t>cordón redondo para porta carné, alta calidad, color negro</t>
  </si>
  <si>
    <r>
      <t xml:space="preserve">Corrector en liquido blanco tipo lápiz 8 ml, mínimo hasta 10 ml </t>
    </r>
    <r>
      <rPr>
        <b/>
        <sz val="9"/>
        <color theme="1"/>
        <rFont val="Century Gothic"/>
        <family val="2"/>
      </rPr>
      <t xml:space="preserve">Caja </t>
    </r>
    <r>
      <rPr>
        <sz val="9"/>
        <color theme="1"/>
        <rFont val="Century Gothic"/>
        <family val="2"/>
      </rPr>
      <t>de 12 unidades caja</t>
    </r>
  </si>
  <si>
    <t>Lapiz tinta negro Retractil</t>
  </si>
  <si>
    <t>bolígrafo retráctil de tinta de aceite punta mediana color negro, alta calidad</t>
  </si>
  <si>
    <t>Pegamento en barra de 20 gramos c/u, buena calidad</t>
  </si>
  <si>
    <t>Portaclips magnetico</t>
  </si>
  <si>
    <t xml:space="preserve">repuesto para borrador en lápiz, alta calidad </t>
  </si>
  <si>
    <t>Tape trasparente de 1" Pulgada entre 40 yardas o mas de largo c/u</t>
  </si>
  <si>
    <t>Tape trasparente de 3/4" Pulgada entre 40 yardas o mas de largo c/u</t>
  </si>
  <si>
    <t xml:space="preserve">lápiz para dibujo técnico 4h, alta calidad </t>
  </si>
  <si>
    <r>
      <t xml:space="preserve">Dispensador manual para cinta adhesiva </t>
    </r>
    <r>
      <rPr>
        <b/>
        <sz val="9"/>
        <color theme="1"/>
        <rFont val="Century Gothic"/>
        <family val="2"/>
      </rPr>
      <t>pequeño</t>
    </r>
    <r>
      <rPr>
        <sz val="9"/>
        <color theme="1"/>
        <rFont val="Century Gothic"/>
        <family val="2"/>
      </rPr>
      <t>, alta calidad</t>
    </r>
  </si>
  <si>
    <r>
      <t xml:space="preserve">Dispensador manual para cinta adhesiva </t>
    </r>
    <r>
      <rPr>
        <b/>
        <sz val="9"/>
        <color theme="1"/>
        <rFont val="Century Gothic"/>
        <family val="2"/>
      </rPr>
      <t>grande</t>
    </r>
    <r>
      <rPr>
        <sz val="9"/>
        <color theme="1"/>
        <rFont val="Century Gothic"/>
        <family val="2"/>
      </rPr>
      <t>, alta calidad</t>
    </r>
  </si>
  <si>
    <t>CNS</t>
  </si>
  <si>
    <t>ETNEM</t>
  </si>
  <si>
    <t>Compra de utiles para ETNEM y la coordinación nacional de subvenciones</t>
  </si>
  <si>
    <t>Of. 282-CNS-SSRISS-2024</t>
  </si>
  <si>
    <t>Pago de desaduanaje</t>
  </si>
  <si>
    <t>Orden de Compra No.60-1-53-2629-2024 y Orden de Compra No.60-1-53-2631-2024</t>
  </si>
  <si>
    <t>Laptop avanzada para la coordinación nacional de subvenciones</t>
  </si>
  <si>
    <t>Orden de Compra No.60-1-53-2681-2024 y Orden de Compra No.60-1-53-2697-2024</t>
  </si>
  <si>
    <t>Orden de Compra No.60-1-53-2631-2024</t>
  </si>
  <si>
    <t>Orden de Compra No.60-1-53-2629-2024 y Orden de Compra No.60-1-53-2631-2024 (+ L 15,482.50 para completar la compra de computadora para la coordinación + 42,859.10 para completar computadora de VIH)</t>
  </si>
  <si>
    <t>Orden de Compra No.60-1-53-2595-2024</t>
  </si>
  <si>
    <t xml:space="preserve">Orden de Compra N° 60-1-53-2693-2024 </t>
  </si>
  <si>
    <t>Of. 83-2024-ULMI</t>
  </si>
  <si>
    <t>Of. 74-2024-ULMI</t>
  </si>
  <si>
    <t>Compra de medicamentos para TB atraves de OPS por L 59742.57 y la diferencia destinado para comprar medicamentos de malaria</t>
  </si>
  <si>
    <t>Compra de medicamentos por OPS por un valor de L 2,061,760.18 la mayoria se paga con presupuesto de TB</t>
  </si>
  <si>
    <t>CD-06-2023-SESAL</t>
  </si>
  <si>
    <t>Se adjudico el proceso de según oficio 923-DL-2023; L. 2,224,735.85. Precompromiso para el 2024 (pendiente de confirmar entrega) PAGADO L 2,070,443.6</t>
  </si>
  <si>
    <t>Traslado de fondos a OPS realizado directamente a Gerencia Administrativa por parte de la ULMI</t>
  </si>
  <si>
    <t>Tintas que no estaban disponibles en catalago electronico</t>
  </si>
  <si>
    <t>Of. 265-CNS-SSRISS-2024</t>
  </si>
  <si>
    <t>Of. 1039-DGRP-2024</t>
  </si>
  <si>
    <t>Nueva solicitud por compra menor debido a que mediante Of. 238-CNS-SSRISS-2024 se notificó que no stock de ciertas tintas en catalago eléctronico</t>
  </si>
  <si>
    <t>SESAL-CM-GC-0203-2024</t>
  </si>
  <si>
    <t>SESAL-CM-GC-0164-2024</t>
  </si>
  <si>
    <t>Total Grupo 30000 Materiales y Suministros</t>
  </si>
  <si>
    <t>Total Grupo 40000 Bienes Capitalizables</t>
  </si>
  <si>
    <t>Total Grupo 10000 Servicios Personales</t>
  </si>
  <si>
    <t>Total Grupo 20000 Servicios No Personales</t>
  </si>
  <si>
    <t>Solicitud de la coordinación con apoyo de malaria</t>
  </si>
  <si>
    <t>O/C. No. 60-1-53-2746 -2024, No. 60-1-53-2727-2024, No. 60-1-53-2747-2024, No. 60-1-53-2730 -2024</t>
  </si>
  <si>
    <t>SESAL-CE-GC-0069-2024</t>
  </si>
  <si>
    <t>35800 Productos De Material Plastico</t>
  </si>
  <si>
    <t>Se hizo enmienda mediante Oficio 181-CNS-SSRISS-2024</t>
  </si>
  <si>
    <t>Solo se deja el presupuesto pendiente en una de las solicitudes de malaria para no duplicar saldos. Se hizo enmienda mediante Oficio 181-CNS-SSRISS-2024</t>
  </si>
  <si>
    <t>SESAL-CM-GC-0108-2024</t>
  </si>
  <si>
    <t>Proceso aprobado</t>
  </si>
  <si>
    <t> SESAL-CM-GC-0175-2024</t>
  </si>
  <si>
    <t>Rastrear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</si>
</sst>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L&quot;* #,##0.00_-;\-&quot;L&quot;* #,##0.00_-;_-&quot;L&quot;* &quot;-&quot;??_-;_-@_-"/>
    <numFmt numFmtId="43" formatCode="_-* #,##0.00_-;\-* #,##0.00_-;_-* &quot;-&quot;??_-;_-@_-"/>
    <numFmt numFmtId="164" formatCode="_-[$L-480A]* #,##0.00_-;\-[$L-480A]* #,##0.00_-;_-[$L-480A]* &quot;-&quot;??_-;_-@_-"/>
    <numFmt numFmtId="165" formatCode="dd/mm/yyyy"/>
    <numFmt numFmtId="166" formatCode="###\ &quot;Unidades&quot;"/>
    <numFmt numFmtId="167" formatCode="###\ &quot;Cajas&quot;"/>
    <numFmt numFmtId="168" formatCode="###\ &quot;Paquetes&quot;"/>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10"/>
      <color theme="1"/>
      <name val="Times New Roman"/>
      <family val="1"/>
    </font>
    <font>
      <b/>
      <sz val="12"/>
      <color theme="0"/>
      <name val="Calibri"/>
      <family val="2"/>
      <scheme val="minor"/>
    </font>
    <font>
      <sz val="11"/>
      <color rgb="FFFF0000"/>
      <name val="Calibri"/>
      <family val="2"/>
      <scheme val="minor"/>
    </font>
    <font>
      <b/>
      <sz val="11"/>
      <color theme="0"/>
      <name val="Calibri"/>
      <family val="2"/>
      <scheme val="minor"/>
    </font>
    <font>
      <sz val="8"/>
      <name val="Calibri"/>
      <family val="2"/>
      <scheme val="minor"/>
    </font>
    <font>
      <b/>
      <sz val="11"/>
      <name val="Arial Narrow"/>
      <family val="2"/>
    </font>
    <font>
      <sz val="11"/>
      <color theme="1"/>
      <name val="Arial Narrow"/>
    </font>
    <font>
      <sz val="11"/>
      <name val="Calibri"/>
      <family val="2"/>
      <scheme val="minor"/>
    </font>
    <font>
      <sz val="9"/>
      <color theme="1"/>
      <name val="Century Gothic"/>
      <family val="2"/>
    </font>
    <font>
      <b/>
      <sz val="9"/>
      <color theme="1"/>
      <name val="Century Gothic"/>
      <family val="2"/>
    </font>
    <font>
      <sz val="9"/>
      <color theme="1"/>
      <name val="Calibri"/>
      <family val="2"/>
      <scheme val="minor"/>
    </font>
    <font>
      <b/>
      <sz val="11"/>
      <color theme="1"/>
      <name val="Arial Narrow"/>
    </font>
    <font>
      <sz val="12"/>
      <color theme="1"/>
      <name val="Arial Narrow"/>
    </font>
    <font>
      <sz val="14"/>
      <color theme="1"/>
      <name val="Arial Narrow"/>
    </font>
    <font>
      <b/>
      <sz val="14"/>
      <color theme="0"/>
      <name val="Arial Narrow"/>
    </font>
    <font>
      <sz val="11"/>
      <color theme="4" tint="0.39997558519241921"/>
      <name val="Arial Narrow"/>
    </font>
    <font>
      <b/>
      <sz val="11"/>
      <name val="Arial Narrow"/>
    </font>
    <font>
      <sz val="11"/>
      <name val="Arial Narrow"/>
    </font>
    <font>
      <b/>
      <sz val="11"/>
      <color theme="1"/>
      <name val="Arial Narrow"/>
      <family val="2"/>
    </font>
    <font>
      <b/>
      <u/>
      <sz val="11"/>
      <color theme="1"/>
      <name val="Arial Narrow"/>
      <family val="2"/>
    </font>
  </fonts>
  <fills count="12">
    <fill>
      <patternFill patternType="none"/>
    </fill>
    <fill>
      <patternFill patternType="gray125"/>
    </fill>
    <fill>
      <patternFill patternType="solid">
        <fgColor theme="2" tint="-9.9978637043366805E-2"/>
        <bgColor indexed="64"/>
      </patternFill>
    </fill>
    <fill>
      <patternFill patternType="solid">
        <fgColor rgb="FF99DFEB"/>
        <bgColor indexed="64"/>
      </patternFill>
    </fill>
    <fill>
      <patternFill patternType="solid">
        <fgColor theme="0"/>
        <bgColor indexed="64"/>
      </patternFill>
    </fill>
    <fill>
      <patternFill patternType="solid">
        <fgColor rgb="FFFFFF00"/>
        <bgColor indexed="64"/>
      </patternFill>
    </fill>
    <fill>
      <patternFill patternType="solid">
        <fgColor theme="8" tint="0.79998168889431442"/>
        <bgColor indexed="64"/>
      </patternFill>
    </fill>
    <fill>
      <patternFill patternType="solid">
        <fgColor theme="1"/>
        <bgColor theme="1"/>
      </patternFill>
    </fill>
    <fill>
      <patternFill patternType="solid">
        <fgColor theme="1"/>
        <bgColor indexed="64"/>
      </patternFill>
    </fill>
    <fill>
      <patternFill patternType="solid">
        <fgColor theme="2"/>
        <bgColor indexed="64"/>
      </patternFill>
    </fill>
    <fill>
      <patternFill patternType="solid">
        <fgColor theme="4" tint="0.39997558519241921"/>
        <bgColor indexed="64"/>
      </patternFill>
    </fill>
    <fill>
      <patternFill patternType="solid">
        <fgColor rgb="FFFF00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right/>
      <top/>
      <bottom style="thin">
        <color theme="4" tint="0.39997558519241921"/>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8" tint="0.79998168889431442"/>
      </top>
      <bottom style="thin">
        <color theme="8" tint="0.79998168889431442"/>
      </bottom>
      <diagonal/>
    </border>
    <border>
      <left/>
      <right/>
      <top style="double">
        <color auto="1"/>
      </top>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167">
    <xf numFmtId="0" fontId="0" fillId="0" borderId="0" xfId="0"/>
    <xf numFmtId="0" fontId="0" fillId="0" borderId="0" xfId="0" applyAlignment="1">
      <alignment horizontal="left"/>
    </xf>
    <xf numFmtId="0" fontId="2" fillId="0" borderId="0" xfId="0" applyFont="1" applyAlignment="1">
      <alignment horizontal="center" vertical="center" wrapText="1"/>
    </xf>
    <xf numFmtId="0" fontId="0" fillId="0" borderId="0" xfId="0" applyAlignment="1">
      <alignment vertical="center" wrapText="1"/>
    </xf>
    <xf numFmtId="44" fontId="0" fillId="0" borderId="0" xfId="1" applyFont="1"/>
    <xf numFmtId="0" fontId="0" fillId="0" borderId="0" xfId="0" applyAlignment="1">
      <alignment horizontal="center"/>
    </xf>
    <xf numFmtId="0" fontId="0" fillId="0" borderId="0" xfId="0" applyAlignment="1">
      <alignment horizontal="left" wrapText="1"/>
    </xf>
    <xf numFmtId="0" fontId="0" fillId="2" borderId="0" xfId="0" applyFill="1"/>
    <xf numFmtId="14" fontId="2" fillId="0" borderId="0" xfId="0" applyNumberFormat="1" applyFont="1" applyAlignment="1">
      <alignment horizontal="center" vertical="center" wrapText="1"/>
    </xf>
    <xf numFmtId="14" fontId="0" fillId="0" borderId="0" xfId="0" applyNumberFormat="1" applyAlignment="1">
      <alignment horizontal="center"/>
    </xf>
    <xf numFmtId="14" fontId="0" fillId="0" borderId="0" xfId="0" applyNumberFormat="1"/>
    <xf numFmtId="10" fontId="0" fillId="0" borderId="0" xfId="2" applyNumberFormat="1" applyFont="1"/>
    <xf numFmtId="0" fontId="2" fillId="0" borderId="0" xfId="0" applyFont="1" applyAlignment="1">
      <alignment horizontal="left" vertical="center" wrapText="1"/>
    </xf>
    <xf numFmtId="44" fontId="2" fillId="0" borderId="0" xfId="1" applyFont="1" applyAlignment="1">
      <alignment horizontal="center" vertical="center" wrapText="1"/>
    </xf>
    <xf numFmtId="44"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vertical="center" wrapText="1"/>
    </xf>
    <xf numFmtId="44" fontId="1" fillId="0" borderId="0" xfId="1" applyFont="1" applyAlignment="1">
      <alignment horizontal="center" vertical="center" wrapText="1"/>
    </xf>
    <xf numFmtId="44" fontId="1" fillId="0" borderId="0" xfId="1" applyFont="1"/>
    <xf numFmtId="0" fontId="0" fillId="4" borderId="0" xfId="0" applyFill="1"/>
    <xf numFmtId="44" fontId="1" fillId="0" borderId="0" xfId="1" applyFont="1" applyAlignment="1">
      <alignment vertical="center"/>
    </xf>
    <xf numFmtId="44" fontId="0" fillId="0" borderId="0" xfId="1" applyFont="1" applyAlignment="1">
      <alignment vertical="center"/>
    </xf>
    <xf numFmtId="0" fontId="0" fillId="0" borderId="0" xfId="0" applyAlignment="1">
      <alignment horizontal="center" vertical="center"/>
    </xf>
    <xf numFmtId="44" fontId="0" fillId="0" borderId="0" xfId="1" applyFont="1" applyFill="1"/>
    <xf numFmtId="44" fontId="0" fillId="0" borderId="0" xfId="0" applyNumberFormat="1"/>
    <xf numFmtId="44" fontId="0" fillId="4" borderId="0" xfId="0" applyNumberFormat="1" applyFill="1"/>
    <xf numFmtId="0" fontId="0" fillId="5" borderId="0" xfId="0" applyFill="1" applyAlignment="1">
      <alignment horizontal="left"/>
    </xf>
    <xf numFmtId="0" fontId="0" fillId="5" borderId="0" xfId="0" applyFill="1"/>
    <xf numFmtId="0" fontId="0" fillId="5" borderId="0" xfId="0" applyFill="1" applyAlignment="1">
      <alignment horizontal="left" wrapText="1"/>
    </xf>
    <xf numFmtId="14" fontId="0" fillId="5" borderId="0" xfId="0" applyNumberFormat="1" applyFill="1" applyAlignment="1">
      <alignment horizontal="center"/>
    </xf>
    <xf numFmtId="44" fontId="0" fillId="5" borderId="0" xfId="1" applyFont="1" applyFill="1"/>
    <xf numFmtId="44" fontId="0" fillId="5" borderId="0" xfId="1" applyFont="1" applyFill="1" applyAlignment="1">
      <alignment vertical="center"/>
    </xf>
    <xf numFmtId="0" fontId="0" fillId="5" borderId="0" xfId="0" applyFill="1" applyAlignment="1">
      <alignment horizontal="center" vertical="center"/>
    </xf>
    <xf numFmtId="0" fontId="0" fillId="0" borderId="0" xfId="0" applyAlignment="1">
      <alignment horizontal="left" vertical="center"/>
    </xf>
    <xf numFmtId="0" fontId="0" fillId="5" borderId="0" xfId="0" applyFill="1" applyAlignment="1">
      <alignment horizontal="left" vertical="center"/>
    </xf>
    <xf numFmtId="0" fontId="0" fillId="2" borderId="0" xfId="0" applyFill="1" applyAlignment="1">
      <alignment horizontal="left" vertical="center" wrapText="1"/>
    </xf>
    <xf numFmtId="0" fontId="0" fillId="5" borderId="0" xfId="0" applyFill="1" applyAlignment="1">
      <alignment horizontal="left"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0" fontId="5" fillId="5" borderId="0" xfId="0" applyFont="1" applyFill="1" applyAlignment="1">
      <alignment horizontal="center" vertical="center"/>
    </xf>
    <xf numFmtId="44" fontId="0" fillId="4" borderId="0" xfId="1" applyFont="1" applyFill="1"/>
    <xf numFmtId="44" fontId="4" fillId="4" borderId="0" xfId="0" applyNumberFormat="1" applyFont="1" applyFill="1"/>
    <xf numFmtId="43" fontId="0" fillId="4" borderId="0" xfId="3" applyFont="1" applyFill="1"/>
    <xf numFmtId="0" fontId="2" fillId="0" borderId="0" xfId="0" applyFont="1" applyAlignment="1">
      <alignment horizontal="center"/>
    </xf>
    <xf numFmtId="0" fontId="7" fillId="0" borderId="0" xfId="0" applyFont="1" applyAlignment="1">
      <alignment horizontal="left" wrapText="1"/>
    </xf>
    <xf numFmtId="0" fontId="2" fillId="0" borderId="0" xfId="0" applyFont="1" applyAlignment="1">
      <alignment horizontal="center" vertical="center"/>
    </xf>
    <xf numFmtId="0" fontId="2" fillId="0" borderId="0" xfId="0" applyFont="1" applyAlignment="1">
      <alignment horizontal="left" vertical="center"/>
    </xf>
    <xf numFmtId="0" fontId="2" fillId="2" borderId="0" xfId="0" applyFont="1" applyFill="1" applyAlignment="1">
      <alignment horizontal="center" vertical="center" wrapText="1"/>
    </xf>
    <xf numFmtId="0" fontId="2" fillId="2" borderId="0" xfId="0" applyFont="1" applyFill="1" applyAlignment="1">
      <alignment horizontal="left" vertical="center" wrapText="1"/>
    </xf>
    <xf numFmtId="0" fontId="2" fillId="0" borderId="0" xfId="0" applyFont="1" applyAlignment="1">
      <alignment horizontal="left"/>
    </xf>
    <xf numFmtId="14" fontId="2" fillId="0" borderId="0" xfId="0" applyNumberFormat="1" applyFont="1" applyAlignment="1">
      <alignment horizontal="center"/>
    </xf>
    <xf numFmtId="44" fontId="0" fillId="0" borderId="0" xfId="1" applyFont="1" applyAlignment="1">
      <alignment horizontal="center" vertical="center" wrapText="1"/>
    </xf>
    <xf numFmtId="0" fontId="2" fillId="0" borderId="0" xfId="0" applyFont="1" applyAlignment="1">
      <alignment horizontal="left" wrapText="1"/>
    </xf>
    <xf numFmtId="0" fontId="0" fillId="9" borderId="0" xfId="0" applyFill="1"/>
    <xf numFmtId="44" fontId="0" fillId="9" borderId="0" xfId="0" applyNumberFormat="1" applyFill="1"/>
    <xf numFmtId="0" fontId="0" fillId="9" borderId="5" xfId="0" applyFill="1" applyBorder="1"/>
    <xf numFmtId="0" fontId="0" fillId="9" borderId="6" xfId="0" applyFill="1" applyBorder="1"/>
    <xf numFmtId="0" fontId="8" fillId="7" borderId="8" xfId="0" applyFont="1" applyFill="1" applyBorder="1" applyAlignment="1">
      <alignment horizontal="center" vertical="center" wrapText="1"/>
    </xf>
    <xf numFmtId="0" fontId="8" fillId="7" borderId="9" xfId="0" applyFont="1" applyFill="1" applyBorder="1" applyAlignment="1">
      <alignment horizontal="center" vertical="center" wrapText="1"/>
    </xf>
    <xf numFmtId="14" fontId="8" fillId="7" borderId="9" xfId="0" applyNumberFormat="1" applyFont="1" applyFill="1" applyBorder="1" applyAlignment="1">
      <alignment horizontal="center" vertical="center" wrapText="1"/>
    </xf>
    <xf numFmtId="44" fontId="8" fillId="7" borderId="9" xfId="1" applyFont="1" applyFill="1" applyBorder="1" applyAlignment="1">
      <alignment horizontal="center" vertical="center" wrapText="1"/>
    </xf>
    <xf numFmtId="44" fontId="8" fillId="7" borderId="10" xfId="1" applyFont="1" applyFill="1" applyBorder="1" applyAlignment="1">
      <alignment horizontal="center" vertical="center" wrapText="1"/>
    </xf>
    <xf numFmtId="0" fontId="6" fillId="8" borderId="7" xfId="0" applyFont="1" applyFill="1" applyBorder="1" applyAlignment="1">
      <alignment horizontal="center" vertical="center"/>
    </xf>
    <xf numFmtId="0" fontId="2" fillId="0" borderId="2" xfId="0" applyFont="1" applyBorder="1" applyAlignment="1">
      <alignment horizontal="center"/>
    </xf>
    <xf numFmtId="0" fontId="2" fillId="0" borderId="2" xfId="0" applyFont="1" applyBorder="1"/>
    <xf numFmtId="0" fontId="2" fillId="0" borderId="2" xfId="0" applyFont="1" applyBorder="1" applyAlignment="1">
      <alignment horizontal="center" wrapText="1"/>
    </xf>
    <xf numFmtId="0" fontId="2" fillId="0" borderId="2" xfId="0" applyFont="1" applyBorder="1" applyAlignment="1">
      <alignment horizontal="center" vertical="center"/>
    </xf>
    <xf numFmtId="164" fontId="0" fillId="0" borderId="0" xfId="0" applyNumberFormat="1"/>
    <xf numFmtId="9" fontId="0" fillId="4" borderId="0" xfId="2" applyFont="1" applyFill="1"/>
    <xf numFmtId="0" fontId="2" fillId="5" borderId="0" xfId="0" applyFont="1" applyFill="1" applyAlignment="1">
      <alignment horizontal="center"/>
    </xf>
    <xf numFmtId="0" fontId="8" fillId="8" borderId="3" xfId="0" applyFont="1" applyFill="1" applyBorder="1" applyAlignment="1">
      <alignment horizontal="center"/>
    </xf>
    <xf numFmtId="0" fontId="8" fillId="8" borderId="4" xfId="0" applyFont="1" applyFill="1" applyBorder="1" applyAlignment="1">
      <alignment horizontal="center"/>
    </xf>
    <xf numFmtId="10" fontId="2" fillId="4" borderId="12" xfId="2" applyNumberFormat="1" applyFont="1" applyFill="1" applyBorder="1" applyAlignment="1">
      <alignment horizontal="center"/>
    </xf>
    <xf numFmtId="0" fontId="8" fillId="8" borderId="15" xfId="0" applyFont="1" applyFill="1" applyBorder="1" applyAlignment="1">
      <alignment horizontal="center"/>
    </xf>
    <xf numFmtId="44" fontId="2" fillId="4" borderId="14" xfId="0" applyNumberFormat="1" applyFont="1" applyFill="1" applyBorder="1"/>
    <xf numFmtId="10" fontId="2" fillId="4" borderId="13" xfId="2" applyNumberFormat="1" applyFont="1" applyFill="1" applyBorder="1" applyAlignment="1">
      <alignment horizontal="center"/>
    </xf>
    <xf numFmtId="10" fontId="2" fillId="4" borderId="14" xfId="2" applyNumberFormat="1" applyFont="1" applyFill="1" applyBorder="1" applyAlignment="1">
      <alignment horizontal="center"/>
    </xf>
    <xf numFmtId="44" fontId="2" fillId="4" borderId="13" xfId="2" applyNumberFormat="1" applyFont="1" applyFill="1" applyBorder="1" applyAlignment="1">
      <alignment horizontal="center"/>
    </xf>
    <xf numFmtId="10" fontId="2" fillId="0" borderId="0" xfId="0" applyNumberFormat="1" applyFont="1" applyAlignment="1">
      <alignment vertical="center" wrapText="1"/>
    </xf>
    <xf numFmtId="0" fontId="2" fillId="5" borderId="0" xfId="0" applyFont="1" applyFill="1" applyAlignment="1">
      <alignment horizontal="center" vertical="center" wrapText="1"/>
    </xf>
    <xf numFmtId="0" fontId="7" fillId="5" borderId="0" xfId="0" applyFont="1" applyFill="1" applyAlignment="1">
      <alignment horizontal="left" wrapText="1"/>
    </xf>
    <xf numFmtId="0" fontId="0" fillId="4" borderId="0" xfId="0" applyFill="1" applyAlignment="1">
      <alignment horizontal="center"/>
    </xf>
    <xf numFmtId="0" fontId="0" fillId="4" borderId="16" xfId="0" applyFill="1" applyBorder="1"/>
    <xf numFmtId="0" fontId="0" fillId="4" borderId="17" xfId="0" applyFill="1" applyBorder="1"/>
    <xf numFmtId="0" fontId="0" fillId="4" borderId="18" xfId="0" applyFill="1" applyBorder="1"/>
    <xf numFmtId="0" fontId="0" fillId="4" borderId="19" xfId="0" applyFill="1" applyBorder="1"/>
    <xf numFmtId="0" fontId="3" fillId="4" borderId="0" xfId="0" applyFont="1" applyFill="1"/>
    <xf numFmtId="0" fontId="0" fillId="4" borderId="20" xfId="0" applyFill="1" applyBorder="1"/>
    <xf numFmtId="0" fontId="0" fillId="4" borderId="20" xfId="0" applyFill="1" applyBorder="1" applyAlignment="1">
      <alignment horizontal="center"/>
    </xf>
    <xf numFmtId="44" fontId="0" fillId="0" borderId="0" xfId="1" applyFont="1" applyFill="1" applyBorder="1"/>
    <xf numFmtId="44" fontId="0" fillId="0" borderId="0" xfId="1" applyFont="1" applyBorder="1"/>
    <xf numFmtId="44" fontId="0" fillId="4" borderId="20" xfId="0" applyNumberFormat="1" applyFill="1" applyBorder="1"/>
    <xf numFmtId="0" fontId="2" fillId="0" borderId="0" xfId="0" applyFont="1"/>
    <xf numFmtId="44" fontId="1" fillId="0" borderId="0" xfId="1" applyFont="1" applyBorder="1"/>
    <xf numFmtId="44" fontId="0" fillId="4" borderId="20" xfId="1" applyFont="1" applyFill="1" applyBorder="1"/>
    <xf numFmtId="0" fontId="0" fillId="4" borderId="12" xfId="0" applyFill="1" applyBorder="1"/>
    <xf numFmtId="0" fontId="0" fillId="4" borderId="14" xfId="0" applyFill="1" applyBorder="1"/>
    <xf numFmtId="0" fontId="0" fillId="4" borderId="13" xfId="0" applyFill="1" applyBorder="1"/>
    <xf numFmtId="44" fontId="0" fillId="4" borderId="0" xfId="1" applyFont="1" applyFill="1" applyBorder="1"/>
    <xf numFmtId="44" fontId="2" fillId="4" borderId="0" xfId="0" applyNumberFormat="1" applyFont="1" applyFill="1"/>
    <xf numFmtId="44" fontId="2" fillId="0" borderId="0" xfId="0" applyNumberFormat="1" applyFont="1"/>
    <xf numFmtId="44" fontId="2" fillId="4" borderId="20" xfId="0" applyNumberFormat="1" applyFont="1" applyFill="1" applyBorder="1"/>
    <xf numFmtId="44" fontId="0" fillId="0" borderId="19" xfId="1" applyFont="1" applyFill="1" applyBorder="1"/>
    <xf numFmtId="44" fontId="0" fillId="0" borderId="0" xfId="1" applyFont="1" applyFill="1" applyBorder="1" applyAlignment="1">
      <alignment horizontal="center"/>
    </xf>
    <xf numFmtId="44" fontId="0" fillId="0" borderId="0" xfId="0" applyNumberFormat="1" applyAlignment="1">
      <alignment horizontal="center"/>
    </xf>
    <xf numFmtId="0" fontId="11" fillId="0" borderId="21" xfId="0" applyFont="1" applyBorder="1" applyAlignment="1">
      <alignment horizontal="left" indent="2"/>
    </xf>
    <xf numFmtId="44" fontId="11" fillId="0" borderId="21" xfId="0" applyNumberFormat="1" applyFont="1" applyBorder="1"/>
    <xf numFmtId="10" fontId="2" fillId="4" borderId="0" xfId="0" applyNumberFormat="1" applyFont="1" applyFill="1"/>
    <xf numFmtId="4" fontId="0" fillId="4" borderId="0" xfId="0" applyNumberFormat="1" applyFill="1"/>
    <xf numFmtId="0" fontId="0" fillId="0" borderId="0" xfId="0" applyAlignment="1">
      <alignment horizontal="left" indent="1"/>
    </xf>
    <xf numFmtId="0" fontId="0" fillId="0" borderId="20" xfId="0" applyBorder="1"/>
    <xf numFmtId="0" fontId="12" fillId="0" borderId="0" xfId="0" applyFont="1" applyAlignment="1">
      <alignment horizontal="center"/>
    </xf>
    <xf numFmtId="165" fontId="0" fillId="0" borderId="0" xfId="0" applyNumberFormat="1" applyAlignment="1">
      <alignment horizontal="center"/>
    </xf>
    <xf numFmtId="10" fontId="2" fillId="0" borderId="0" xfId="0" applyNumberFormat="1" applyFont="1"/>
    <xf numFmtId="10" fontId="0" fillId="0" borderId="0" xfId="0" applyNumberFormat="1"/>
    <xf numFmtId="44" fontId="13" fillId="0" borderId="0" xfId="0" applyNumberFormat="1" applyFont="1" applyAlignment="1">
      <alignment vertical="center" wrapText="1"/>
    </xf>
    <xf numFmtId="166" fontId="0" fillId="0" borderId="0" xfId="0" applyNumberFormat="1"/>
    <xf numFmtId="167" fontId="0" fillId="0" borderId="0" xfId="0" applyNumberFormat="1"/>
    <xf numFmtId="0" fontId="13" fillId="0" borderId="0" xfId="0" applyFont="1" applyAlignment="1">
      <alignment horizontal="center" vertical="center" wrapText="1"/>
    </xf>
    <xf numFmtId="44" fontId="13" fillId="0" borderId="0" xfId="1" applyFont="1" applyFill="1" applyBorder="1" applyAlignment="1">
      <alignment horizontal="center" vertical="center" wrapText="1"/>
    </xf>
    <xf numFmtId="0" fontId="13" fillId="0" borderId="0" xfId="0" applyFont="1" applyAlignment="1">
      <alignment vertical="center" wrapText="1"/>
    </xf>
    <xf numFmtId="166" fontId="13" fillId="0" borderId="0" xfId="0" applyNumberFormat="1" applyFont="1" applyAlignment="1">
      <alignment horizontal="left"/>
    </xf>
    <xf numFmtId="44" fontId="13" fillId="0" borderId="0" xfId="1" applyFont="1" applyBorder="1"/>
    <xf numFmtId="168" fontId="13" fillId="0" borderId="0" xfId="0" applyNumberFormat="1" applyFont="1" applyAlignment="1">
      <alignment horizontal="left" vertical="center" wrapText="1"/>
    </xf>
    <xf numFmtId="167" fontId="13" fillId="0" borderId="0" xfId="0" applyNumberFormat="1" applyFont="1" applyAlignment="1">
      <alignment horizontal="left"/>
    </xf>
    <xf numFmtId="0" fontId="13" fillId="0" borderId="0" xfId="0" applyFont="1"/>
    <xf numFmtId="44" fontId="13" fillId="0" borderId="0" xfId="1" applyFont="1"/>
    <xf numFmtId="0" fontId="15" fillId="0" borderId="0" xfId="0" applyFont="1"/>
    <xf numFmtId="0" fontId="2" fillId="11" borderId="0" xfId="0" applyFont="1" applyFill="1" applyAlignment="1">
      <alignment horizontal="center" vertical="center" wrapText="1"/>
    </xf>
    <xf numFmtId="0" fontId="2" fillId="11" borderId="0" xfId="0" applyFont="1" applyFill="1" applyAlignment="1">
      <alignment horizontal="left" vertical="center" wrapText="1"/>
    </xf>
    <xf numFmtId="14" fontId="2" fillId="11" borderId="0" xfId="0" applyNumberFormat="1" applyFont="1" applyFill="1" applyAlignment="1">
      <alignment horizontal="center" vertical="center" wrapText="1"/>
    </xf>
    <xf numFmtId="44" fontId="2" fillId="11" borderId="0" xfId="1" applyFont="1" applyFill="1" applyAlignment="1">
      <alignment horizontal="center" vertical="center" wrapText="1"/>
    </xf>
    <xf numFmtId="0" fontId="5" fillId="11" borderId="0" xfId="0" applyFont="1" applyFill="1" applyAlignment="1">
      <alignment horizontal="center" vertical="center" wrapText="1"/>
    </xf>
    <xf numFmtId="0" fontId="0" fillId="0" borderId="0" xfId="0" applyAlignment="1">
      <alignment wrapText="1"/>
    </xf>
    <xf numFmtId="44" fontId="0" fillId="0" borderId="0" xfId="1" applyFont="1" applyAlignment="1">
      <alignment vertical="center" wrapText="1"/>
    </xf>
    <xf numFmtId="4" fontId="0" fillId="0" borderId="0" xfId="0" applyNumberFormat="1" applyAlignment="1">
      <alignment vertical="center" wrapText="1"/>
    </xf>
    <xf numFmtId="4" fontId="0" fillId="0" borderId="0" xfId="0" applyNumberFormat="1"/>
    <xf numFmtId="0" fontId="0" fillId="11" borderId="0" xfId="0" applyFill="1" applyAlignment="1">
      <alignment horizontal="center" vertical="center" wrapText="1"/>
    </xf>
    <xf numFmtId="0" fontId="11" fillId="0" borderId="0" xfId="0" applyFont="1"/>
    <xf numFmtId="0" fontId="11" fillId="0" borderId="0" xfId="0" pivotButton="1" applyFont="1"/>
    <xf numFmtId="0" fontId="11" fillId="0" borderId="0" xfId="0" pivotButton="1" applyFont="1" applyAlignment="1">
      <alignment horizontal="center"/>
    </xf>
    <xf numFmtId="0" fontId="11" fillId="0" borderId="0" xfId="0" applyFont="1" applyAlignment="1">
      <alignment horizontal="center"/>
    </xf>
    <xf numFmtId="0" fontId="11" fillId="0" borderId="0" xfId="0" applyFont="1" applyAlignment="1">
      <alignment horizontal="left"/>
    </xf>
    <xf numFmtId="44" fontId="11" fillId="0" borderId="0" xfId="0" applyNumberFormat="1" applyFont="1"/>
    <xf numFmtId="0" fontId="16" fillId="0" borderId="0" xfId="0" applyFont="1" applyAlignment="1">
      <alignment horizontal="left" indent="1"/>
    </xf>
    <xf numFmtId="0" fontId="17" fillId="0" borderId="0" xfId="0" applyFont="1" applyAlignment="1">
      <alignment horizontal="centerContinuous"/>
    </xf>
    <xf numFmtId="0" fontId="18" fillId="5" borderId="0" xfId="0" applyFont="1" applyFill="1" applyAlignment="1">
      <alignment horizontal="center" vertical="center"/>
    </xf>
    <xf numFmtId="44" fontId="18" fillId="5" borderId="0" xfId="0" applyNumberFormat="1" applyFont="1" applyFill="1"/>
    <xf numFmtId="44" fontId="19" fillId="10" borderId="0" xfId="0" applyNumberFormat="1" applyFont="1" applyFill="1" applyAlignment="1">
      <alignment horizontal="center" vertical="center"/>
    </xf>
    <xf numFmtId="0" fontId="20" fillId="10" borderId="11" xfId="0" applyFont="1" applyFill="1" applyBorder="1"/>
    <xf numFmtId="0" fontId="21" fillId="0" borderId="0" xfId="0" applyFont="1" applyAlignment="1">
      <alignment horizontal="left"/>
    </xf>
    <xf numFmtId="44" fontId="10" fillId="0" borderId="0" xfId="0" applyNumberFormat="1" applyFont="1"/>
    <xf numFmtId="0" fontId="11" fillId="0" borderId="0" xfId="0" applyFont="1" applyAlignment="1">
      <alignment horizontal="left" indent="1"/>
    </xf>
    <xf numFmtId="0" fontId="22" fillId="4" borderId="22" xfId="0" applyFont="1" applyFill="1" applyBorder="1" applyAlignment="1">
      <alignment horizontal="left"/>
    </xf>
    <xf numFmtId="44" fontId="10" fillId="4" borderId="22" xfId="0" applyNumberFormat="1" applyFont="1" applyFill="1" applyBorder="1"/>
    <xf numFmtId="0" fontId="23" fillId="3" borderId="3" xfId="0" applyFont="1" applyFill="1" applyBorder="1"/>
    <xf numFmtId="0" fontId="24" fillId="3" borderId="4" xfId="0" applyFont="1" applyFill="1" applyBorder="1" applyAlignment="1">
      <alignment horizontal="center"/>
    </xf>
    <xf numFmtId="44" fontId="24" fillId="3" borderId="4" xfId="1" applyFont="1" applyFill="1" applyBorder="1" applyAlignment="1">
      <alignment horizontal="center"/>
    </xf>
    <xf numFmtId="0" fontId="4" fillId="6" borderId="2" xfId="0" applyFont="1" applyFill="1" applyBorder="1"/>
    <xf numFmtId="44" fontId="4" fillId="6" borderId="2" xfId="1" applyFont="1" applyFill="1" applyBorder="1"/>
    <xf numFmtId="9" fontId="23" fillId="6" borderId="2" xfId="2" applyFont="1" applyFill="1" applyBorder="1" applyAlignment="1">
      <alignment horizontal="center"/>
    </xf>
    <xf numFmtId="43" fontId="4" fillId="6" borderId="2" xfId="0" applyNumberFormat="1" applyFont="1" applyFill="1" applyBorder="1"/>
    <xf numFmtId="0" fontId="4" fillId="6" borderId="1" xfId="0" applyFont="1" applyFill="1" applyBorder="1"/>
    <xf numFmtId="44" fontId="4" fillId="6" borderId="1" xfId="1" applyFont="1" applyFill="1" applyBorder="1"/>
    <xf numFmtId="9" fontId="23" fillId="6" borderId="1" xfId="2" applyFont="1" applyFill="1" applyBorder="1" applyAlignment="1">
      <alignment horizontal="center"/>
    </xf>
    <xf numFmtId="43" fontId="4" fillId="6" borderId="1" xfId="0" applyNumberFormat="1" applyFont="1" applyFill="1" applyBorder="1"/>
  </cellXfs>
  <cellStyles count="4">
    <cellStyle name="Millares" xfId="3" builtinId="3"/>
    <cellStyle name="Moneda" xfId="1" builtinId="4"/>
    <cellStyle name="Normal" xfId="0" builtinId="0"/>
    <cellStyle name="Porcentaje" xfId="2" builtinId="5"/>
  </cellStyles>
  <dxfs count="389">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ill>
        <patternFill patternType="none">
          <fgColor indexed="64"/>
          <bgColor auto="1"/>
        </patternFill>
      </fill>
    </dxf>
    <dxf>
      <fill>
        <patternFill patternType="none">
          <fgColor indexed="64"/>
          <bgColor auto="1"/>
        </patternFill>
      </fill>
      <alignment horizontal="center" vertical="center" textRotation="0" wrapText="0" indent="0" justifyLastLine="0" shrinkToFit="0" readingOrder="0"/>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numFmt numFmtId="0" formatCode="General"/>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ill>
        <patternFill patternType="none">
          <fgColor indexed="64"/>
          <bgColor auto="1"/>
        </patternFill>
      </fill>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fill>
        <patternFill patternType="none">
          <fgColor indexed="64"/>
          <bgColor auto="1"/>
        </patternFill>
      </fill>
      <alignment horizontal="left" vertical="bottom" textRotation="0" wrapText="0" relativeIndent="1" justifyLastLine="0" shrinkToFit="0" readingOrder="0"/>
    </dxf>
    <dxf>
      <font>
        <b/>
      </font>
    </dxf>
    <dxf>
      <fill>
        <patternFill patternType="none">
          <fgColor indexed="64"/>
          <bgColor auto="1"/>
        </patternFill>
      </fill>
    </dxf>
    <dxf>
      <font>
        <strike val="0"/>
        <outline val="0"/>
        <shadow val="0"/>
        <u val="none"/>
        <vertAlign val="baseline"/>
        <sz val="11"/>
        <color auto="1"/>
        <name val="Calibri"/>
        <family val="2"/>
        <scheme val="minor"/>
      </font>
      <fill>
        <patternFill patternType="none">
          <fgColor indexed="64"/>
          <bgColor auto="1"/>
        </patternFill>
      </fill>
      <alignment horizontal="center" vertical="bottom" textRotation="0" wrapText="0" indent="0" justifyLastLine="0" shrinkToFit="0" readingOrder="0"/>
    </dxf>
    <dxf>
      <numFmt numFmtId="34" formatCode="_-&quot;L&quot;* #,##0.00_-;\-&quot;L&quot;* #,##0.00_-;_-&quot;L&quot;* &quot;-&quot;??_-;_-@_-"/>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numFmt numFmtId="34" formatCode="_-&quot;L&quot;* #,##0.00_-;\-&quot;L&quot;* #,##0.00_-;_-&quot;L&quot;* &quot;-&quot;??_-;_-@_-"/>
    </dxf>
    <dxf>
      <numFmt numFmtId="34" formatCode="_-&quot;L&quot;* #,##0.00_-;\-&quot;L&quot;* #,##0.00_-;_-&quot;L&quot;* &quot;-&quot;??_-;_-@_-"/>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numFmt numFmtId="34" formatCode="_-&quot;L&quot;* #,##0.00_-;\-&quot;L&quot;* #,##0.00_-;_-&quot;L&quot;* &quot;-&quot;??_-;_-@_-"/>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ont>
        <b/>
      </font>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numFmt numFmtId="14" formatCode="0.00%"/>
    </dxf>
    <dxf>
      <fill>
        <patternFill patternType="none">
          <fgColor indexed="64"/>
          <bgColor auto="1"/>
        </patternFill>
      </fill>
    </dxf>
    <dxf>
      <numFmt numFmtId="34" formatCode="_-&quot;L&quot;* #,##0.00_-;\-&quot;L&quot;* #,##0.00_-;_-&quot;L&quot;* &quot;-&quot;??_-;_-@_-"/>
    </dxf>
    <dxf>
      <numFmt numFmtId="34" formatCode="_-&quot;L&quot;* #,##0.00_-;\-&quot;L&quot;* #,##0.00_-;_-&quot;L&quot;* &quot;-&quot;??_-;_-@_-"/>
      <fill>
        <patternFill patternType="none">
          <fgColor indexed="64"/>
          <bgColor auto="1"/>
        </patternFill>
      </fill>
    </dxf>
    <dxf>
      <font>
        <b val="0"/>
        <i val="0"/>
        <strike val="0"/>
        <condense val="0"/>
        <extend val="0"/>
        <outline val="0"/>
        <shadow val="0"/>
        <u val="none"/>
        <vertAlign val="baseline"/>
        <sz val="11"/>
        <color theme="1"/>
        <name val="Calibri"/>
        <family val="2"/>
        <scheme val="minor"/>
      </font>
      <border diagonalUp="0" diagonalDown="0" outline="0">
        <left/>
        <right/>
        <top/>
        <bottom/>
      </border>
    </dxf>
    <dxf>
      <fill>
        <patternFill patternType="none">
          <fgColor indexed="64"/>
          <bgColor auto="1"/>
        </patternFill>
      </fill>
    </dxf>
    <dxf>
      <numFmt numFmtId="34" formatCode="_-&quot;L&quot;* #,##0.00_-;\-&quot;L&quot;* #,##0.00_-;_-&quot;L&quot;* &quot;-&quot;??_-;_-@_-"/>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left" vertical="bottom" textRotation="0" wrapText="1" indent="0" justifyLastLine="0" shrinkToFit="0" readingOrder="0"/>
    </dxf>
    <dxf>
      <font>
        <b/>
        <strike val="0"/>
        <outline val="0"/>
        <shadow val="0"/>
        <u val="none"/>
        <vertAlign val="baseline"/>
        <sz val="10"/>
        <color theme="1"/>
        <name val="Times New Roman"/>
        <family val="1"/>
        <scheme val="none"/>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vertical="center" textRotation="0" indent="0" justifyLastLine="0" shrinkToFit="0" readingOrder="0"/>
    </dxf>
    <dxf>
      <font>
        <b val="0"/>
        <i val="0"/>
        <strike val="0"/>
        <condense val="0"/>
        <extend val="0"/>
        <outline val="0"/>
        <shadow val="0"/>
        <u val="none"/>
        <vertAlign val="baseline"/>
        <sz val="11"/>
        <color theme="1"/>
        <name val="Calibri"/>
        <family val="2"/>
        <scheme val="minor"/>
      </font>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numFmt numFmtId="165" formatCode="dd/mm/yyyy"/>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1" indent="0" justifyLastLine="0" shrinkToFit="0" readingOrder="0"/>
    </dxf>
    <dxf>
      <alignment horizontal="left" vertical="bottom" textRotation="0" wrapText="0" indent="0" justifyLastLine="0" shrinkToFit="0" readingOrder="0"/>
    </dxf>
    <dxf>
      <numFmt numFmtId="0" formatCode="General"/>
      <fill>
        <patternFill patternType="solid">
          <fgColor indexed="64"/>
          <bgColor theme="2" tint="-9.9978637043366805E-2"/>
        </patternFill>
      </fill>
      <alignment horizontal="left" vertical="center" textRotation="0" wrapText="1" indent="0" justifyLastLine="0" shrinkToFit="0" readingOrder="0"/>
    </dxf>
    <dxf>
      <fill>
        <patternFill patternType="solid">
          <fgColor indexed="64"/>
          <bgColor theme="2" tint="-9.9978637043366805E-2"/>
        </patternFill>
      </fill>
    </dxf>
    <dxf>
      <alignment horizontal="left" vertical="center" textRotation="0" wrapText="0" indent="0" justifyLastLine="0" shrinkToFit="0" readingOrder="0"/>
    </dxf>
    <dxf>
      <alignment horizontal="center" vertical="center" textRotation="0" wrapText="0" indent="0" justifyLastLine="0" shrinkToFit="0" readingOrder="0"/>
    </dxf>
    <dxf>
      <font>
        <b/>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b/>
        <i val="0"/>
        <color rgb="FF006100"/>
      </font>
      <fill>
        <patternFill>
          <bgColor rgb="FFC6EFCE"/>
        </patternFill>
      </fill>
    </dxf>
    <dxf>
      <font>
        <color theme="4" tint="-0.499984740745262"/>
      </font>
      <fill>
        <patternFill>
          <bgColor theme="8"/>
        </patternFill>
      </fill>
    </dxf>
    <dxf>
      <font>
        <color theme="4"/>
      </font>
      <fill>
        <patternFill>
          <bgColor theme="8" tint="0.39994506668294322"/>
        </patternFill>
      </fill>
    </dxf>
    <dxf>
      <fill>
        <patternFill>
          <bgColor rgb="FFFFC000"/>
        </patternFill>
      </fill>
    </dxf>
    <dxf>
      <font>
        <b/>
        <i val="0"/>
      </font>
      <fill>
        <patternFill>
          <bgColor rgb="FFFFFF00"/>
        </patternFill>
      </fill>
    </dxf>
    <dxf>
      <font>
        <b/>
        <i val="0"/>
      </font>
      <fill>
        <patternFill>
          <bgColor rgb="FFFFC000"/>
        </patternFill>
      </fill>
    </dxf>
    <dxf>
      <font>
        <b/>
        <i val="0"/>
        <color theme="1"/>
      </font>
      <fill>
        <patternFill>
          <bgColor theme="8" tint="0.59996337778862885"/>
        </patternFill>
      </fill>
    </dxf>
    <dxf>
      <font>
        <b/>
        <family val="2"/>
      </font>
    </dxf>
    <dxf>
      <font>
        <b/>
        <family val="2"/>
      </font>
    </dxf>
    <dxf>
      <font>
        <b/>
        <family val="2"/>
      </font>
    </dxf>
    <dxf>
      <font>
        <b/>
        <family val="2"/>
      </font>
    </dxf>
    <dxf>
      <font>
        <b/>
        <family val="2"/>
      </font>
    </dxf>
    <dxf>
      <border>
        <top style="double">
          <color auto="1"/>
        </top>
      </border>
    </dxf>
    <dxf>
      <fill>
        <patternFill patternType="solid">
          <bgColor theme="0"/>
        </patternFill>
      </fill>
    </dxf>
    <dxf>
      <font>
        <color auto="1"/>
      </font>
    </dxf>
    <dxf>
      <font>
        <color auto="1"/>
      </font>
    </dxf>
    <dxf>
      <font>
        <color auto="1"/>
      </font>
    </dxf>
    <dxf>
      <font>
        <color auto="1"/>
      </font>
    </dxf>
    <dxf>
      <font>
        <color auto="1"/>
      </font>
    </dxf>
    <dxf>
      <font>
        <color auto="1"/>
      </font>
    </dxf>
    <dxf>
      <font>
        <b/>
      </font>
    </dxf>
    <dxf>
      <font>
        <color auto="1"/>
      </font>
    </dxf>
    <dxf>
      <font>
        <b/>
        <sz val="14"/>
        <color theme="0"/>
      </font>
      <numFmt numFmtId="34" formatCode="_-&quot;L&quot;* #,##0.00_-;\-&quot;L&quot;* #,##0.00_-;_-&quot;L&quot;* &quot;-&quot;??_-;_-@_-"/>
      <fill>
        <patternFill patternType="solid">
          <fgColor indexed="64"/>
          <bgColor theme="4" tint="0.39997558519241921"/>
        </patternFill>
      </fill>
      <alignment horizontal="center" vertical="center"/>
    </dxf>
    <dxf>
      <border>
        <bottom style="thin">
          <color theme="4" tint="0.39997558519241921"/>
        </bottom>
      </border>
    </dxf>
    <dxf>
      <border>
        <bottom style="thin">
          <color theme="4" tint="0.39997558519241921"/>
        </bottom>
      </border>
    </dxf>
    <dxf>
      <border>
        <bottom style="thin">
          <color theme="4" tint="0.39997558519241921"/>
        </bottom>
      </border>
    </dxf>
    <dxf>
      <font>
        <color theme="4" tint="0.39997558519241921"/>
      </font>
    </dxf>
    <dxf>
      <font>
        <color theme="4" tint="0.39997558519241921"/>
      </font>
    </dxf>
    <dxf>
      <font>
        <color theme="4" tint="0.39997558519241921"/>
      </font>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ont>
        <color theme="0"/>
      </font>
    </dxf>
    <dxf>
      <font>
        <color theme="0"/>
      </font>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ill>
        <patternFill patternType="solid">
          <bgColor rgb="FFFFFF00"/>
        </patternFill>
      </fill>
    </dxf>
    <dxf>
      <fill>
        <patternFill patternType="solid">
          <bgColor rgb="FFFFFF00"/>
        </patternFill>
      </fill>
    </dxf>
    <dxf>
      <alignment vertical="center"/>
    </dxf>
    <dxf>
      <alignment horizontal="center"/>
    </dxf>
    <dxf>
      <font>
        <sz val="14"/>
      </font>
    </dxf>
    <dxf>
      <font>
        <sz val="14"/>
      </font>
    </dxf>
    <dxf>
      <font>
        <b/>
      </font>
    </dxf>
    <dxf>
      <font>
        <b/>
      </font>
    </dxf>
    <dxf>
      <alignment vertical="center"/>
    </dxf>
    <dxf>
      <alignment vertical="center"/>
    </dxf>
    <dxf>
      <alignment horizontal="center"/>
    </dxf>
    <dxf>
      <alignment horizontal="center"/>
    </dxf>
    <dxf>
      <font>
        <sz val="14"/>
      </font>
    </dxf>
    <dxf>
      <font>
        <sz val="14"/>
      </font>
    </dxf>
    <dxf>
      <font>
        <name val="Arial Narrow"/>
        <scheme val="none"/>
      </font>
    </dxf>
    <dxf>
      <border>
        <bottom style="double">
          <color rgb="FF5FCFE0"/>
        </bottom>
      </border>
    </dxf>
    <dxf>
      <border>
        <bottom style="double">
          <color rgb="FF5FCFE0"/>
        </bottom>
      </border>
    </dxf>
    <dxf>
      <border>
        <bottom style="double">
          <color rgb="FF5FCFE0"/>
        </bottom>
      </border>
    </dxf>
    <dxf>
      <font>
        <color rgb="FF5FCFE0"/>
      </font>
    </dxf>
    <dxf>
      <font>
        <color rgb="FF5FCFE0"/>
      </font>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fill>
        <patternFill patternType="solid">
          <bgColor rgb="FF5FCFE0"/>
        </patternFill>
      </fill>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numFmt numFmtId="34" formatCode="_-&quot;L&quot;* #,##0.00_-;\-&quot;L&quot;* #,##0.00_-;_-&quot;L&quot;* &quot;-&quot;??_-;_-@_-"/>
    </dxf>
    <dxf>
      <font>
        <color rgb="FF9C0006"/>
      </font>
      <fill>
        <patternFill>
          <bgColor rgb="FFFFC7CE"/>
        </patternFill>
      </fill>
    </dxf>
    <dxf>
      <fill>
        <patternFill patternType="solid">
          <bgColor rgb="FFFFFF00"/>
        </patternFill>
      </fill>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b val="0"/>
      </font>
    </dxf>
    <dxf>
      <font>
        <sz val="12"/>
      </font>
    </dxf>
    <dxf>
      <alignment horizontal="centerContinuous"/>
    </dxf>
    <dxf>
      <font>
        <name val="Arial Narrow"/>
        <scheme val="none"/>
      </font>
    </dxf>
    <dxf>
      <alignment horizontal="center"/>
    </dxf>
    <dxf>
      <alignment horizontal="center"/>
    </dxf>
    <dxf>
      <font>
        <b/>
      </font>
    </dxf>
    <dxf>
      <numFmt numFmtId="34" formatCode="_-&quot;L&quot;* #,##0.00_-;\-&quot;L&quot;* #,##0.00_-;_-&quot;L&quot;* &quot;-&quot;??_-;_-@_-"/>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34" formatCode="_-&quot;L&quot;* #,##0.00_-;\-&quot;L&quot;* #,##0.00_-;_-&quot;L&quot;* &quot;-&quot;??_-;_-@_-"/>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border diagonalUp="0" diagonalDown="0" outline="0">
        <left/>
        <right/>
        <top/>
        <bottom/>
      </border>
    </dxf>
    <dxf>
      <font>
        <b val="0"/>
        <i val="0"/>
        <strike val="0"/>
        <condense val="0"/>
        <extend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166" formatCode="###\ &quot;Unidades&quot;"/>
      <alignment horizontal="left" vertical="bottom" textRotation="0" wrapText="0"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right/>
        <top/>
        <bottom/>
      </border>
    </dxf>
    <dxf>
      <font>
        <b val="0"/>
        <i val="0"/>
        <strike val="0"/>
        <condense val="0"/>
        <extend val="0"/>
        <outline val="0"/>
        <shadow val="0"/>
        <u val="none"/>
        <vertAlign val="baseline"/>
        <sz val="9"/>
        <color theme="1"/>
        <name val="Century Gothic"/>
        <family val="2"/>
        <scheme val="none"/>
      </font>
      <numFmt numFmtId="0" formatCode="General"/>
      <alignment horizontal="center" vertical="center" textRotation="0" wrapText="1" indent="0" justifyLastLine="0" shrinkToFit="0" readingOrder="0"/>
    </dxf>
    <dxf>
      <font>
        <strike val="0"/>
        <outline val="0"/>
        <shadow val="0"/>
        <u val="none"/>
        <vertAlign val="baseline"/>
        <sz val="9"/>
        <color theme="1"/>
        <name val="Century Gothic"/>
        <family val="2"/>
        <scheme val="none"/>
      </font>
    </dxf>
    <dxf>
      <font>
        <b val="0"/>
        <i val="0"/>
        <strike val="0"/>
        <condense val="0"/>
        <extend val="0"/>
        <outline val="0"/>
        <shadow val="0"/>
        <u val="none"/>
        <vertAlign val="baseline"/>
        <sz val="9"/>
        <color theme="1"/>
        <name val="Century Gothic"/>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Century Gothic"/>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alignment horizontal="left" vertical="bottom" textRotation="0" wrapText="0" indent="0" justifyLastLine="0" shrinkToFit="0" readingOrder="0"/>
    </dxf>
    <dxf>
      <font>
        <color rgb="FF5FCFE0"/>
      </font>
    </dxf>
  </dxfs>
  <tableStyles count="1" defaultTableStyle="TableStyleMedium2" defaultPivotStyle="PivotStyleLight16">
    <tableStyle name="Estilo de tabla dinámica 1" table="0" count="1" xr9:uid="{043704B9-6D5C-405F-B31E-F8E41EB65844}">
      <tableStyleElement type="pageFieldLabels" dxfId="388"/>
    </tableStyle>
  </tableStyles>
  <colors>
    <mruColors>
      <color rgb="FF5FCFE0"/>
      <color rgb="FF99DF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pieChart>
        <c:varyColors val="1"/>
        <c:ser>
          <c:idx val="0"/>
          <c:order val="0"/>
          <c:tx>
            <c:strRef>
              <c:f>ANALISIS!$C$5</c:f>
              <c:strCache>
                <c:ptCount val="1"/>
                <c:pt idx="0">
                  <c:v>APROBADO</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84BE-4F95-ABB4-D386CBEA71E7}"/>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84BE-4F95-ABB4-D386CBEA71E7}"/>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4566-4ACD-93A9-7E753295F7DE}"/>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3-84BE-4F95-ABB4-D386CBEA71E7}"/>
              </c:ext>
            </c:extLst>
          </c:dPt>
          <c:dLbls>
            <c:dLbl>
              <c:idx val="0"/>
              <c:layout>
                <c:manualLayout>
                  <c:x val="-0.21052596963662606"/>
                  <c:y val="0.1202801581471789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2009292921911441"/>
                      <c:h val="0.10760950740080628"/>
                    </c:manualLayout>
                  </c15:layout>
                </c:ext>
                <c:ext xmlns:c16="http://schemas.microsoft.com/office/drawing/2014/chart" uri="{C3380CC4-5D6E-409C-BE32-E72D297353CC}">
                  <c16:uniqueId val="{00000001-84BE-4F95-ABB4-D386CBEA71E7}"/>
                </c:ext>
              </c:extLst>
            </c:dLbl>
            <c:dLbl>
              <c:idx val="1"/>
              <c:layout>
                <c:manualLayout>
                  <c:x val="0.14685008921448622"/>
                  <c:y val="-0.16736257269837859"/>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23865441413790794"/>
                      <c:h val="0.10760950740080628"/>
                    </c:manualLayout>
                  </c15:layout>
                </c:ext>
                <c:ext xmlns:c16="http://schemas.microsoft.com/office/drawing/2014/chart" uri="{C3380CC4-5D6E-409C-BE32-E72D297353CC}">
                  <c16:uniqueId val="{00000002-84BE-4F95-ABB4-D386CBEA71E7}"/>
                </c:ext>
              </c:extLst>
            </c:dLbl>
            <c:dLbl>
              <c:idx val="3"/>
              <c:layout>
                <c:manualLayout>
                  <c:x val="0.11899749600265484"/>
                  <c:y val="0.13551244064590826"/>
                </c:manualLayout>
              </c:layout>
              <c:dLblPos val="bestFi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4BE-4F95-ABB4-D386CBEA71E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s-HN"/>
              </a:p>
            </c:txPr>
            <c:dLblPos val="bestFit"/>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ANALISIS!$B$6:$B$9</c:f>
              <c:strCache>
                <c:ptCount val="4"/>
                <c:pt idx="0">
                  <c:v>SSRISS</c:v>
                </c:pt>
                <c:pt idx="1">
                  <c:v>VIH</c:v>
                </c:pt>
                <c:pt idx="2">
                  <c:v>MALARIA</c:v>
                </c:pt>
                <c:pt idx="3">
                  <c:v>TB</c:v>
                </c:pt>
              </c:strCache>
            </c:strRef>
          </c:cat>
          <c:val>
            <c:numRef>
              <c:f>ANALISIS!$C$6:$C$9</c:f>
              <c:numCache>
                <c:formatCode>_("L"* #,##0.00_);_("L"* \(#,##0.00\);_("L"* "-"??_);_(@_)</c:formatCode>
                <c:ptCount val="4"/>
                <c:pt idx="0">
                  <c:v>192078268.31999999</c:v>
                </c:pt>
                <c:pt idx="1">
                  <c:v>183420751.31</c:v>
                </c:pt>
                <c:pt idx="2">
                  <c:v>81855416.569999993</c:v>
                </c:pt>
                <c:pt idx="3">
                  <c:v>52589448.799999997</c:v>
                </c:pt>
              </c:numCache>
            </c:numRef>
          </c:val>
          <c:extLst>
            <c:ext xmlns:c16="http://schemas.microsoft.com/office/drawing/2014/chart" uri="{C3380CC4-5D6E-409C-BE32-E72D297353CC}">
              <c16:uniqueId val="{00000000-84BE-4F95-ABB4-D386CBEA71E7}"/>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PROGRESO DEL PRESUPUESTO</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s-HN"/>
        </a:p>
      </c:txPr>
    </c:title>
    <c:autoTitleDeleted val="0"/>
    <c:plotArea>
      <c:layout/>
      <c:barChart>
        <c:barDir val="bar"/>
        <c:grouping val="percentStacked"/>
        <c:varyColors val="0"/>
        <c:ser>
          <c:idx val="0"/>
          <c:order val="0"/>
          <c:tx>
            <c:strRef>
              <c:f>ANALISIS!$J$7</c:f>
              <c:strCache>
                <c:ptCount val="1"/>
                <c:pt idx="0">
                  <c:v>ADJUDICADO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51493814.603175506</c:v>
                </c:pt>
                <c:pt idx="1">
                  <c:v>32517909.523426622</c:v>
                </c:pt>
                <c:pt idx="2">
                  <c:v>19108235.789793156</c:v>
                </c:pt>
                <c:pt idx="3">
                  <c:v>72826968.703604698</c:v>
                </c:pt>
              </c:numCache>
            </c:numRef>
          </c:val>
          <c:extLst>
            <c:ext xmlns:c16="http://schemas.microsoft.com/office/drawing/2014/chart" uri="{C3380CC4-5D6E-409C-BE32-E72D297353CC}">
              <c16:uniqueId val="{00000000-FAF4-4D11-82A7-D5B8CF74D3B9}"/>
            </c:ext>
          </c:extLst>
        </c:ser>
        <c:ser>
          <c:idx val="1"/>
          <c:order val="1"/>
          <c:tx>
            <c:strRef>
              <c:f>ANALISIS!$J$8</c:f>
              <c:strCache>
                <c:ptCount val="1"/>
                <c:pt idx="0">
                  <c:v>PROCESO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ANALISIS!$K$8:$N$8</c:f>
              <c:numCache>
                <c:formatCode>_("L"* #,##0.00_);_("L"* \(#,##0.00\);_("L"* "-"??_);_(@_)</c:formatCode>
                <c:ptCount val="4"/>
                <c:pt idx="0">
                  <c:v>66957888.215082183</c:v>
                </c:pt>
                <c:pt idx="1">
                  <c:v>27538071.245835107</c:v>
                </c:pt>
                <c:pt idx="2">
                  <c:v>12799784.009082709</c:v>
                </c:pt>
                <c:pt idx="3">
                  <c:v>255000</c:v>
                </c:pt>
              </c:numCache>
            </c:numRef>
          </c:val>
          <c:extLst>
            <c:ext xmlns:c16="http://schemas.microsoft.com/office/drawing/2014/chart" uri="{C3380CC4-5D6E-409C-BE32-E72D297353CC}">
              <c16:uniqueId val="{00000001-FAF4-4D11-82A7-D5B8CF74D3B9}"/>
            </c:ext>
          </c:extLst>
        </c:ser>
        <c:ser>
          <c:idx val="2"/>
          <c:order val="2"/>
          <c:tx>
            <c:strRef>
              <c:f>ANALISIS!$J$9</c:f>
              <c:strCache>
                <c:ptCount val="1"/>
                <c:pt idx="0">
                  <c:v>DISPONIBLE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H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ANALISIS!$K$9:$N$9</c:f>
              <c:numCache>
                <c:formatCode>_("L"* #,##0.00_);_("L"* \(#,##0.00\);_("L"* "-"??_);_(@_)</c:formatCode>
                <c:ptCount val="4"/>
                <c:pt idx="0">
                  <c:v>64969048.491742313</c:v>
                </c:pt>
                <c:pt idx="1">
                  <c:v>21799435.800738264</c:v>
                </c:pt>
                <c:pt idx="2">
                  <c:v>20681429.001124132</c:v>
                </c:pt>
                <c:pt idx="3">
                  <c:v>118996299.61639529</c:v>
                </c:pt>
              </c:numCache>
            </c:numRef>
          </c:val>
          <c:extLst>
            <c:ext xmlns:c16="http://schemas.microsoft.com/office/drawing/2014/chart" uri="{C3380CC4-5D6E-409C-BE32-E72D297353CC}">
              <c16:uniqueId val="{00000002-FAF4-4D11-82A7-D5B8CF74D3B9}"/>
            </c:ext>
          </c:extLst>
        </c:ser>
        <c:dLbls>
          <c:dLblPos val="ctr"/>
          <c:showLegendKey val="0"/>
          <c:showVal val="1"/>
          <c:showCatName val="0"/>
          <c:showSerName val="0"/>
          <c:showPercent val="0"/>
          <c:showBubbleSize val="0"/>
        </c:dLbls>
        <c:gapWidth val="79"/>
        <c:overlap val="100"/>
        <c:axId val="688727759"/>
        <c:axId val="1868102655"/>
      </c:barChart>
      <c:catAx>
        <c:axId val="688727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cap="all" spc="120" normalizeH="0" baseline="0">
                <a:solidFill>
                  <a:schemeClr val="tx1">
                    <a:lumMod val="65000"/>
                    <a:lumOff val="35000"/>
                  </a:schemeClr>
                </a:solidFill>
                <a:latin typeface="+mn-lt"/>
                <a:ea typeface="+mn-ea"/>
                <a:cs typeface="+mn-cs"/>
              </a:defRPr>
            </a:pPr>
            <a:endParaRPr lang="es-HN"/>
          </a:p>
        </c:txPr>
        <c:crossAx val="1868102655"/>
        <c:crosses val="autoZero"/>
        <c:auto val="1"/>
        <c:lblAlgn val="ctr"/>
        <c:lblOffset val="100"/>
        <c:noMultiLvlLbl val="0"/>
      </c:catAx>
      <c:valAx>
        <c:axId val="1868102655"/>
        <c:scaling>
          <c:orientation val="minMax"/>
        </c:scaling>
        <c:delete val="1"/>
        <c:axPos val="b"/>
        <c:numFmt formatCode="0%" sourceLinked="1"/>
        <c:majorTickMark val="none"/>
        <c:minorTickMark val="none"/>
        <c:tickLblPos val="nextTo"/>
        <c:crossAx val="6887277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RESUMEN DE EJECUCIÓN</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ANALISIS!$J$6</c:f>
              <c:strCache>
                <c:ptCount val="1"/>
                <c:pt idx="0">
                  <c:v>SALDO INICIAL</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ANALISIS!$K$6:$N$6</c:f>
              <c:numCache>
                <c:formatCode>_("L"* #,##0.00_);_("L"* \(#,##0.00\);_("L"* "-"??_);_(@_)</c:formatCode>
                <c:ptCount val="4"/>
                <c:pt idx="0">
                  <c:v>183420751.31</c:v>
                </c:pt>
                <c:pt idx="1">
                  <c:v>81855416.569999993</c:v>
                </c:pt>
                <c:pt idx="2">
                  <c:v>52589448.799999997</c:v>
                </c:pt>
                <c:pt idx="3">
                  <c:v>192078268.31999999</c:v>
                </c:pt>
              </c:numCache>
            </c:numRef>
          </c:val>
          <c:extLst>
            <c:ext xmlns:c16="http://schemas.microsoft.com/office/drawing/2014/chart" uri="{C3380CC4-5D6E-409C-BE32-E72D297353CC}">
              <c16:uniqueId val="{00000000-1D1A-49DB-AD05-3CA033A245E5}"/>
            </c:ext>
          </c:extLst>
        </c:ser>
        <c:ser>
          <c:idx val="1"/>
          <c:order val="1"/>
          <c:tx>
            <c:strRef>
              <c:f>ANALISIS!$J$7</c:f>
              <c:strCache>
                <c:ptCount val="1"/>
                <c:pt idx="0">
                  <c:v>ADJUDICADO</c:v>
                </c:pt>
              </c:strCache>
            </c:strRef>
          </c:tx>
          <c:spPr>
            <a:pattFill prst="narHorz">
              <a:fgClr>
                <a:schemeClr val="accent5"/>
              </a:fgClr>
              <a:bgClr>
                <a:schemeClr val="accent5">
                  <a:lumMod val="20000"/>
                  <a:lumOff val="80000"/>
                </a:schemeClr>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ANALISIS!$K$5:$N$5</c:f>
              <c:strCache>
                <c:ptCount val="4"/>
                <c:pt idx="0">
                  <c:v>VIH</c:v>
                </c:pt>
                <c:pt idx="1">
                  <c:v>MARARIA</c:v>
                </c:pt>
                <c:pt idx="2">
                  <c:v>TB</c:v>
                </c:pt>
                <c:pt idx="3">
                  <c:v>SSRISS</c:v>
                </c:pt>
              </c:strCache>
            </c:strRef>
          </c:cat>
          <c:val>
            <c:numRef>
              <c:f>ANALISIS!$K$7:$N$7</c:f>
              <c:numCache>
                <c:formatCode>_("L"* #,##0.00_);_("L"* \(#,##0.00\);_("L"* "-"??_);_(@_)</c:formatCode>
                <c:ptCount val="4"/>
                <c:pt idx="0">
                  <c:v>51493814.603175506</c:v>
                </c:pt>
                <c:pt idx="1">
                  <c:v>32517909.523426622</c:v>
                </c:pt>
                <c:pt idx="2">
                  <c:v>19108235.789793156</c:v>
                </c:pt>
                <c:pt idx="3">
                  <c:v>72826968.703604698</c:v>
                </c:pt>
              </c:numCache>
            </c:numRef>
          </c:val>
          <c:extLst>
            <c:ext xmlns:c16="http://schemas.microsoft.com/office/drawing/2014/chart" uri="{C3380CC4-5D6E-409C-BE32-E72D297353CC}">
              <c16:uniqueId val="{00000001-1D1A-49DB-AD05-3CA033A245E5}"/>
            </c:ext>
          </c:extLst>
        </c:ser>
        <c:dLbls>
          <c:dLblPos val="outEnd"/>
          <c:showLegendKey val="0"/>
          <c:showVal val="1"/>
          <c:showCatName val="0"/>
          <c:showSerName val="0"/>
          <c:showPercent val="0"/>
          <c:showBubbleSize val="0"/>
        </c:dLbls>
        <c:gapWidth val="164"/>
        <c:overlap val="-22"/>
        <c:axId val="2062592975"/>
        <c:axId val="2062593935"/>
      </c:barChart>
      <c:catAx>
        <c:axId val="2062592975"/>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3935"/>
        <c:crosses val="autoZero"/>
        <c:auto val="1"/>
        <c:lblAlgn val="ctr"/>
        <c:lblOffset val="100"/>
        <c:noMultiLvlLbl val="0"/>
      </c:catAx>
      <c:valAx>
        <c:axId val="2062593935"/>
        <c:scaling>
          <c:orientation val="minMax"/>
        </c:scaling>
        <c:delete val="0"/>
        <c:axPos val="l"/>
        <c:numFmt formatCode="_(&quot;L&quot;* #,##0.00_);_(&quot;L&quot;* \(#,##0.00\);_(&quot;L&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2062592975"/>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solidFill>
      <a:round/>
    </a:ln>
    <a:effectLst/>
  </c:spPr>
  <c:txPr>
    <a:bodyPr/>
    <a:lstStyle/>
    <a:p>
      <a:pPr>
        <a:defRPr/>
      </a:pPr>
      <a:endParaRPr lang="es-H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HN"/>
              <a:t>DISTRIBUCIÓN DEL PRESUPUESTO POR UNIDAD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HN"/>
        </a:p>
      </c:txPr>
    </c:title>
    <c:autoTitleDeleted val="0"/>
    <c:plotArea>
      <c:layout/>
      <c:barChart>
        <c:barDir val="col"/>
        <c:grouping val="percentStacked"/>
        <c:varyColors val="0"/>
        <c:ser>
          <c:idx val="0"/>
          <c:order val="0"/>
          <c:tx>
            <c:strRef>
              <c:f>ANALISIS!$AA$6</c:f>
              <c:strCache>
                <c:ptCount val="1"/>
                <c:pt idx="0">
                  <c:v>Grupo 10000 Servicios Personales</c:v>
                </c:pt>
              </c:strCache>
            </c:strRef>
          </c:tx>
          <c:spPr>
            <a:solidFill>
              <a:schemeClr val="accent2"/>
            </a:solidFill>
            <a:ln>
              <a:noFill/>
            </a:ln>
            <a:effectLst/>
          </c:spPr>
          <c:invertIfNegative val="0"/>
          <c:cat>
            <c:strRef>
              <c:f>ANALISIS!$AB$5:$AE$5</c:f>
              <c:strCache>
                <c:ptCount val="4"/>
                <c:pt idx="0">
                  <c:v>SSRISS</c:v>
                </c:pt>
                <c:pt idx="1">
                  <c:v>VIH</c:v>
                </c:pt>
                <c:pt idx="2">
                  <c:v>MALARIA</c:v>
                </c:pt>
                <c:pt idx="3">
                  <c:v>TB</c:v>
                </c:pt>
              </c:strCache>
            </c:strRef>
          </c:cat>
          <c:val>
            <c:numRef>
              <c:f>ANALISIS!$AB$6:$AE$6</c:f>
              <c:numCache>
                <c:formatCode>_("L"* #,##0.00_);_("L"* \(#,##0.00\);_("L"* "-"??_);_(@_)</c:formatCode>
                <c:ptCount val="4"/>
                <c:pt idx="0">
                  <c:v>196205688.31999999</c:v>
                </c:pt>
                <c:pt idx="1">
                  <c:v>44094786.310000002</c:v>
                </c:pt>
                <c:pt idx="2">
                  <c:v>31918921.57</c:v>
                </c:pt>
                <c:pt idx="3">
                  <c:v>25699434.800000001</c:v>
                </c:pt>
              </c:numCache>
            </c:numRef>
          </c:val>
          <c:extLst>
            <c:ext xmlns:c16="http://schemas.microsoft.com/office/drawing/2014/chart" uri="{C3380CC4-5D6E-409C-BE32-E72D297353CC}">
              <c16:uniqueId val="{00000000-007A-440C-A55D-29A7C85853F0}"/>
            </c:ext>
          </c:extLst>
        </c:ser>
        <c:ser>
          <c:idx val="1"/>
          <c:order val="1"/>
          <c:tx>
            <c:strRef>
              <c:f>ANALISIS!$AA$7</c:f>
              <c:strCache>
                <c:ptCount val="1"/>
                <c:pt idx="0">
                  <c:v>Grupo 20000 Servicios No Personales</c:v>
                </c:pt>
              </c:strCache>
            </c:strRef>
          </c:tx>
          <c:spPr>
            <a:solidFill>
              <a:schemeClr val="accent4"/>
            </a:solidFill>
            <a:ln>
              <a:noFill/>
            </a:ln>
            <a:effectLst/>
          </c:spPr>
          <c:invertIfNegative val="0"/>
          <c:cat>
            <c:strRef>
              <c:f>ANALISIS!$AB$5:$AE$5</c:f>
              <c:strCache>
                <c:ptCount val="4"/>
                <c:pt idx="0">
                  <c:v>SSRISS</c:v>
                </c:pt>
                <c:pt idx="1">
                  <c:v>VIH</c:v>
                </c:pt>
                <c:pt idx="2">
                  <c:v>MALARIA</c:v>
                </c:pt>
                <c:pt idx="3">
                  <c:v>TB</c:v>
                </c:pt>
              </c:strCache>
            </c:strRef>
          </c:cat>
          <c:val>
            <c:numRef>
              <c:f>ANALISIS!$AB$7:$AE$7</c:f>
              <c:numCache>
                <c:formatCode>_("L"* #,##0.00_);_("L"* \(#,##0.00\);_("L"* "-"??_);_(@_)</c:formatCode>
                <c:ptCount val="4"/>
                <c:pt idx="0">
                  <c:v>1398254</c:v>
                </c:pt>
                <c:pt idx="1">
                  <c:v>6826958</c:v>
                </c:pt>
                <c:pt idx="2">
                  <c:v>2707845</c:v>
                </c:pt>
                <c:pt idx="3">
                  <c:v>3643620</c:v>
                </c:pt>
              </c:numCache>
            </c:numRef>
          </c:val>
          <c:extLst>
            <c:ext xmlns:c16="http://schemas.microsoft.com/office/drawing/2014/chart" uri="{C3380CC4-5D6E-409C-BE32-E72D297353CC}">
              <c16:uniqueId val="{00000001-007A-440C-A55D-29A7C85853F0}"/>
            </c:ext>
          </c:extLst>
        </c:ser>
        <c:ser>
          <c:idx val="2"/>
          <c:order val="2"/>
          <c:tx>
            <c:strRef>
              <c:f>ANALISIS!$AA$8</c:f>
              <c:strCache>
                <c:ptCount val="1"/>
                <c:pt idx="0">
                  <c:v>Grupo 30000 Materiales y Suministros</c:v>
                </c:pt>
              </c:strCache>
            </c:strRef>
          </c:tx>
          <c:spPr>
            <a:solidFill>
              <a:schemeClr val="accent6"/>
            </a:solidFill>
            <a:ln>
              <a:noFill/>
            </a:ln>
            <a:effectLst/>
          </c:spPr>
          <c:invertIfNegative val="0"/>
          <c:cat>
            <c:strRef>
              <c:f>ANALISIS!$AB$5:$AE$5</c:f>
              <c:strCache>
                <c:ptCount val="4"/>
                <c:pt idx="0">
                  <c:v>SSRISS</c:v>
                </c:pt>
                <c:pt idx="1">
                  <c:v>VIH</c:v>
                </c:pt>
                <c:pt idx="2">
                  <c:v>MALARIA</c:v>
                </c:pt>
                <c:pt idx="3">
                  <c:v>TB</c:v>
                </c:pt>
              </c:strCache>
            </c:strRef>
          </c:cat>
          <c:val>
            <c:numRef>
              <c:f>ANALISIS!$AB$8:$AE$8</c:f>
              <c:numCache>
                <c:formatCode>_("L"* #,##0.00_);_("L"* \(#,##0.00\);_("L"* "-"??_);_(@_)</c:formatCode>
                <c:ptCount val="4"/>
                <c:pt idx="0">
                  <c:v>732763</c:v>
                </c:pt>
                <c:pt idx="1">
                  <c:v>122167014.61422576</c:v>
                </c:pt>
                <c:pt idx="2">
                  <c:v>41715642.974858418</c:v>
                </c:pt>
                <c:pt idx="3">
                  <c:v>19408262.410915814</c:v>
                </c:pt>
              </c:numCache>
            </c:numRef>
          </c:val>
          <c:extLst>
            <c:ext xmlns:c16="http://schemas.microsoft.com/office/drawing/2014/chart" uri="{C3380CC4-5D6E-409C-BE32-E72D297353CC}">
              <c16:uniqueId val="{00000002-007A-440C-A55D-29A7C85853F0}"/>
            </c:ext>
          </c:extLst>
        </c:ser>
        <c:ser>
          <c:idx val="3"/>
          <c:order val="3"/>
          <c:tx>
            <c:strRef>
              <c:f>ANALISIS!$AA$9</c:f>
              <c:strCache>
                <c:ptCount val="1"/>
                <c:pt idx="0">
                  <c:v>Grupo 40000 Bienes Capitalizables</c:v>
                </c:pt>
              </c:strCache>
            </c:strRef>
          </c:tx>
          <c:spPr>
            <a:solidFill>
              <a:schemeClr val="accent2">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ANALISIS!$AB$9:$AE$9</c:f>
              <c:numCache>
                <c:formatCode>_("L"* #,##0.00_);_("L"* \(#,##0.00\);_("L"* "-"??_);_(@_)</c:formatCode>
                <c:ptCount val="4"/>
                <c:pt idx="0">
                  <c:v>30000</c:v>
                </c:pt>
                <c:pt idx="1">
                  <c:v>11253572</c:v>
                </c:pt>
                <c:pt idx="2">
                  <c:v>7725203</c:v>
                </c:pt>
                <c:pt idx="3">
                  <c:v>4606047</c:v>
                </c:pt>
              </c:numCache>
            </c:numRef>
          </c:val>
          <c:extLst>
            <c:ext xmlns:c16="http://schemas.microsoft.com/office/drawing/2014/chart" uri="{C3380CC4-5D6E-409C-BE32-E72D297353CC}">
              <c16:uniqueId val="{00000003-007A-440C-A55D-29A7C85853F0}"/>
            </c:ext>
          </c:extLst>
        </c:ser>
        <c:ser>
          <c:idx val="4"/>
          <c:order val="4"/>
          <c:tx>
            <c:strRef>
              <c:f>ANALISIS!$AA$10</c:f>
              <c:strCache>
                <c:ptCount val="1"/>
                <c:pt idx="0">
                  <c:v>Grupo 50000 Transferencias y Donaciones</c:v>
                </c:pt>
              </c:strCache>
            </c:strRef>
          </c:tx>
          <c:spPr>
            <a:solidFill>
              <a:schemeClr val="accent4">
                <a:lumMod val="60000"/>
              </a:schemeClr>
            </a:solidFill>
            <a:ln>
              <a:noFill/>
            </a:ln>
            <a:effectLst/>
          </c:spPr>
          <c:invertIfNegative val="0"/>
          <c:cat>
            <c:strRef>
              <c:f>ANALISIS!$AB$5:$AE$5</c:f>
              <c:strCache>
                <c:ptCount val="4"/>
                <c:pt idx="0">
                  <c:v>SSRISS</c:v>
                </c:pt>
                <c:pt idx="1">
                  <c:v>VIH</c:v>
                </c:pt>
                <c:pt idx="2">
                  <c:v>MALARIA</c:v>
                </c:pt>
                <c:pt idx="3">
                  <c:v>TB</c:v>
                </c:pt>
              </c:strCache>
            </c:strRef>
          </c:cat>
          <c:val>
            <c:numRef>
              <c:f>ANALISIS!$AB$10:$AE$10</c:f>
              <c:numCache>
                <c:formatCode>_("L"* #,##0.00_);_("L"* \(#,##0.00\);_("L"* "-"??_);_(@_)</c:formatCode>
                <c:ptCount val="4"/>
                <c:pt idx="0">
                  <c:v>1800</c:v>
                </c:pt>
                <c:pt idx="1">
                  <c:v>0</c:v>
                </c:pt>
                <c:pt idx="2">
                  <c:v>0</c:v>
                </c:pt>
                <c:pt idx="3">
                  <c:v>0</c:v>
                </c:pt>
              </c:numCache>
            </c:numRef>
          </c:val>
          <c:extLst>
            <c:ext xmlns:c16="http://schemas.microsoft.com/office/drawing/2014/chart" uri="{C3380CC4-5D6E-409C-BE32-E72D297353CC}">
              <c16:uniqueId val="{00000004-007A-440C-A55D-29A7C85853F0}"/>
            </c:ext>
          </c:extLst>
        </c:ser>
        <c:dLbls>
          <c:showLegendKey val="0"/>
          <c:showVal val="0"/>
          <c:showCatName val="0"/>
          <c:showSerName val="0"/>
          <c:showPercent val="0"/>
          <c:showBubbleSize val="0"/>
        </c:dLbls>
        <c:gapWidth val="150"/>
        <c:overlap val="100"/>
        <c:axId val="1436619904"/>
        <c:axId val="1436629504"/>
      </c:barChart>
      <c:catAx>
        <c:axId val="1436619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29504"/>
        <c:crosses val="autoZero"/>
        <c:auto val="1"/>
        <c:lblAlgn val="ctr"/>
        <c:lblOffset val="100"/>
        <c:noMultiLvlLbl val="0"/>
      </c:catAx>
      <c:valAx>
        <c:axId val="1436629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436619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H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HN"/>
              <a:t>SOLICITUDES REALIZADAS MEDIANTE CNS </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0"/>
          <c:order val="0"/>
          <c:tx>
            <c:strRef>
              <c:f>ANALISIS!$AK$5</c:f>
              <c:strCache>
                <c:ptCount val="1"/>
                <c:pt idx="0">
                  <c:v>ADJUDICADO</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ANALISIS!$AK$6:$AK$9</c:f>
              <c:numCache>
                <c:formatCode>General</c:formatCode>
                <c:ptCount val="4"/>
                <c:pt idx="0">
                  <c:v>10</c:v>
                </c:pt>
                <c:pt idx="1">
                  <c:v>12</c:v>
                </c:pt>
                <c:pt idx="2">
                  <c:v>10</c:v>
                </c:pt>
                <c:pt idx="3">
                  <c:v>3</c:v>
                </c:pt>
              </c:numCache>
            </c:numRef>
          </c:val>
          <c:extLst>
            <c:ext xmlns:c16="http://schemas.microsoft.com/office/drawing/2014/chart" uri="{C3380CC4-5D6E-409C-BE32-E72D297353CC}">
              <c16:uniqueId val="{00000000-82AD-4978-AED9-292BABC7248B}"/>
            </c:ext>
          </c:extLst>
        </c:ser>
        <c:ser>
          <c:idx val="1"/>
          <c:order val="1"/>
          <c:tx>
            <c:strRef>
              <c:f>ANALISIS!$AL$5</c:f>
              <c:strCache>
                <c:ptCount val="1"/>
                <c:pt idx="0">
                  <c:v>PROCESO</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ANALISIS!$AL$6:$AL$9</c:f>
              <c:numCache>
                <c:formatCode>General</c:formatCode>
                <c:ptCount val="4"/>
                <c:pt idx="0">
                  <c:v>15</c:v>
                </c:pt>
                <c:pt idx="1">
                  <c:v>26</c:v>
                </c:pt>
                <c:pt idx="2">
                  <c:v>14</c:v>
                </c:pt>
                <c:pt idx="3">
                  <c:v>1</c:v>
                </c:pt>
              </c:numCache>
            </c:numRef>
          </c:val>
          <c:extLst>
            <c:ext xmlns:c16="http://schemas.microsoft.com/office/drawing/2014/chart" uri="{C3380CC4-5D6E-409C-BE32-E72D297353CC}">
              <c16:uniqueId val="{00000001-82AD-4978-AED9-292BABC7248B}"/>
            </c:ext>
          </c:extLst>
        </c:ser>
        <c:ser>
          <c:idx val="2"/>
          <c:order val="2"/>
          <c:tx>
            <c:strRef>
              <c:f>ANALISIS!$AM$5</c:f>
              <c:strCache>
                <c:ptCount val="1"/>
                <c:pt idx="0">
                  <c:v>FRACASADO</c:v>
                </c:pt>
              </c:strCache>
            </c:strRef>
          </c:tx>
          <c:spPr>
            <a:pattFill prst="narHorz">
              <a:fgClr>
                <a:schemeClr val="accent3"/>
              </a:fgClr>
              <a:bgClr>
                <a:schemeClr val="accent3">
                  <a:lumMod val="20000"/>
                  <a:lumOff val="80000"/>
                </a:schemeClr>
              </a:bgClr>
            </a:pattFill>
            <a:ln>
              <a:noFill/>
            </a:ln>
            <a:effectLst>
              <a:innerShdw blurRad="114300">
                <a:schemeClr val="accent3"/>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ANALISIS!$AM$6:$AM$9</c:f>
              <c:numCache>
                <c:formatCode>General</c:formatCode>
                <c:ptCount val="4"/>
                <c:pt idx="0">
                  <c:v>0</c:v>
                </c:pt>
                <c:pt idx="1">
                  <c:v>2</c:v>
                </c:pt>
                <c:pt idx="2">
                  <c:v>0</c:v>
                </c:pt>
                <c:pt idx="3">
                  <c:v>0</c:v>
                </c:pt>
              </c:numCache>
            </c:numRef>
          </c:val>
          <c:extLst>
            <c:ext xmlns:c16="http://schemas.microsoft.com/office/drawing/2014/chart" uri="{C3380CC4-5D6E-409C-BE32-E72D297353CC}">
              <c16:uniqueId val="{00000002-82AD-4978-AED9-292BABC7248B}"/>
            </c:ext>
          </c:extLst>
        </c:ser>
        <c:ser>
          <c:idx val="3"/>
          <c:order val="3"/>
          <c:tx>
            <c:strRef>
              <c:f>ANALISIS!$AN$5</c:f>
              <c:strCache>
                <c:ptCount val="1"/>
                <c:pt idx="0">
                  <c:v>DESIERTO</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ANALISIS!$AN$6:$AN$9</c:f>
              <c:numCache>
                <c:formatCode>General</c:formatCode>
                <c:ptCount val="4"/>
                <c:pt idx="0">
                  <c:v>1</c:v>
                </c:pt>
                <c:pt idx="1">
                  <c:v>2</c:v>
                </c:pt>
                <c:pt idx="2">
                  <c:v>1</c:v>
                </c:pt>
                <c:pt idx="3">
                  <c:v>0</c:v>
                </c:pt>
              </c:numCache>
            </c:numRef>
          </c:val>
          <c:extLst>
            <c:ext xmlns:c16="http://schemas.microsoft.com/office/drawing/2014/chart" uri="{C3380CC4-5D6E-409C-BE32-E72D297353CC}">
              <c16:uniqueId val="{00000003-82AD-4978-AED9-292BABC7248B}"/>
            </c:ext>
          </c:extLst>
        </c:ser>
        <c:ser>
          <c:idx val="4"/>
          <c:order val="4"/>
          <c:tx>
            <c:strRef>
              <c:f>ANALISIS!$AO$5</c:f>
              <c:strCache>
                <c:ptCount val="1"/>
                <c:pt idx="0">
                  <c:v>OBSERVACIONES</c:v>
                </c:pt>
              </c:strCache>
            </c:strRef>
          </c:tx>
          <c:spPr>
            <a:pattFill prst="narHorz">
              <a:fgClr>
                <a:schemeClr val="accent6">
                  <a:lumMod val="75000"/>
                </a:schemeClr>
              </a:fgClr>
              <a:bgClr>
                <a:schemeClr val="bg1"/>
              </a:bgClr>
            </a:pattFill>
            <a:ln>
              <a:noFill/>
            </a:ln>
            <a:effectLst>
              <a:innerShdw blurRad="114300">
                <a:schemeClr val="accent5"/>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ANALISIS!$AO$6:$AO$9</c:f>
              <c:numCache>
                <c:formatCode>General</c:formatCode>
                <c:ptCount val="4"/>
                <c:pt idx="0">
                  <c:v>4</c:v>
                </c:pt>
                <c:pt idx="1">
                  <c:v>5</c:v>
                </c:pt>
                <c:pt idx="2">
                  <c:v>0</c:v>
                </c:pt>
                <c:pt idx="3">
                  <c:v>0</c:v>
                </c:pt>
              </c:numCache>
            </c:numRef>
          </c:val>
          <c:extLst>
            <c:ext xmlns:c16="http://schemas.microsoft.com/office/drawing/2014/chart" uri="{C3380CC4-5D6E-409C-BE32-E72D297353CC}">
              <c16:uniqueId val="{00000006-82AD-4978-AED9-292BABC7248B}"/>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r>
              <a:rPr lang="es-HN" sz="1600"/>
              <a:t>SOLICITUDES REALIZADAS MEDIANTE CNS </a:t>
            </a:r>
          </a:p>
        </c:rich>
      </c:tx>
      <c:overlay val="0"/>
      <c:spPr>
        <a:noFill/>
        <a:ln>
          <a:noFill/>
        </a:ln>
        <a:effectLst/>
      </c:spPr>
      <c:txPr>
        <a:bodyPr rot="0" spcFirstLastPara="1" vertOverflow="ellipsis" vert="horz" wrap="square" anchor="ctr" anchorCtr="1"/>
        <a:lstStyle/>
        <a:p>
          <a:pPr>
            <a:defRPr sz="1600" b="1" i="0" u="none" strike="noStrike" kern="1200" cap="all" spc="150" baseline="0">
              <a:solidFill>
                <a:schemeClr val="tx1">
                  <a:lumMod val="50000"/>
                  <a:lumOff val="50000"/>
                </a:schemeClr>
              </a:solidFill>
              <a:latin typeface="+mn-lt"/>
              <a:ea typeface="+mn-ea"/>
              <a:cs typeface="+mn-cs"/>
            </a:defRPr>
          </a:pPr>
          <a:endParaRPr lang="es-HN"/>
        </a:p>
      </c:txPr>
    </c:title>
    <c:autoTitleDeleted val="0"/>
    <c:plotArea>
      <c:layout/>
      <c:barChart>
        <c:barDir val="col"/>
        <c:grouping val="clustered"/>
        <c:varyColors val="0"/>
        <c:ser>
          <c:idx val="5"/>
          <c:order val="0"/>
          <c:tx>
            <c:strRef>
              <c:f>ANALISIS!$AP$5</c:f>
              <c:strCache>
                <c:ptCount val="1"/>
                <c:pt idx="0">
                  <c:v>SUMA</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H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ANALISIS!$AJ$6:$AJ$9</c:f>
              <c:strCache>
                <c:ptCount val="4"/>
                <c:pt idx="0">
                  <c:v>VIH</c:v>
                </c:pt>
                <c:pt idx="1">
                  <c:v>MALARIA</c:v>
                </c:pt>
                <c:pt idx="2">
                  <c:v>TUBERCULOSIS</c:v>
                </c:pt>
                <c:pt idx="3">
                  <c:v>SSRISS</c:v>
                </c:pt>
              </c:strCache>
            </c:strRef>
          </c:cat>
          <c:val>
            <c:numRef>
              <c:f>ANALISIS!$AP$6:$AP$9</c:f>
              <c:numCache>
                <c:formatCode>General</c:formatCode>
                <c:ptCount val="4"/>
                <c:pt idx="0">
                  <c:v>30</c:v>
                </c:pt>
                <c:pt idx="1">
                  <c:v>47</c:v>
                </c:pt>
                <c:pt idx="2">
                  <c:v>25</c:v>
                </c:pt>
                <c:pt idx="3">
                  <c:v>4</c:v>
                </c:pt>
              </c:numCache>
            </c:numRef>
          </c:val>
          <c:extLst>
            <c:ext xmlns:c16="http://schemas.microsoft.com/office/drawing/2014/chart" uri="{C3380CC4-5D6E-409C-BE32-E72D297353CC}">
              <c16:uniqueId val="{00000005-2108-4351-994F-6FE811F3FE5F}"/>
            </c:ext>
          </c:extLst>
        </c:ser>
        <c:dLbls>
          <c:dLblPos val="outEnd"/>
          <c:showLegendKey val="0"/>
          <c:showVal val="1"/>
          <c:showCatName val="0"/>
          <c:showSerName val="0"/>
          <c:showPercent val="0"/>
          <c:showBubbleSize val="0"/>
        </c:dLbls>
        <c:gapWidth val="164"/>
        <c:overlap val="-22"/>
        <c:axId val="1783694559"/>
        <c:axId val="1783696479"/>
      </c:barChart>
      <c:catAx>
        <c:axId val="1783694559"/>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6479"/>
        <c:crosses val="autoZero"/>
        <c:auto val="1"/>
        <c:lblAlgn val="ctr"/>
        <c:lblOffset val="100"/>
        <c:noMultiLvlLbl val="0"/>
      </c:catAx>
      <c:valAx>
        <c:axId val="178369647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HN"/>
          </a:p>
        </c:txPr>
        <c:crossAx val="17836945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H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180975</xdr:rowOff>
        </xdr:from>
        <xdr:to>
          <xdr:col>5</xdr:col>
          <xdr:colOff>9525</xdr:colOff>
          <xdr:row>2</xdr:row>
          <xdr:rowOff>9525</xdr:rowOff>
        </xdr:to>
        <xdr:sp macro="" textlink="">
          <xdr:nvSpPr>
            <xdr:cNvPr id="6145" name="TextBox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76200</xdr:colOff>
      <xdr:row>11</xdr:row>
      <xdr:rowOff>57150</xdr:rowOff>
    </xdr:from>
    <xdr:to>
      <xdr:col>6</xdr:col>
      <xdr:colOff>914400</xdr:colOff>
      <xdr:row>32</xdr:row>
      <xdr:rowOff>80963</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352425</xdr:colOff>
      <xdr:row>11</xdr:row>
      <xdr:rowOff>9525</xdr:rowOff>
    </xdr:from>
    <xdr:to>
      <xdr:col>15</xdr:col>
      <xdr:colOff>485776</xdr:colOff>
      <xdr:row>25</xdr:row>
      <xdr:rowOff>52388</xdr:rowOff>
    </xdr:to>
    <xdr:graphicFrame macro="">
      <xdr:nvGraphicFramePr>
        <xdr:cNvPr id="6" name="Gráfico 5">
          <a:extLst>
            <a:ext uri="{FF2B5EF4-FFF2-40B4-BE49-F238E27FC236}">
              <a16:creationId xmlns:a16="http://schemas.microsoft.com/office/drawing/2014/main" id="{00000000-0008-0000-0600-000006000000}"/>
            </a:ext>
            <a:ext uri="{147F2762-F138-4A5C-976F-8EAC2B608ADB}">
              <a16:predDERef xmlns:a16="http://schemas.microsoft.com/office/drawing/2014/main" pred="{E41DA3B5-895E-9DA9-B657-897CA118A4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485775</xdr:colOff>
      <xdr:row>10</xdr:row>
      <xdr:rowOff>147637</xdr:rowOff>
    </xdr:from>
    <xdr:to>
      <xdr:col>22</xdr:col>
      <xdr:colOff>523875</xdr:colOff>
      <xdr:row>25</xdr:row>
      <xdr:rowOff>33337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514350</xdr:colOff>
      <xdr:row>12</xdr:row>
      <xdr:rowOff>147637</xdr:rowOff>
    </xdr:from>
    <xdr:to>
      <xdr:col>31</xdr:col>
      <xdr:colOff>171450</xdr:colOff>
      <xdr:row>27</xdr:row>
      <xdr:rowOff>33337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38</xdr:col>
      <xdr:colOff>364072</xdr:colOff>
      <xdr:row>11</xdr:row>
      <xdr:rowOff>146539</xdr:rowOff>
    </xdr:from>
    <xdr:to>
      <xdr:col>43</xdr:col>
      <xdr:colOff>800150</xdr:colOff>
      <xdr:row>27</xdr:row>
      <xdr:rowOff>103285</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147296</xdr:colOff>
      <xdr:row>11</xdr:row>
      <xdr:rowOff>151338</xdr:rowOff>
    </xdr:from>
    <xdr:to>
      <xdr:col>38</xdr:col>
      <xdr:colOff>130621</xdr:colOff>
      <xdr:row>27</xdr:row>
      <xdr:rowOff>83021</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MROD" refreshedDate="45463.451642361113" createdVersion="8" refreshedVersion="8" minRefreshableVersion="3" recordCount="283" xr:uid="{3BF091BB-69F0-4647-81AC-31417EDB906A}">
  <cacheSource type="worksheet">
    <worksheetSource name="DIARIO"/>
  </cacheSource>
  <cacheFields count="23">
    <cacheField name="# Reg." numFmtId="0">
      <sharedItems containsSemiMixedTypes="0" containsString="0" containsNumber="1" containsInteger="1" minValue="1" maxValue="176"/>
    </cacheField>
    <cacheField name="Tipo de Compra" numFmtId="0">
      <sharedItems containsBlank="1"/>
    </cacheField>
    <cacheField name="Objeto de Gasto" numFmtId="0">
      <sharedItems containsBlank="1" containsMixedTypes="1" containsNumber="1" containsInteger="1" minValue="26210" maxValue="42310" count="133">
        <s v="11100-SSRISS"/>
        <s v="11400-SSRISS"/>
        <s v="11400-VIH"/>
        <s v="11400-MALARIA"/>
        <s v="11510-SSRISS"/>
        <s v="11520-SSRISS"/>
        <s v="11600-SSRISS"/>
        <s v="11710-SSRISS"/>
        <s v="11750-SSRISS"/>
        <s v="12100-SSRISS"/>
        <s v="12100-VIH"/>
        <s v="12100-MALARIA"/>
        <s v="12100-TB"/>
        <s v="12410-SSRISS"/>
        <s v="12410-VIH"/>
        <s v="12410-MALARIA"/>
        <s v="12410-TB"/>
        <s v="12420-SSRISS"/>
        <s v="12420-VIH"/>
        <s v="12420-MALARIA"/>
        <s v="12420-TB"/>
        <s v="12550-SSRISS"/>
        <s v="12550-VIH"/>
        <s v="12550-MALARIA"/>
        <s v="14100-SSRISS"/>
        <s v="23100-VIH"/>
        <s v="23100-MALARIA"/>
        <s v="23100-TB"/>
        <s v="23200-SSRISS"/>
        <s v="23200-VIH"/>
        <s v="23200-MALARIA"/>
        <s v="23200-TB"/>
        <s v="23330-VIH"/>
        <s v="23330-TB"/>
        <s v="23350-VIH"/>
        <s v="23350-MALARIA"/>
        <s v="25100-VIH"/>
        <s v="25100-MALARIA"/>
        <s v="25100-TB"/>
        <s v="25700-VIH"/>
        <s v="26110-SSRISS"/>
        <s v="26110-VIH"/>
        <s v="26110-MALARIA"/>
        <s v="26110-TB"/>
        <s v="26120-SSRISS"/>
        <s v="26210-SSRISS"/>
        <s v="26210-VIH"/>
        <s v="26210-MALARIA"/>
        <s v="26210-TB"/>
        <s v="26220-SSRISS"/>
        <s v="29100-VIH"/>
        <s v="29100-TB"/>
        <s v="31110-SSRISS"/>
        <s v="31110-VIH"/>
        <s v="31110-MALARIA"/>
        <s v="31110-TB"/>
        <s v="32310-VIH"/>
        <s v="32310-MALARIA"/>
        <s v="32310-TB"/>
        <s v="32400-MALARIA"/>
        <s v="33100-SSRISS"/>
        <s v="33100-VIH"/>
        <s v="33100-MALARIA"/>
        <s v="33100-TB"/>
        <s v="33300-VIH"/>
        <s v="33300-MALARIA"/>
        <s v="33300-TB"/>
        <s v="34400-SSRISS"/>
        <s v="34400-VIH"/>
        <s v="34400-MALARIA"/>
        <s v="34400-TB"/>
        <s v="35210-VIH"/>
        <s v="35210-MALARIA"/>
        <s v="35230-VIH"/>
        <s v="35251-MALARIA"/>
        <s v="35251-TB"/>
        <s v="35252-VIH"/>
        <s v="35400-MALARIA"/>
        <s v="35610-MALARIA"/>
        <s v="35620-VIH"/>
        <s v="35620-MALARIA"/>
        <s v="35620-TB"/>
        <s v="35650-SSRISS"/>
        <s v="35650-MALARIA"/>
        <s v="35650-TB"/>
        <s v="35800-VIH"/>
        <s v="35800-TB"/>
        <s v="38100-MALARIA"/>
        <s v="39100-VIH"/>
        <s v="39100-MALARIA"/>
        <s v="39100-TB"/>
        <s v="39200-SSRISS"/>
        <s v="39200-VIH"/>
        <s v="39200-MALARIA"/>
        <s v="39200-TB"/>
        <s v="39300-VIH"/>
        <s v="39520-VIH"/>
        <s v="39520-MALARIA"/>
        <s v="39520-TB"/>
        <s v="39530-VIH"/>
        <s v="39540-VIH"/>
        <s v="39540-MALARIA"/>
        <s v="39540-TB"/>
        <s v="39600-SSRISS"/>
        <s v="39600-VIH"/>
        <s v="39600-MALARIA"/>
        <s v="39600-TB"/>
        <s v="42110-MALARIA"/>
        <s v="42110-TB"/>
        <s v="42120-VIH"/>
        <s v="42120-MALARIA"/>
        <s v="42120-TB"/>
        <s v="42220-MALARIA"/>
        <s v="42310-MALARIA"/>
        <s v="42420-VIH"/>
        <s v="42420-MALARIA"/>
        <s v="42420-TB"/>
        <s v="42600-SSRISS"/>
        <s v="42600-VIH"/>
        <s v="42600-MALARIA"/>
        <s v="42600-TB"/>
        <s v="45100-VIH"/>
        <s v="45100-MALARIA"/>
        <s v="45100-TB"/>
        <s v="51240-SSRISS"/>
        <s v="27210-VIH"/>
        <s v="27210-Malaria"/>
        <s v="27210-TB"/>
        <s v="42510-MALARIA"/>
        <m/>
        <n v="42310"/>
        <n v="27210" u="1"/>
        <n v="26210" u="1"/>
      </sharedItems>
    </cacheField>
    <cacheField name="Código de orden" numFmtId="0">
      <sharedItems containsMixedTypes="1" containsNumber="1" containsInteger="1" minValue="2" maxValue="68"/>
    </cacheField>
    <cacheField name="Nombre de Cuenta" numFmtId="0">
      <sharedItems count="57">
        <s v="11100 Sueldos Basicos"/>
        <s v="11400 Adicionales"/>
        <s v="11510 Decimotercer Mes"/>
        <s v="11520 Decimocuarto Mes"/>
        <s v="11600 Complementos"/>
        <s v="11710 Contribuciones Al Injupemp"/>
        <s v="11750 Contribuciones Para El Seguro Social"/>
        <s v="12100 Sueldos Basicos"/>
        <s v="12410 Decimotercer Mes"/>
        <s v="12420 Decimocuarto Mes"/>
        <s v="12550 Contribuciones Para El Seguro Social"/>
        <s v="14100 Horas Extraordinarias"/>
        <s v="23100 Mantenimiento Y Reparacion De Edificios Y Locales"/>
        <s v="23200 Mantenimiento Y Reparacion De Equipos Y Medios De Transporte Terrestre"/>
        <s v="23330 Mantenimiento Y Reparacion De Equipos Sanitarios Y Laboratorio "/>
        <s v="23350 Mantenimiento Y Reparación De Equipo De Computación"/>
        <s v="25100 Servicios De Transporte"/>
        <s v="25700 Servicio De Internet  "/>
        <s v="26110 Pasajes  Nacionales"/>
        <s v="26120 Pasajes Al Exterior"/>
        <s v="26210 Viaticos Nacionales"/>
        <s v="26220 Viáticos Al Exterior"/>
        <s v="29100 Ceremonial Y Protocolo"/>
        <s v="31110 Productos Alimenticios Y Bebidas"/>
        <s v="32310 Prendas De Vestir"/>
        <s v="32400 Calzado"/>
        <s v="33100 Productos De Papel Y Carton "/>
        <s v="33300 Productos De Artes Graficas"/>
        <s v="34400 Llantas Y Camaras De Aire"/>
        <s v="35210 Productos Farmaceuticos Y Medicinales"/>
        <s v="35230 Antirretrovirales"/>
        <s v="35251 Reactivos"/>
        <s v="35252 Reactivo (VIH)"/>
        <s v="35400 Insecticidas, Fumigantes Y Otros"/>
        <s v="35610 Gasolina"/>
        <s v="35620 Diesel"/>
        <s v="35650 Aceites Y Grasas Lubricantes"/>
        <s v="35800 Productos De Material Plastico "/>
        <s v="38100 Material De Defensa Y Seguridad"/>
        <s v="39100 Elementos De Limpieza Y Aseo Personal"/>
        <s v="39200 Utiles De Esritorio, Oficina  Y Enseñanza"/>
        <s v="39300 Utiles Y Materiales Eléctricos"/>
        <s v="39520 Intrumental Y Material Para Laboratorio "/>
        <s v="39530 Material Medico Quirurgico Menor"/>
        <s v="39540 Otro Instrumental, Accesorios Y Material Medico"/>
        <s v="39600 Otros Repuestos Y Accesorios Menores"/>
        <s v="42110 Muebles Varios De Oficina"/>
        <s v="42120 Equipos Varios De Oficina"/>
        <s v="42220 Maquinaria Y Equipo De Producción Agropecuaria Y Forestal"/>
        <s v="42310 Equipo De Transporte Terrestre Para Personas"/>
        <s v="42420 Equipo De Laboratorio Medico"/>
        <s v="42600 Equipo Para Computacion"/>
        <s v="45100 Aplicaciones Informaticas"/>
        <s v="51240 Beneficios Especiales"/>
        <s v="27210 Tasas"/>
        <s v="42510 Equipo de Comunicación"/>
        <e v="#N/A"/>
      </sharedItems>
      <fieldGroup par="22"/>
    </cacheField>
    <cacheField name="Responsable" numFmtId="0">
      <sharedItems containsBlank="1"/>
    </cacheField>
    <cacheField name="Especificaciones Técnicas" numFmtId="0">
      <sharedItems containsBlank="1" longText="1"/>
    </cacheField>
    <cacheField name="No. de Oficio de solicitud ETN" numFmtId="0">
      <sharedItems containsBlank="1"/>
    </cacheField>
    <cacheField name="Fecha de ingreso del Of. ETN a CNS" numFmtId="0">
      <sharedItems containsDate="1" containsBlank="1" containsMixedTypes="1" minDate="2023-05-19T00:00:00" maxDate="2024-06-06T00:00:00"/>
    </cacheField>
    <cacheField name="Número de Of. De CNS a GA" numFmtId="0">
      <sharedItems containsBlank="1"/>
    </cacheField>
    <cacheField name="Fecha solicitud de SSRISS a GA2" numFmtId="0">
      <sharedItems containsNonDate="0" containsDate="1" containsString="0" containsBlank="1" minDate="2023-06-01T00:00:00" maxDate="2024-06-15T00:00:00"/>
    </cacheField>
    <cacheField name="Numero de Of. de CNS a SSRISS" numFmtId="0">
      <sharedItems containsBlank="1"/>
    </cacheField>
    <cacheField name="Fecha de Of. de SSRISS a DGN2" numFmtId="0">
      <sharedItems containsNonDate="0" containsDate="1" containsString="0" containsBlank="1" minDate="2023-08-08T00:00:00" maxDate="2023-08-22T00:00:00"/>
    </cacheField>
    <cacheField name="Entrada" numFmtId="44">
      <sharedItems containsString="0" containsBlank="1" containsNumber="1" minValue="1800" maxValue="111754498"/>
    </cacheField>
    <cacheField name="Salida" numFmtId="44">
      <sharedItems containsString="0" containsBlank="1" containsNumber="1" minValue="0" maxValue="45215293.5"/>
    </cacheField>
    <cacheField name="Saldo" numFmtId="0">
      <sharedItems containsSemiMixedTypes="0" containsString="0" containsNumber="1" minValue="-45215293.5" maxValue="111754498"/>
    </cacheField>
    <cacheField name="Estatus" numFmtId="0">
      <sharedItems containsBlank="1" count="8">
        <s v="Saldo inicial"/>
        <s v="Adjudicado"/>
        <s v="Modificaciones"/>
        <s v="Fracasado"/>
        <s v="Observaciones"/>
        <s v="Proceso"/>
        <s v="Desierto"/>
        <m u="1"/>
      </sharedItems>
    </cacheField>
    <cacheField name="# de Proceso" numFmtId="0">
      <sharedItems containsBlank="1"/>
    </cacheField>
    <cacheField name="Comentarios Finales" numFmtId="0">
      <sharedItems containsBlank="1"/>
    </cacheField>
    <cacheField name="Pagado" numFmtId="44">
      <sharedItems containsString="0" containsBlank="1" containsNumber="1" minValue="1024.6500000000001" maxValue="44545640.859999999"/>
    </cacheField>
    <cacheField name="Campo1" numFmtId="0" formula=" 0" databaseField="0"/>
    <cacheField name="Campo2" numFmtId="0" formula="Saldo+Pagado" databaseField="0"/>
    <cacheField name="Nombre de Cuenta2" numFmtId="0" databaseField="0">
      <fieldGroup base="4">
        <discretePr count="57">
          <x v="2"/>
          <x v="2"/>
          <x v="2"/>
          <x v="2"/>
          <x v="2"/>
          <x v="2"/>
          <x v="2"/>
          <x v="2"/>
          <x v="2"/>
          <x v="2"/>
          <x v="2"/>
          <x v="2"/>
          <x v="3"/>
          <x v="3"/>
          <x v="3"/>
          <x v="3"/>
          <x v="3"/>
          <x v="3"/>
          <x v="3"/>
          <x v="3"/>
          <x v="3"/>
          <x v="3"/>
          <x v="3"/>
          <x v="4"/>
          <x v="4"/>
          <x v="4"/>
          <x v="4"/>
          <x v="4"/>
          <x v="4"/>
          <x v="4"/>
          <x v="4"/>
          <x v="4"/>
          <x v="4"/>
          <x v="4"/>
          <x v="4"/>
          <x v="4"/>
          <x v="4"/>
          <x v="4"/>
          <x v="4"/>
          <x v="4"/>
          <x v="4"/>
          <x v="4"/>
          <x v="4"/>
          <x v="4"/>
          <x v="4"/>
          <x v="4"/>
          <x v="5"/>
          <x v="5"/>
          <x v="5"/>
          <x v="5"/>
          <x v="5"/>
          <x v="5"/>
          <x v="5"/>
          <x v="0"/>
          <x v="3"/>
          <x v="5"/>
          <x v="1"/>
        </discretePr>
        <groupItems count="6">
          <s v="51240 Beneficios Especiales"/>
          <e v="#N/A"/>
          <s v="Grupo1"/>
          <s v="Grupo2"/>
          <s v="Grupo3"/>
          <s v="Grupo4"/>
        </groupItems>
      </fieldGroup>
    </cacheField>
  </cacheFields>
  <extLst>
    <ext xmlns:x14="http://schemas.microsoft.com/office/spreadsheetml/2009/9/main" uri="{725AE2AE-9491-48be-B2B4-4EB974FC3084}">
      <x14:pivotCacheDefinition pivotCacheId="210087187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n v="1"/>
    <m/>
    <x v="0"/>
    <n v="2"/>
    <x v="0"/>
    <m/>
    <s v="Saldo inicial"/>
    <m/>
    <m/>
    <m/>
    <m/>
    <m/>
    <m/>
    <n v="111754498"/>
    <m/>
    <n v="111754498"/>
    <x v="0"/>
    <m/>
    <m/>
    <m/>
  </r>
  <r>
    <n v="2"/>
    <m/>
    <x v="1"/>
    <n v="3"/>
    <x v="1"/>
    <m/>
    <s v="Saldo inicial"/>
    <m/>
    <m/>
    <m/>
    <m/>
    <m/>
    <m/>
    <n v="6586922"/>
    <m/>
    <n v="6586922"/>
    <x v="0"/>
    <m/>
    <m/>
    <m/>
  </r>
  <r>
    <n v="3"/>
    <m/>
    <x v="2"/>
    <n v="3"/>
    <x v="1"/>
    <m/>
    <s v="Saldo inicial"/>
    <m/>
    <m/>
    <m/>
    <m/>
    <m/>
    <m/>
    <n v="1415947"/>
    <m/>
    <n v="1415947"/>
    <x v="0"/>
    <m/>
    <m/>
    <m/>
  </r>
  <r>
    <n v="4"/>
    <m/>
    <x v="3"/>
    <n v="3"/>
    <x v="1"/>
    <m/>
    <s v="Saldo inicial"/>
    <m/>
    <m/>
    <m/>
    <m/>
    <m/>
    <m/>
    <n v="2401701"/>
    <m/>
    <n v="2401701"/>
    <x v="0"/>
    <m/>
    <m/>
    <m/>
  </r>
  <r>
    <n v="5"/>
    <m/>
    <x v="4"/>
    <n v="4"/>
    <x v="2"/>
    <m/>
    <s v="Saldo inicial"/>
    <m/>
    <m/>
    <m/>
    <m/>
    <m/>
    <m/>
    <n v="9312952"/>
    <m/>
    <n v="9312952"/>
    <x v="0"/>
    <m/>
    <m/>
    <m/>
  </r>
  <r>
    <n v="6"/>
    <m/>
    <x v="5"/>
    <n v="5"/>
    <x v="3"/>
    <m/>
    <s v="Saldo inicial"/>
    <m/>
    <m/>
    <m/>
    <m/>
    <m/>
    <m/>
    <n v="9312952"/>
    <m/>
    <n v="9312952"/>
    <x v="0"/>
    <m/>
    <m/>
    <m/>
  </r>
  <r>
    <n v="7"/>
    <m/>
    <x v="6"/>
    <n v="6"/>
    <x v="4"/>
    <m/>
    <s v="Saldo inicial"/>
    <m/>
    <m/>
    <m/>
    <m/>
    <m/>
    <m/>
    <n v="9312952"/>
    <m/>
    <n v="9312952"/>
    <x v="0"/>
    <m/>
    <m/>
    <m/>
  </r>
  <r>
    <n v="8"/>
    <m/>
    <x v="7"/>
    <n v="7"/>
    <x v="5"/>
    <m/>
    <s v="Saldo inicial"/>
    <m/>
    <m/>
    <m/>
    <m/>
    <m/>
    <m/>
    <n v="16204493"/>
    <m/>
    <n v="16204493"/>
    <x v="0"/>
    <m/>
    <m/>
    <m/>
  </r>
  <r>
    <n v="9"/>
    <m/>
    <x v="8"/>
    <n v="8"/>
    <x v="6"/>
    <m/>
    <s v="Saldo inicial"/>
    <m/>
    <m/>
    <m/>
    <m/>
    <m/>
    <m/>
    <n v="2526467"/>
    <m/>
    <n v="2526467"/>
    <x v="0"/>
    <m/>
    <m/>
    <m/>
  </r>
  <r>
    <n v="10"/>
    <m/>
    <x v="9"/>
    <n v="9"/>
    <x v="7"/>
    <m/>
    <s v="Saldo inicial"/>
    <m/>
    <m/>
    <m/>
    <m/>
    <m/>
    <m/>
    <n v="22643465.449999999"/>
    <m/>
    <n v="22643465.449999999"/>
    <x v="0"/>
    <m/>
    <m/>
    <m/>
  </r>
  <r>
    <n v="11"/>
    <m/>
    <x v="10"/>
    <n v="9"/>
    <x v="7"/>
    <m/>
    <s v="Saldo inicial"/>
    <m/>
    <m/>
    <m/>
    <m/>
    <m/>
    <m/>
    <n v="33492707.07"/>
    <m/>
    <n v="33492707.07"/>
    <x v="0"/>
    <m/>
    <m/>
    <m/>
  </r>
  <r>
    <n v="12"/>
    <m/>
    <x v="11"/>
    <n v="9"/>
    <x v="7"/>
    <m/>
    <s v="Saldo inicial"/>
    <m/>
    <m/>
    <m/>
    <m/>
    <m/>
    <m/>
    <n v="22525775.140000001"/>
    <m/>
    <n v="22525775.140000001"/>
    <x v="0"/>
    <m/>
    <m/>
    <m/>
  </r>
  <r>
    <n v="13"/>
    <m/>
    <x v="12"/>
    <n v="9"/>
    <x v="7"/>
    <m/>
    <s v="Saldo inicial"/>
    <m/>
    <m/>
    <m/>
    <m/>
    <m/>
    <m/>
    <n v="22419428.34"/>
    <m/>
    <n v="22419428.34"/>
    <x v="0"/>
    <m/>
    <m/>
    <m/>
  </r>
  <r>
    <n v="14"/>
    <m/>
    <x v="13"/>
    <n v="10"/>
    <x v="8"/>
    <m/>
    <s v="Saldo inicial"/>
    <m/>
    <m/>
    <m/>
    <m/>
    <m/>
    <m/>
    <n v="685218.46"/>
    <m/>
    <n v="685218.46"/>
    <x v="0"/>
    <m/>
    <m/>
    <m/>
  </r>
  <r>
    <n v="15"/>
    <m/>
    <x v="14"/>
    <n v="10"/>
    <x v="8"/>
    <m/>
    <s v="Saldo inicial"/>
    <m/>
    <m/>
    <m/>
    <m/>
    <m/>
    <m/>
    <n v="3920756.92"/>
    <m/>
    <n v="3920756.92"/>
    <x v="0"/>
    <m/>
    <m/>
    <m/>
  </r>
  <r>
    <n v="16"/>
    <m/>
    <x v="15"/>
    <n v="10"/>
    <x v="8"/>
    <m/>
    <s v="Saldo inicial"/>
    <m/>
    <m/>
    <m/>
    <m/>
    <m/>
    <m/>
    <n v="2177469.39"/>
    <m/>
    <n v="2177469.39"/>
    <x v="0"/>
    <m/>
    <m/>
    <m/>
  </r>
  <r>
    <n v="17"/>
    <m/>
    <x v="16"/>
    <n v="10"/>
    <x v="8"/>
    <m/>
    <s v="Saldo inicial"/>
    <m/>
    <m/>
    <m/>
    <m/>
    <m/>
    <m/>
    <n v="1640003.23"/>
    <m/>
    <n v="1640003.23"/>
    <x v="0"/>
    <m/>
    <m/>
    <m/>
  </r>
  <r>
    <n v="18"/>
    <m/>
    <x v="17"/>
    <n v="11"/>
    <x v="9"/>
    <m/>
    <s v="Saldo inicial"/>
    <m/>
    <m/>
    <m/>
    <m/>
    <m/>
    <m/>
    <n v="685218.46"/>
    <m/>
    <n v="685218.46"/>
    <x v="0"/>
    <m/>
    <m/>
    <m/>
  </r>
  <r>
    <n v="19"/>
    <m/>
    <x v="18"/>
    <n v="11"/>
    <x v="9"/>
    <m/>
    <s v="Saldo inicial"/>
    <m/>
    <m/>
    <m/>
    <m/>
    <m/>
    <m/>
    <n v="3920756.92"/>
    <m/>
    <n v="3920756.92"/>
    <x v="0"/>
    <m/>
    <m/>
    <m/>
  </r>
  <r>
    <n v="20"/>
    <m/>
    <x v="19"/>
    <n v="11"/>
    <x v="9"/>
    <m/>
    <s v="Saldo inicial"/>
    <m/>
    <m/>
    <m/>
    <m/>
    <m/>
    <m/>
    <n v="2177469.39"/>
    <m/>
    <n v="2177469.39"/>
    <x v="0"/>
    <m/>
    <m/>
    <m/>
  </r>
  <r>
    <n v="21"/>
    <m/>
    <x v="20"/>
    <n v="11"/>
    <x v="9"/>
    <m/>
    <s v="Saldo inicial"/>
    <m/>
    <m/>
    <m/>
    <m/>
    <m/>
    <m/>
    <n v="1640003.23"/>
    <m/>
    <n v="1640003.23"/>
    <x v="0"/>
    <m/>
    <m/>
    <m/>
  </r>
  <r>
    <n v="22"/>
    <m/>
    <x v="21"/>
    <n v="12"/>
    <x v="10"/>
    <m/>
    <s v="Saldo inicial"/>
    <m/>
    <m/>
    <m/>
    <m/>
    <m/>
    <m/>
    <n v="628804.94999999995"/>
    <m/>
    <n v="628804.94999999995"/>
    <x v="0"/>
    <m/>
    <m/>
    <m/>
  </r>
  <r>
    <n v="23"/>
    <m/>
    <x v="22"/>
    <n v="12"/>
    <x v="10"/>
    <m/>
    <s v="Saldo inicial"/>
    <m/>
    <m/>
    <m/>
    <m/>
    <m/>
    <m/>
    <n v="1344618.4"/>
    <m/>
    <n v="1344618.4"/>
    <x v="0"/>
    <m/>
    <m/>
    <m/>
  </r>
  <r>
    <n v="24"/>
    <m/>
    <x v="23"/>
    <n v="12"/>
    <x v="10"/>
    <m/>
    <s v="Saldo inicial"/>
    <m/>
    <m/>
    <m/>
    <m/>
    <m/>
    <m/>
    <n v="2636506.65"/>
    <m/>
    <n v="2636506.65"/>
    <x v="0"/>
    <m/>
    <m/>
    <m/>
  </r>
  <r>
    <n v="25"/>
    <m/>
    <x v="24"/>
    <n v="63"/>
    <x v="11"/>
    <m/>
    <s v="Saldo inicial"/>
    <m/>
    <m/>
    <m/>
    <m/>
    <m/>
    <m/>
    <n v="261508"/>
    <m/>
    <n v="261508"/>
    <x v="0"/>
    <m/>
    <m/>
    <m/>
  </r>
  <r>
    <n v="26"/>
    <m/>
    <x v="25"/>
    <n v="14"/>
    <x v="12"/>
    <m/>
    <s v="Saldo inicial"/>
    <m/>
    <m/>
    <m/>
    <m/>
    <m/>
    <m/>
    <n v="3498345"/>
    <m/>
    <n v="3498345"/>
    <x v="0"/>
    <m/>
    <m/>
    <m/>
  </r>
  <r>
    <n v="27"/>
    <m/>
    <x v="26"/>
    <n v="14"/>
    <x v="12"/>
    <m/>
    <s v="Saldo inicial"/>
    <m/>
    <m/>
    <m/>
    <m/>
    <m/>
    <m/>
    <n v="569656"/>
    <m/>
    <n v="569656"/>
    <x v="0"/>
    <m/>
    <m/>
    <m/>
  </r>
  <r>
    <n v="28"/>
    <m/>
    <x v="27"/>
    <n v="14"/>
    <x v="12"/>
    <m/>
    <s v="Saldo inicial"/>
    <m/>
    <m/>
    <m/>
    <m/>
    <m/>
    <m/>
    <n v="400000"/>
    <m/>
    <n v="400000"/>
    <x v="0"/>
    <m/>
    <m/>
    <m/>
  </r>
  <r>
    <n v="29"/>
    <m/>
    <x v="28"/>
    <n v="15"/>
    <x v="13"/>
    <m/>
    <s v="Saldo inicial"/>
    <m/>
    <m/>
    <m/>
    <m/>
    <m/>
    <m/>
    <n v="100000"/>
    <m/>
    <n v="100000"/>
    <x v="0"/>
    <m/>
    <m/>
    <m/>
  </r>
  <r>
    <n v="30"/>
    <m/>
    <x v="29"/>
    <n v="15"/>
    <x v="13"/>
    <m/>
    <s v="Saldo inicial"/>
    <m/>
    <m/>
    <m/>
    <m/>
    <m/>
    <m/>
    <n v="398000"/>
    <m/>
    <n v="398000"/>
    <x v="0"/>
    <m/>
    <m/>
    <m/>
  </r>
  <r>
    <n v="31"/>
    <m/>
    <x v="30"/>
    <n v="15"/>
    <x v="13"/>
    <m/>
    <s v="Saldo inicial"/>
    <m/>
    <m/>
    <m/>
    <m/>
    <m/>
    <m/>
    <n v="709780"/>
    <m/>
    <n v="709780"/>
    <x v="0"/>
    <m/>
    <m/>
    <m/>
  </r>
  <r>
    <n v="32"/>
    <m/>
    <x v="31"/>
    <n v="15"/>
    <x v="13"/>
    <m/>
    <s v="Saldo inicial"/>
    <m/>
    <m/>
    <m/>
    <m/>
    <m/>
    <m/>
    <n v="300000"/>
    <m/>
    <n v="300000"/>
    <x v="0"/>
    <m/>
    <m/>
    <m/>
  </r>
  <r>
    <n v="33"/>
    <m/>
    <x v="32"/>
    <n v="16"/>
    <x v="14"/>
    <m/>
    <s v="Saldo inicial"/>
    <m/>
    <m/>
    <m/>
    <m/>
    <m/>
    <m/>
    <n v="306000"/>
    <m/>
    <n v="306000"/>
    <x v="0"/>
    <m/>
    <m/>
    <m/>
  </r>
  <r>
    <n v="34"/>
    <m/>
    <x v="33"/>
    <n v="16"/>
    <x v="14"/>
    <m/>
    <s v="Saldo inicial"/>
    <m/>
    <m/>
    <m/>
    <m/>
    <m/>
    <m/>
    <n v="900000"/>
    <m/>
    <n v="900000"/>
    <x v="0"/>
    <m/>
    <m/>
    <m/>
  </r>
  <r>
    <n v="35"/>
    <m/>
    <x v="34"/>
    <n v="17"/>
    <x v="15"/>
    <m/>
    <s v="Saldo inicial"/>
    <m/>
    <m/>
    <m/>
    <m/>
    <m/>
    <m/>
    <n v="108610"/>
    <m/>
    <n v="108610"/>
    <x v="0"/>
    <m/>
    <m/>
    <m/>
  </r>
  <r>
    <n v="36"/>
    <m/>
    <x v="35"/>
    <n v="17"/>
    <x v="15"/>
    <m/>
    <s v="Saldo inicial"/>
    <m/>
    <m/>
    <m/>
    <m/>
    <m/>
    <m/>
    <n v="20209"/>
    <m/>
    <n v="20209"/>
    <x v="0"/>
    <m/>
    <m/>
    <m/>
  </r>
  <r>
    <n v="37"/>
    <m/>
    <x v="36"/>
    <n v="20"/>
    <x v="16"/>
    <m/>
    <s v="Saldo inicial"/>
    <m/>
    <m/>
    <m/>
    <m/>
    <m/>
    <m/>
    <n v="27773"/>
    <m/>
    <n v="27773"/>
    <x v="0"/>
    <m/>
    <m/>
    <m/>
  </r>
  <r>
    <n v="38"/>
    <m/>
    <x v="37"/>
    <n v="20"/>
    <x v="16"/>
    <m/>
    <s v="Saldo inicial"/>
    <m/>
    <m/>
    <m/>
    <m/>
    <m/>
    <m/>
    <n v="100000"/>
    <m/>
    <n v="100000"/>
    <x v="0"/>
    <m/>
    <m/>
    <m/>
  </r>
  <r>
    <n v="39"/>
    <m/>
    <x v="38"/>
    <n v="20"/>
    <x v="16"/>
    <m/>
    <s v="Saldo inicial"/>
    <m/>
    <m/>
    <m/>
    <m/>
    <m/>
    <m/>
    <n v="198779"/>
    <m/>
    <n v="198779"/>
    <x v="0"/>
    <m/>
    <m/>
    <m/>
  </r>
  <r>
    <n v="40"/>
    <m/>
    <x v="39"/>
    <n v="23"/>
    <x v="17"/>
    <m/>
    <s v="Saldo inicial"/>
    <m/>
    <m/>
    <m/>
    <m/>
    <m/>
    <m/>
    <n v="92480"/>
    <m/>
    <n v="92480"/>
    <x v="0"/>
    <m/>
    <m/>
    <m/>
  </r>
  <r>
    <n v="41"/>
    <m/>
    <x v="40"/>
    <n v="24"/>
    <x v="18"/>
    <m/>
    <s v="Saldo inicial"/>
    <m/>
    <m/>
    <m/>
    <m/>
    <m/>
    <m/>
    <n v="100044"/>
    <m/>
    <n v="100044"/>
    <x v="0"/>
    <m/>
    <m/>
    <m/>
  </r>
  <r>
    <n v="42"/>
    <m/>
    <x v="41"/>
    <n v="24"/>
    <x v="18"/>
    <m/>
    <s v="Saldo inicial"/>
    <m/>
    <m/>
    <m/>
    <m/>
    <m/>
    <m/>
    <n v="254000"/>
    <m/>
    <n v="254000"/>
    <x v="0"/>
    <m/>
    <m/>
    <m/>
  </r>
  <r>
    <n v="43"/>
    <m/>
    <x v="42"/>
    <n v="24"/>
    <x v="18"/>
    <m/>
    <s v="Saldo inicial"/>
    <m/>
    <m/>
    <m/>
    <m/>
    <m/>
    <m/>
    <n v="520000"/>
    <m/>
    <n v="520000"/>
    <x v="0"/>
    <m/>
    <m/>
    <m/>
  </r>
  <r>
    <n v="44"/>
    <m/>
    <x v="43"/>
    <n v="24"/>
    <x v="18"/>
    <m/>
    <s v="Saldo inicial"/>
    <m/>
    <m/>
    <m/>
    <m/>
    <m/>
    <m/>
    <n v="252000"/>
    <m/>
    <n v="252000"/>
    <x v="0"/>
    <m/>
    <m/>
    <m/>
  </r>
  <r>
    <n v="45"/>
    <m/>
    <x v="44"/>
    <n v="64"/>
    <x v="19"/>
    <m/>
    <s v="Saldo inicial"/>
    <m/>
    <m/>
    <m/>
    <m/>
    <m/>
    <m/>
    <n v="279464"/>
    <m/>
    <n v="279464"/>
    <x v="0"/>
    <m/>
    <m/>
    <m/>
  </r>
  <r>
    <n v="46"/>
    <m/>
    <x v="45"/>
    <n v="25"/>
    <x v="20"/>
    <m/>
    <s v="Saldo inicial"/>
    <m/>
    <m/>
    <m/>
    <m/>
    <m/>
    <m/>
    <n v="586872"/>
    <m/>
    <n v="586872"/>
    <x v="0"/>
    <m/>
    <m/>
    <m/>
  </r>
  <r>
    <n v="47"/>
    <m/>
    <x v="46"/>
    <n v="25"/>
    <x v="20"/>
    <m/>
    <s v="Saldo inicial"/>
    <m/>
    <m/>
    <m/>
    <m/>
    <m/>
    <m/>
    <n v="268514"/>
    <m/>
    <n v="268514"/>
    <x v="0"/>
    <m/>
    <m/>
    <m/>
  </r>
  <r>
    <n v="48"/>
    <m/>
    <x v="47"/>
    <n v="25"/>
    <x v="20"/>
    <m/>
    <s v="Saldo inicial"/>
    <m/>
    <m/>
    <m/>
    <m/>
    <m/>
    <m/>
    <n v="688200"/>
    <m/>
    <n v="688200"/>
    <x v="0"/>
    <m/>
    <m/>
    <m/>
  </r>
  <r>
    <n v="49"/>
    <m/>
    <x v="48"/>
    <n v="25"/>
    <x v="20"/>
    <m/>
    <s v="Saldo inicial"/>
    <m/>
    <m/>
    <m/>
    <m/>
    <m/>
    <m/>
    <n v="1273677"/>
    <m/>
    <n v="1273677"/>
    <x v="0"/>
    <m/>
    <m/>
    <m/>
  </r>
  <r>
    <n v="50"/>
    <m/>
    <x v="49"/>
    <n v="65"/>
    <x v="21"/>
    <m/>
    <s v="Saldo inicial"/>
    <m/>
    <m/>
    <m/>
    <m/>
    <m/>
    <m/>
    <n v="331874"/>
    <m/>
    <n v="331874"/>
    <x v="0"/>
    <m/>
    <m/>
    <m/>
  </r>
  <r>
    <n v="51"/>
    <m/>
    <x v="50"/>
    <n v="27"/>
    <x v="22"/>
    <m/>
    <s v="Saldo inicial"/>
    <m/>
    <m/>
    <m/>
    <m/>
    <m/>
    <m/>
    <n v="1773236"/>
    <m/>
    <n v="1773236"/>
    <x v="0"/>
    <m/>
    <m/>
    <m/>
  </r>
  <r>
    <n v="52"/>
    <m/>
    <x v="51"/>
    <n v="27"/>
    <x v="22"/>
    <m/>
    <s v="Saldo inicial"/>
    <m/>
    <m/>
    <m/>
    <m/>
    <m/>
    <m/>
    <n v="219164"/>
    <m/>
    <n v="219164"/>
    <x v="0"/>
    <m/>
    <m/>
    <m/>
  </r>
  <r>
    <n v="53"/>
    <m/>
    <x v="52"/>
    <n v="29"/>
    <x v="23"/>
    <m/>
    <s v="Saldo inicial"/>
    <m/>
    <m/>
    <m/>
    <m/>
    <m/>
    <m/>
    <n v="80278"/>
    <m/>
    <n v="80278"/>
    <x v="0"/>
    <m/>
    <m/>
    <m/>
  </r>
  <r>
    <n v="54"/>
    <m/>
    <x v="53"/>
    <n v="29"/>
    <x v="23"/>
    <m/>
    <s v="Saldo inicial"/>
    <m/>
    <m/>
    <m/>
    <m/>
    <m/>
    <m/>
    <n v="6465825"/>
    <m/>
    <n v="6465825"/>
    <x v="0"/>
    <m/>
    <m/>
    <m/>
  </r>
  <r>
    <n v="55"/>
    <m/>
    <x v="54"/>
    <n v="29"/>
    <x v="23"/>
    <m/>
    <s v="Saldo inicial"/>
    <m/>
    <m/>
    <m/>
    <m/>
    <m/>
    <m/>
    <n v="150000"/>
    <m/>
    <n v="150000"/>
    <x v="0"/>
    <m/>
    <m/>
    <m/>
  </r>
  <r>
    <n v="56"/>
    <m/>
    <x v="55"/>
    <n v="29"/>
    <x v="23"/>
    <m/>
    <s v="Saldo inicial"/>
    <m/>
    <m/>
    <m/>
    <m/>
    <m/>
    <m/>
    <n v="802960"/>
    <m/>
    <n v="802960"/>
    <x v="0"/>
    <m/>
    <m/>
    <m/>
  </r>
  <r>
    <n v="57"/>
    <m/>
    <x v="56"/>
    <n v="31"/>
    <x v="24"/>
    <m/>
    <s v="Saldo inicial"/>
    <m/>
    <m/>
    <m/>
    <m/>
    <m/>
    <m/>
    <n v="2657500"/>
    <m/>
    <n v="2657500"/>
    <x v="0"/>
    <m/>
    <m/>
    <m/>
  </r>
  <r>
    <n v="58"/>
    <m/>
    <x v="57"/>
    <n v="31"/>
    <x v="24"/>
    <m/>
    <s v="Saldo inicial"/>
    <m/>
    <m/>
    <m/>
    <m/>
    <m/>
    <m/>
    <n v="1331518"/>
    <m/>
    <n v="1331518"/>
    <x v="0"/>
    <m/>
    <m/>
    <m/>
  </r>
  <r>
    <n v="59"/>
    <m/>
    <x v="58"/>
    <n v="31"/>
    <x v="24"/>
    <m/>
    <s v="Saldo inicial"/>
    <m/>
    <m/>
    <m/>
    <m/>
    <m/>
    <m/>
    <n v="1950000"/>
    <m/>
    <n v="1950000"/>
    <x v="0"/>
    <m/>
    <m/>
    <m/>
  </r>
  <r>
    <n v="60"/>
    <m/>
    <x v="59"/>
    <n v="32"/>
    <x v="25"/>
    <m/>
    <s v="Saldo inicial"/>
    <m/>
    <m/>
    <m/>
    <m/>
    <m/>
    <m/>
    <n v="151460"/>
    <m/>
    <n v="151460"/>
    <x v="0"/>
    <m/>
    <m/>
    <m/>
  </r>
  <r>
    <n v="61"/>
    <m/>
    <x v="60"/>
    <n v="33"/>
    <x v="26"/>
    <m/>
    <s v="Saldo inicial"/>
    <m/>
    <m/>
    <m/>
    <m/>
    <m/>
    <m/>
    <n v="191265"/>
    <m/>
    <n v="191265"/>
    <x v="0"/>
    <m/>
    <m/>
    <m/>
  </r>
  <r>
    <n v="62"/>
    <m/>
    <x v="61"/>
    <n v="33"/>
    <x v="26"/>
    <m/>
    <s v="Saldo inicial"/>
    <m/>
    <m/>
    <m/>
    <m/>
    <m/>
    <m/>
    <n v="100000"/>
    <m/>
    <n v="100000"/>
    <x v="0"/>
    <m/>
    <m/>
    <m/>
  </r>
  <r>
    <n v="63"/>
    <m/>
    <x v="62"/>
    <n v="33"/>
    <x v="26"/>
    <m/>
    <s v="Saldo inicial"/>
    <m/>
    <m/>
    <m/>
    <m/>
    <m/>
    <m/>
    <n v="96971"/>
    <m/>
    <n v="96971"/>
    <x v="0"/>
    <m/>
    <m/>
    <m/>
  </r>
  <r>
    <n v="64"/>
    <m/>
    <x v="63"/>
    <n v="33"/>
    <x v="26"/>
    <m/>
    <s v="Saldo inicial"/>
    <m/>
    <m/>
    <m/>
    <m/>
    <m/>
    <m/>
    <n v="70000"/>
    <m/>
    <n v="70000"/>
    <x v="0"/>
    <m/>
    <m/>
    <m/>
  </r>
  <r>
    <n v="65"/>
    <m/>
    <x v="64"/>
    <n v="34"/>
    <x v="27"/>
    <m/>
    <s v="Saldo inicial"/>
    <m/>
    <m/>
    <m/>
    <m/>
    <m/>
    <m/>
    <n v="2708000"/>
    <m/>
    <n v="2708000"/>
    <x v="0"/>
    <m/>
    <m/>
    <m/>
  </r>
  <r>
    <n v="66"/>
    <m/>
    <x v="65"/>
    <n v="34"/>
    <x v="27"/>
    <m/>
    <s v="Saldo inicial"/>
    <m/>
    <m/>
    <m/>
    <m/>
    <m/>
    <m/>
    <n v="959000"/>
    <m/>
    <n v="959000"/>
    <x v="0"/>
    <m/>
    <m/>
    <m/>
  </r>
  <r>
    <n v="67"/>
    <m/>
    <x v="66"/>
    <n v="34"/>
    <x v="27"/>
    <m/>
    <s v="Saldo inicial"/>
    <m/>
    <m/>
    <m/>
    <m/>
    <m/>
    <m/>
    <n v="862584"/>
    <m/>
    <n v="862584"/>
    <x v="0"/>
    <m/>
    <m/>
    <m/>
  </r>
  <r>
    <n v="68"/>
    <m/>
    <x v="67"/>
    <n v="35"/>
    <x v="28"/>
    <m/>
    <s v="Saldo inicial"/>
    <m/>
    <m/>
    <m/>
    <m/>
    <m/>
    <m/>
    <n v="255000"/>
    <m/>
    <n v="255000"/>
    <x v="0"/>
    <m/>
    <m/>
    <m/>
  </r>
  <r>
    <n v="69"/>
    <m/>
    <x v="68"/>
    <n v="35"/>
    <x v="28"/>
    <m/>
    <s v="Saldo inicial"/>
    <m/>
    <m/>
    <m/>
    <m/>
    <m/>
    <m/>
    <n v="100000"/>
    <m/>
    <n v="100000"/>
    <x v="0"/>
    <m/>
    <m/>
    <m/>
  </r>
  <r>
    <n v="70"/>
    <m/>
    <x v="69"/>
    <n v="35"/>
    <x v="28"/>
    <m/>
    <s v="Saldo inicial"/>
    <m/>
    <m/>
    <m/>
    <m/>
    <m/>
    <m/>
    <n v="209293"/>
    <m/>
    <n v="209293"/>
    <x v="0"/>
    <m/>
    <m/>
    <m/>
  </r>
  <r>
    <n v="71"/>
    <m/>
    <x v="70"/>
    <n v="35"/>
    <x v="28"/>
    <m/>
    <s v="Saldo inicial"/>
    <m/>
    <m/>
    <m/>
    <m/>
    <m/>
    <m/>
    <n v="80000"/>
    <m/>
    <n v="80000"/>
    <x v="0"/>
    <m/>
    <m/>
    <m/>
  </r>
  <r>
    <n v="72"/>
    <m/>
    <x v="71"/>
    <n v="39"/>
    <x v="29"/>
    <m/>
    <s v="Saldo inicial"/>
    <m/>
    <m/>
    <m/>
    <m/>
    <m/>
    <m/>
    <n v="8355220"/>
    <m/>
    <n v="8355220"/>
    <x v="0"/>
    <m/>
    <m/>
    <m/>
  </r>
  <r>
    <n v="73"/>
    <m/>
    <x v="72"/>
    <n v="39"/>
    <x v="29"/>
    <m/>
    <s v="Saldo inicial"/>
    <m/>
    <m/>
    <m/>
    <m/>
    <m/>
    <m/>
    <n v="89000"/>
    <m/>
    <n v="89000"/>
    <x v="0"/>
    <m/>
    <m/>
    <m/>
  </r>
  <r>
    <n v="74"/>
    <m/>
    <x v="73"/>
    <n v="38"/>
    <x v="30"/>
    <m/>
    <s v="Saldo inicial"/>
    <m/>
    <m/>
    <m/>
    <m/>
    <m/>
    <m/>
    <n v="25000000"/>
    <m/>
    <n v="25000000"/>
    <x v="0"/>
    <m/>
    <m/>
    <m/>
  </r>
  <r>
    <n v="75"/>
    <m/>
    <x v="74"/>
    <n v="37"/>
    <x v="31"/>
    <m/>
    <s v="Saldo inicial"/>
    <m/>
    <m/>
    <m/>
    <m/>
    <m/>
    <m/>
    <n v="12399788"/>
    <m/>
    <n v="12399788"/>
    <x v="0"/>
    <m/>
    <m/>
    <m/>
  </r>
  <r>
    <n v="76"/>
    <m/>
    <x v="75"/>
    <n v="37"/>
    <x v="31"/>
    <m/>
    <s v="Saldo inicial"/>
    <m/>
    <m/>
    <m/>
    <m/>
    <m/>
    <m/>
    <n v="10918871"/>
    <m/>
    <n v="10918871"/>
    <x v="0"/>
    <m/>
    <m/>
    <m/>
  </r>
  <r>
    <n v="77"/>
    <m/>
    <x v="76"/>
    <n v="40"/>
    <x v="32"/>
    <m/>
    <s v="Saldo inicial"/>
    <m/>
    <m/>
    <m/>
    <m/>
    <m/>
    <m/>
    <n v="68820366"/>
    <m/>
    <n v="68820366"/>
    <x v="0"/>
    <m/>
    <m/>
    <m/>
  </r>
  <r>
    <n v="78"/>
    <m/>
    <x v="77"/>
    <n v="41"/>
    <x v="33"/>
    <m/>
    <s v="Saldo inicial"/>
    <m/>
    <m/>
    <m/>
    <m/>
    <m/>
    <m/>
    <n v="12000000"/>
    <m/>
    <n v="12000000"/>
    <x v="0"/>
    <m/>
    <m/>
    <m/>
  </r>
  <r>
    <n v="79"/>
    <m/>
    <x v="78"/>
    <n v="66"/>
    <x v="34"/>
    <m/>
    <s v="Saldo inicial"/>
    <m/>
    <m/>
    <m/>
    <m/>
    <m/>
    <m/>
    <n v="1500000"/>
    <m/>
    <n v="1500000"/>
    <x v="0"/>
    <m/>
    <m/>
    <m/>
  </r>
  <r>
    <n v="80"/>
    <m/>
    <x v="79"/>
    <n v="42"/>
    <x v="35"/>
    <m/>
    <s v="Saldo inicial"/>
    <m/>
    <m/>
    <m/>
    <m/>
    <m/>
    <m/>
    <n v="100000"/>
    <m/>
    <n v="100000"/>
    <x v="0"/>
    <m/>
    <m/>
    <m/>
  </r>
  <r>
    <n v="81"/>
    <m/>
    <x v="80"/>
    <n v="42"/>
    <x v="35"/>
    <m/>
    <s v="Saldo inicial"/>
    <m/>
    <m/>
    <m/>
    <m/>
    <m/>
    <m/>
    <n v="1332973"/>
    <m/>
    <n v="1332973"/>
    <x v="0"/>
    <m/>
    <m/>
    <m/>
  </r>
  <r>
    <n v="82"/>
    <m/>
    <x v="81"/>
    <n v="42"/>
    <x v="35"/>
    <m/>
    <s v="Saldo inicial"/>
    <m/>
    <m/>
    <m/>
    <m/>
    <m/>
    <m/>
    <n v="72640"/>
    <m/>
    <n v="72640"/>
    <x v="0"/>
    <m/>
    <m/>
    <m/>
  </r>
  <r>
    <n v="83"/>
    <m/>
    <x v="82"/>
    <n v="44"/>
    <x v="36"/>
    <m/>
    <s v="Saldo inicial"/>
    <m/>
    <m/>
    <m/>
    <m/>
    <m/>
    <m/>
    <n v="41220"/>
    <m/>
    <n v="41220"/>
    <x v="0"/>
    <m/>
    <m/>
    <m/>
  </r>
  <r>
    <n v="84"/>
    <m/>
    <x v="83"/>
    <n v="44"/>
    <x v="36"/>
    <m/>
    <s v="Saldo inicial"/>
    <m/>
    <m/>
    <m/>
    <m/>
    <m/>
    <m/>
    <n v="900000"/>
    <m/>
    <n v="900000"/>
    <x v="0"/>
    <m/>
    <m/>
    <m/>
  </r>
  <r>
    <n v="85"/>
    <m/>
    <x v="84"/>
    <n v="44"/>
    <x v="36"/>
    <m/>
    <s v="Saldo inicial"/>
    <m/>
    <m/>
    <m/>
    <m/>
    <m/>
    <m/>
    <n v="38400"/>
    <m/>
    <n v="38400"/>
    <x v="0"/>
    <m/>
    <m/>
    <m/>
  </r>
  <r>
    <n v="86"/>
    <m/>
    <x v="85"/>
    <n v="45"/>
    <x v="37"/>
    <m/>
    <s v="Saldo inicial"/>
    <m/>
    <m/>
    <m/>
    <m/>
    <m/>
    <m/>
    <n v="52500"/>
    <m/>
    <n v="52500"/>
    <x v="0"/>
    <m/>
    <m/>
    <m/>
  </r>
  <r>
    <n v="87"/>
    <m/>
    <x v="86"/>
    <n v="45"/>
    <x v="37"/>
    <m/>
    <s v="Saldo inicial"/>
    <m/>
    <m/>
    <m/>
    <m/>
    <m/>
    <m/>
    <n v="52949"/>
    <m/>
    <n v="52949"/>
    <x v="0"/>
    <m/>
    <m/>
    <m/>
  </r>
  <r>
    <n v="88"/>
    <m/>
    <x v="87"/>
    <n v="46"/>
    <x v="38"/>
    <m/>
    <s v="Saldo inicial"/>
    <m/>
    <m/>
    <m/>
    <m/>
    <m/>
    <m/>
    <n v="100000"/>
    <m/>
    <n v="100000"/>
    <x v="0"/>
    <m/>
    <m/>
    <m/>
  </r>
  <r>
    <n v="89"/>
    <m/>
    <x v="88"/>
    <n v="47"/>
    <x v="39"/>
    <m/>
    <s v="Saldo inicial"/>
    <m/>
    <m/>
    <m/>
    <m/>
    <m/>
    <m/>
    <n v="72051"/>
    <m/>
    <n v="72051"/>
    <x v="0"/>
    <m/>
    <m/>
    <m/>
  </r>
  <r>
    <n v="90"/>
    <m/>
    <x v="89"/>
    <n v="47"/>
    <x v="39"/>
    <m/>
    <s v="Saldo inicial"/>
    <m/>
    <m/>
    <m/>
    <m/>
    <m/>
    <m/>
    <n v="470316"/>
    <m/>
    <n v="470316"/>
    <x v="0"/>
    <m/>
    <m/>
    <m/>
  </r>
  <r>
    <n v="91"/>
    <m/>
    <x v="90"/>
    <n v="47"/>
    <x v="39"/>
    <m/>
    <s v="Saldo inicial"/>
    <m/>
    <m/>
    <m/>
    <m/>
    <m/>
    <m/>
    <n v="5298"/>
    <m/>
    <n v="5298"/>
    <x v="0"/>
    <m/>
    <m/>
    <m/>
  </r>
  <r>
    <n v="92"/>
    <m/>
    <x v="91"/>
    <n v="48"/>
    <x v="40"/>
    <m/>
    <s v="Saldo inicial"/>
    <m/>
    <m/>
    <m/>
    <m/>
    <m/>
    <m/>
    <n v="100000"/>
    <m/>
    <n v="100000"/>
    <x v="0"/>
    <m/>
    <m/>
    <m/>
  </r>
  <r>
    <n v="93"/>
    <m/>
    <x v="92"/>
    <n v="48"/>
    <x v="40"/>
    <m/>
    <s v="Saldo inicial"/>
    <m/>
    <m/>
    <m/>
    <m/>
    <m/>
    <m/>
    <n v="780000"/>
    <m/>
    <n v="780000"/>
    <x v="0"/>
    <m/>
    <m/>
    <m/>
  </r>
  <r>
    <n v="94"/>
    <m/>
    <x v="93"/>
    <n v="48"/>
    <x v="40"/>
    <m/>
    <s v="Saldo inicial"/>
    <m/>
    <m/>
    <m/>
    <m/>
    <m/>
    <m/>
    <n v="691300"/>
    <m/>
    <n v="691300"/>
    <x v="0"/>
    <m/>
    <m/>
    <m/>
  </r>
  <r>
    <n v="95"/>
    <m/>
    <x v="94"/>
    <n v="48"/>
    <x v="40"/>
    <m/>
    <s v="Saldo inicial"/>
    <m/>
    <m/>
    <m/>
    <m/>
    <m/>
    <m/>
    <n v="150000"/>
    <m/>
    <n v="150000"/>
    <x v="0"/>
    <m/>
    <m/>
    <m/>
  </r>
  <r>
    <n v="96"/>
    <m/>
    <x v="95"/>
    <n v="67"/>
    <x v="41"/>
    <m/>
    <s v="Saldo inicial"/>
    <m/>
    <m/>
    <m/>
    <m/>
    <m/>
    <m/>
    <n v="10000"/>
    <m/>
    <n v="10000"/>
    <x v="0"/>
    <m/>
    <m/>
    <m/>
  </r>
  <r>
    <n v="97"/>
    <m/>
    <x v="96"/>
    <n v="49"/>
    <x v="42"/>
    <m/>
    <s v="Saldo inicial"/>
    <m/>
    <m/>
    <m/>
    <m/>
    <m/>
    <m/>
    <n v="4029405"/>
    <m/>
    <n v="4029405"/>
    <x v="0"/>
    <m/>
    <m/>
    <m/>
  </r>
  <r>
    <n v="98"/>
    <m/>
    <x v="97"/>
    <n v="49"/>
    <x v="42"/>
    <m/>
    <s v="Saldo inicial"/>
    <m/>
    <m/>
    <m/>
    <m/>
    <m/>
    <m/>
    <n v="4304794"/>
    <m/>
    <n v="4304794"/>
    <x v="0"/>
    <m/>
    <m/>
    <m/>
  </r>
  <r>
    <n v="99"/>
    <m/>
    <x v="98"/>
    <n v="49"/>
    <x v="42"/>
    <m/>
    <s v="Saldo inicial"/>
    <m/>
    <m/>
    <m/>
    <m/>
    <m/>
    <m/>
    <n v="3285675"/>
    <m/>
    <n v="3285675"/>
    <x v="0"/>
    <m/>
    <m/>
    <m/>
  </r>
  <r>
    <n v="100"/>
    <m/>
    <x v="99"/>
    <n v="50"/>
    <x v="43"/>
    <m/>
    <s v="Saldo inicial"/>
    <m/>
    <m/>
    <m/>
    <m/>
    <m/>
    <m/>
    <n v="48000"/>
    <m/>
    <n v="48000"/>
    <x v="0"/>
    <m/>
    <m/>
    <m/>
  </r>
  <r>
    <n v="101"/>
    <m/>
    <x v="100"/>
    <n v="51"/>
    <x v="44"/>
    <m/>
    <s v="Saldo inicial"/>
    <m/>
    <m/>
    <m/>
    <m/>
    <m/>
    <m/>
    <n v="1758888"/>
    <m/>
    <n v="1758888"/>
    <x v="0"/>
    <m/>
    <m/>
    <m/>
  </r>
  <r>
    <n v="102"/>
    <m/>
    <x v="101"/>
    <n v="51"/>
    <x v="44"/>
    <m/>
    <s v="Saldo inicial"/>
    <m/>
    <m/>
    <m/>
    <m/>
    <m/>
    <m/>
    <n v="3834551"/>
    <m/>
    <n v="3834551"/>
    <x v="0"/>
    <m/>
    <m/>
    <m/>
  </r>
  <r>
    <n v="103"/>
    <m/>
    <x v="102"/>
    <n v="51"/>
    <x v="44"/>
    <m/>
    <s v="Saldo inicial"/>
    <m/>
    <m/>
    <m/>
    <m/>
    <m/>
    <m/>
    <n v="291750"/>
    <m/>
    <n v="291750"/>
    <x v="0"/>
    <m/>
    <m/>
    <m/>
  </r>
  <r>
    <n v="104"/>
    <m/>
    <x v="103"/>
    <n v="52"/>
    <x v="45"/>
    <m/>
    <s v="Saldo inicial"/>
    <m/>
    <m/>
    <m/>
    <m/>
    <m/>
    <m/>
    <n v="65000"/>
    <m/>
    <n v="65000"/>
    <x v="0"/>
    <m/>
    <m/>
    <m/>
  </r>
  <r>
    <n v="105"/>
    <m/>
    <x v="104"/>
    <n v="52"/>
    <x v="45"/>
    <m/>
    <s v="Saldo inicial"/>
    <m/>
    <m/>
    <m/>
    <m/>
    <m/>
    <m/>
    <n v="287680"/>
    <m/>
    <n v="287680"/>
    <x v="0"/>
    <m/>
    <m/>
    <m/>
  </r>
  <r>
    <n v="106"/>
    <m/>
    <x v="105"/>
    <n v="52"/>
    <x v="45"/>
    <m/>
    <s v="Saldo inicial"/>
    <m/>
    <m/>
    <m/>
    <m/>
    <m/>
    <m/>
    <n v="319596"/>
    <m/>
    <n v="319596"/>
    <x v="0"/>
    <m/>
    <m/>
    <m/>
  </r>
  <r>
    <n v="107"/>
    <m/>
    <x v="106"/>
    <n v="52"/>
    <x v="45"/>
    <m/>
    <s v="Saldo inicial"/>
    <m/>
    <m/>
    <m/>
    <m/>
    <m/>
    <m/>
    <n v="159220"/>
    <m/>
    <n v="159220"/>
    <x v="0"/>
    <m/>
    <m/>
    <m/>
  </r>
  <r>
    <n v="108"/>
    <m/>
    <x v="107"/>
    <n v="54"/>
    <x v="46"/>
    <m/>
    <s v="Saldo inicial"/>
    <m/>
    <m/>
    <m/>
    <m/>
    <m/>
    <m/>
    <n v="200000"/>
    <m/>
    <n v="200000"/>
    <x v="0"/>
    <m/>
    <m/>
    <m/>
  </r>
  <r>
    <n v="109"/>
    <m/>
    <x v="108"/>
    <n v="54"/>
    <x v="46"/>
    <m/>
    <s v="Saldo inicial"/>
    <m/>
    <m/>
    <m/>
    <m/>
    <m/>
    <m/>
    <n v="100000"/>
    <m/>
    <n v="100000"/>
    <x v="0"/>
    <m/>
    <m/>
    <m/>
  </r>
  <r>
    <n v="110"/>
    <m/>
    <x v="109"/>
    <n v="55"/>
    <x v="47"/>
    <m/>
    <s v="Saldo inicial"/>
    <m/>
    <m/>
    <m/>
    <m/>
    <m/>
    <m/>
    <n v="100000"/>
    <m/>
    <n v="100000"/>
    <x v="0"/>
    <m/>
    <m/>
    <m/>
  </r>
  <r>
    <n v="111"/>
    <m/>
    <x v="110"/>
    <n v="55"/>
    <x v="47"/>
    <m/>
    <s v="Saldo inicial"/>
    <m/>
    <m/>
    <m/>
    <m/>
    <m/>
    <m/>
    <n v="896998"/>
    <m/>
    <n v="896998"/>
    <x v="0"/>
    <m/>
    <m/>
    <m/>
  </r>
  <r>
    <n v="112"/>
    <m/>
    <x v="111"/>
    <n v="55"/>
    <x v="47"/>
    <m/>
    <s v="Saldo inicial"/>
    <m/>
    <m/>
    <m/>
    <m/>
    <m/>
    <m/>
    <n v="100000"/>
    <m/>
    <n v="100000"/>
    <x v="0"/>
    <m/>
    <m/>
    <m/>
  </r>
  <r>
    <n v="113"/>
    <m/>
    <x v="112"/>
    <n v="57"/>
    <x v="48"/>
    <m/>
    <s v="Saldo inicial"/>
    <m/>
    <m/>
    <m/>
    <m/>
    <m/>
    <m/>
    <n v="1500000"/>
    <m/>
    <n v="1500000"/>
    <x v="0"/>
    <m/>
    <m/>
    <m/>
  </r>
  <r>
    <n v="114"/>
    <m/>
    <x v="113"/>
    <n v="61"/>
    <x v="49"/>
    <m/>
    <s v="Saldo inicial"/>
    <m/>
    <m/>
    <m/>
    <m/>
    <m/>
    <m/>
    <n v="800000"/>
    <m/>
    <n v="800000"/>
    <x v="0"/>
    <m/>
    <m/>
    <m/>
  </r>
  <r>
    <n v="115"/>
    <m/>
    <x v="114"/>
    <n v="58"/>
    <x v="50"/>
    <m/>
    <s v="Saldo inicial"/>
    <m/>
    <m/>
    <m/>
    <m/>
    <m/>
    <m/>
    <n v="8278941"/>
    <m/>
    <n v="8278941"/>
    <x v="0"/>
    <m/>
    <m/>
    <m/>
  </r>
  <r>
    <n v="116"/>
    <m/>
    <x v="115"/>
    <n v="58"/>
    <x v="50"/>
    <m/>
    <s v="Saldo inicial"/>
    <m/>
    <m/>
    <m/>
    <m/>
    <m/>
    <m/>
    <n v="2497107"/>
    <m/>
    <n v="2497107"/>
    <x v="0"/>
    <m/>
    <m/>
    <m/>
  </r>
  <r>
    <n v="117"/>
    <m/>
    <x v="116"/>
    <n v="58"/>
    <x v="50"/>
    <m/>
    <s v="Saldo inicial"/>
    <m/>
    <m/>
    <m/>
    <m/>
    <m/>
    <m/>
    <n v="4000000"/>
    <m/>
    <n v="4000000"/>
    <x v="0"/>
    <m/>
    <m/>
    <m/>
  </r>
  <r>
    <n v="118"/>
    <m/>
    <x v="117"/>
    <n v="59"/>
    <x v="51"/>
    <m/>
    <s v="Saldo inicial"/>
    <m/>
    <m/>
    <m/>
    <m/>
    <m/>
    <m/>
    <n v="30000"/>
    <m/>
    <n v="30000"/>
    <x v="0"/>
    <m/>
    <m/>
    <m/>
  </r>
  <r>
    <n v="119"/>
    <m/>
    <x v="118"/>
    <n v="59"/>
    <x v="51"/>
    <m/>
    <s v="Saldo inicial"/>
    <m/>
    <m/>
    <m/>
    <m/>
    <m/>
    <m/>
    <n v="2674631"/>
    <m/>
    <n v="2674631"/>
    <x v="0"/>
    <m/>
    <m/>
    <m/>
  </r>
  <r>
    <n v="120"/>
    <m/>
    <x v="119"/>
    <n v="59"/>
    <x v="51"/>
    <m/>
    <s v="Saldo inicial"/>
    <m/>
    <m/>
    <m/>
    <m/>
    <m/>
    <m/>
    <n v="393985"/>
    <m/>
    <n v="393985"/>
    <x v="0"/>
    <m/>
    <m/>
    <m/>
  </r>
  <r>
    <n v="121"/>
    <m/>
    <x v="120"/>
    <n v="59"/>
    <x v="51"/>
    <m/>
    <s v="Saldo inicial"/>
    <m/>
    <m/>
    <m/>
    <m/>
    <m/>
    <m/>
    <n v="296000"/>
    <m/>
    <n v="296000"/>
    <x v="0"/>
    <m/>
    <m/>
    <m/>
  </r>
  <r>
    <n v="122"/>
    <m/>
    <x v="121"/>
    <n v="60"/>
    <x v="52"/>
    <m/>
    <s v="Saldo inicial"/>
    <m/>
    <m/>
    <m/>
    <m/>
    <m/>
    <m/>
    <n v="200000"/>
    <m/>
    <n v="200000"/>
    <x v="0"/>
    <m/>
    <m/>
    <m/>
  </r>
  <r>
    <n v="123"/>
    <m/>
    <x v="122"/>
    <n v="60"/>
    <x v="52"/>
    <m/>
    <s v="Saldo inicial"/>
    <m/>
    <m/>
    <m/>
    <m/>
    <m/>
    <m/>
    <n v="200000"/>
    <m/>
    <n v="200000"/>
    <x v="0"/>
    <m/>
    <m/>
    <m/>
  </r>
  <r>
    <n v="124"/>
    <m/>
    <x v="123"/>
    <n v="60"/>
    <x v="52"/>
    <m/>
    <s v="Saldo inicial"/>
    <m/>
    <m/>
    <m/>
    <m/>
    <m/>
    <m/>
    <n v="110047"/>
    <m/>
    <n v="110047"/>
    <x v="0"/>
    <m/>
    <m/>
    <m/>
  </r>
  <r>
    <n v="125"/>
    <m/>
    <x v="124"/>
    <n v="62"/>
    <x v="53"/>
    <m/>
    <s v="Saldo inicial"/>
    <m/>
    <m/>
    <m/>
    <m/>
    <m/>
    <m/>
    <n v="1800"/>
    <m/>
    <n v="1800"/>
    <x v="0"/>
    <m/>
    <m/>
    <m/>
  </r>
  <r>
    <n v="126"/>
    <m/>
    <x v="0"/>
    <n v="2"/>
    <x v="0"/>
    <m/>
    <s v="Pago de planilla"/>
    <m/>
    <m/>
    <m/>
    <m/>
    <m/>
    <m/>
    <m/>
    <n v="44545640.859999999"/>
    <n v="-44545640.859999999"/>
    <x v="1"/>
    <m/>
    <m/>
    <n v="44545640.859999999"/>
  </r>
  <r>
    <n v="127"/>
    <m/>
    <x v="2"/>
    <n v="3"/>
    <x v="1"/>
    <m/>
    <s v="Pago de planilla"/>
    <m/>
    <m/>
    <m/>
    <m/>
    <m/>
    <m/>
    <m/>
    <n v="40019.177896300382"/>
    <n v="-40019.177896300382"/>
    <x v="1"/>
    <m/>
    <m/>
    <n v="40019.177896300382"/>
  </r>
  <r>
    <n v="128"/>
    <m/>
    <x v="3"/>
    <n v="3"/>
    <x v="1"/>
    <m/>
    <s v="Pago de planilla"/>
    <m/>
    <m/>
    <m/>
    <m/>
    <m/>
    <m/>
    <m/>
    <n v="67879.729659883116"/>
    <n v="-67879.729659883116"/>
    <x v="1"/>
    <m/>
    <m/>
    <n v="67879.729659883116"/>
  </r>
  <r>
    <n v="129"/>
    <m/>
    <x v="1"/>
    <n v="3"/>
    <x v="1"/>
    <m/>
    <s v="Pago de planilla"/>
    <m/>
    <m/>
    <m/>
    <m/>
    <m/>
    <m/>
    <m/>
    <n v="186167.42244381653"/>
    <n v="-186167.42244381653"/>
    <x v="1"/>
    <m/>
    <m/>
    <n v="186167.42244381653"/>
  </r>
  <r>
    <n v="130"/>
    <m/>
    <x v="5"/>
    <n v="5"/>
    <x v="3"/>
    <m/>
    <s v="Pago de planilla"/>
    <m/>
    <m/>
    <m/>
    <m/>
    <m/>
    <m/>
    <m/>
    <n v="8895921.4499999993"/>
    <n v="-8895921.4499999993"/>
    <x v="1"/>
    <m/>
    <m/>
    <n v="8895921.4499999993"/>
  </r>
  <r>
    <n v="131"/>
    <m/>
    <x v="6"/>
    <n v="6"/>
    <x v="4"/>
    <m/>
    <s v="Pago de planilla"/>
    <m/>
    <m/>
    <m/>
    <m/>
    <m/>
    <m/>
    <m/>
    <n v="3855900.66"/>
    <n v="-3855900.66"/>
    <x v="1"/>
    <m/>
    <m/>
    <n v="3855900.66"/>
  </r>
  <r>
    <n v="132"/>
    <m/>
    <x v="7"/>
    <n v="7"/>
    <x v="5"/>
    <m/>
    <s v="Pago de planilla"/>
    <m/>
    <m/>
    <m/>
    <m/>
    <m/>
    <m/>
    <m/>
    <n v="6343709.8899999997"/>
    <n v="-6343709.8899999997"/>
    <x v="1"/>
    <m/>
    <m/>
    <m/>
  </r>
  <r>
    <n v="133"/>
    <m/>
    <x v="8"/>
    <n v="8"/>
    <x v="6"/>
    <m/>
    <s v="Pago de planilla"/>
    <m/>
    <m/>
    <m/>
    <m/>
    <m/>
    <m/>
    <m/>
    <n v="660822.77"/>
    <n v="-660822.77"/>
    <x v="1"/>
    <m/>
    <m/>
    <n v="660822.77"/>
  </r>
  <r>
    <n v="134"/>
    <m/>
    <x v="10"/>
    <n v="9"/>
    <x v="7"/>
    <m/>
    <s v="Pago de planilla"/>
    <m/>
    <m/>
    <m/>
    <m/>
    <m/>
    <m/>
    <m/>
    <n v="10659086.655121563"/>
    <n v="-10659086.655121563"/>
    <x v="1"/>
    <m/>
    <m/>
    <n v="10659086.655121563"/>
  </r>
  <r>
    <n v="135"/>
    <m/>
    <x v="11"/>
    <n v="9"/>
    <x v="7"/>
    <m/>
    <s v="Pago de planilla"/>
    <m/>
    <m/>
    <m/>
    <m/>
    <m/>
    <m/>
    <m/>
    <n v="7168849.8839231944"/>
    <n v="-7168849.8839231944"/>
    <x v="1"/>
    <m/>
    <m/>
    <n v="7168849.8839231944"/>
  </r>
  <r>
    <n v="136"/>
    <m/>
    <x v="12"/>
    <n v="9"/>
    <x v="7"/>
    <m/>
    <s v="Pago de planilla"/>
    <m/>
    <m/>
    <m/>
    <m/>
    <m/>
    <m/>
    <m/>
    <n v="7135004.9112153826"/>
    <n v="-7135004.9112153826"/>
    <x v="1"/>
    <m/>
    <m/>
    <n v="7135004.9112153826"/>
  </r>
  <r>
    <n v="137"/>
    <m/>
    <x v="9"/>
    <n v="9"/>
    <x v="7"/>
    <m/>
    <s v="Pago de planilla"/>
    <m/>
    <m/>
    <m/>
    <m/>
    <m/>
    <m/>
    <m/>
    <n v="7206304.9397398606"/>
    <n v="-7206304.9397398606"/>
    <x v="1"/>
    <m/>
    <m/>
    <n v="7206304.9397398606"/>
  </r>
  <r>
    <n v="138"/>
    <m/>
    <x v="18"/>
    <n v="11"/>
    <x v="9"/>
    <m/>
    <s v="Pago de planilla"/>
    <m/>
    <m/>
    <m/>
    <m/>
    <m/>
    <m/>
    <m/>
    <n v="2985454.8691764362"/>
    <n v="-2985454.8691764362"/>
    <x v="1"/>
    <m/>
    <m/>
    <n v="2985454.8691764362"/>
  </r>
  <r>
    <n v="139"/>
    <m/>
    <x v="19"/>
    <n v="11"/>
    <x v="9"/>
    <m/>
    <s v="Pago de planilla"/>
    <m/>
    <m/>
    <m/>
    <m/>
    <m/>
    <m/>
    <m/>
    <n v="1658031.0193925884"/>
    <n v="-1658031.0193925884"/>
    <x v="1"/>
    <m/>
    <m/>
    <n v="1658031.0193925884"/>
  </r>
  <r>
    <n v="140"/>
    <m/>
    <x v="20"/>
    <n v="11"/>
    <x v="9"/>
    <m/>
    <s v="Pago de planilla"/>
    <m/>
    <m/>
    <m/>
    <m/>
    <m/>
    <m/>
    <m/>
    <n v="1248778.1641072978"/>
    <n v="-1248778.1641072978"/>
    <x v="1"/>
    <m/>
    <m/>
    <n v="1248778.1641072978"/>
  </r>
  <r>
    <n v="141"/>
    <m/>
    <x v="17"/>
    <n v="11"/>
    <x v="9"/>
    <m/>
    <s v="Pago de planilla"/>
    <m/>
    <m/>
    <m/>
    <m/>
    <m/>
    <m/>
    <m/>
    <n v="521758.63732367754"/>
    <n v="-521758.63732367754"/>
    <x v="1"/>
    <m/>
    <m/>
    <n v="521758.63732367754"/>
  </r>
  <r>
    <n v="142"/>
    <m/>
    <x v="22"/>
    <n v="12"/>
    <x v="10"/>
    <m/>
    <s v="Pago de planilla"/>
    <m/>
    <m/>
    <m/>
    <m/>
    <m/>
    <m/>
    <m/>
    <n v="123077.45982673923"/>
    <n v="-123077.45982673923"/>
    <x v="1"/>
    <m/>
    <m/>
    <n v="55648.055386624954"/>
  </r>
  <r>
    <n v="143"/>
    <m/>
    <x v="23"/>
    <n v="12"/>
    <x v="10"/>
    <m/>
    <s v="Pago de planilla"/>
    <m/>
    <m/>
    <m/>
    <m/>
    <m/>
    <m/>
    <m/>
    <n v="241328.35107589324"/>
    <n v="-241328.35107589324"/>
    <x v="1"/>
    <m/>
    <m/>
    <n v="109113.83340165881"/>
  </r>
  <r>
    <n v="144"/>
    <m/>
    <x v="21"/>
    <n v="12"/>
    <x v="10"/>
    <m/>
    <s v="Pago de planilla"/>
    <m/>
    <m/>
    <m/>
    <m/>
    <m/>
    <m/>
    <m/>
    <n v="57556.63909736753"/>
    <n v="-57556.63909736753"/>
    <x v="1"/>
    <m/>
    <m/>
    <n v="26023.571211716226"/>
  </r>
  <r>
    <n v="145"/>
    <m/>
    <x v="24"/>
    <n v="63"/>
    <x v="11"/>
    <m/>
    <s v="Pago de planilla"/>
    <m/>
    <m/>
    <m/>
    <m/>
    <m/>
    <m/>
    <m/>
    <n v="293085.44"/>
    <n v="-293085.44"/>
    <x v="1"/>
    <m/>
    <m/>
    <n v="293085.44"/>
  </r>
  <r>
    <n v="146"/>
    <m/>
    <x v="0"/>
    <n v="2"/>
    <x v="0"/>
    <m/>
    <s v="Agregado por GA"/>
    <m/>
    <m/>
    <m/>
    <m/>
    <m/>
    <m/>
    <n v="3782189"/>
    <m/>
    <n v="3782189"/>
    <x v="2"/>
    <m/>
    <m/>
    <m/>
  </r>
  <r>
    <n v="147"/>
    <m/>
    <x v="2"/>
    <n v="3"/>
    <x v="1"/>
    <m/>
    <s v="Retirado por GA"/>
    <m/>
    <m/>
    <m/>
    <m/>
    <m/>
    <m/>
    <m/>
    <n v="943096.41916965332"/>
    <n v="-943096.41916965332"/>
    <x v="2"/>
    <m/>
    <m/>
    <m/>
  </r>
  <r>
    <n v="148"/>
    <m/>
    <x v="3"/>
    <n v="3"/>
    <x v="1"/>
    <m/>
    <s v="Retirado por GA"/>
    <m/>
    <m/>
    <m/>
    <m/>
    <m/>
    <m/>
    <m/>
    <n v="1599661.2959497606"/>
    <n v="-1599661.2959497606"/>
    <x v="2"/>
    <m/>
    <m/>
    <m/>
  </r>
  <r>
    <n v="149"/>
    <m/>
    <x v="1"/>
    <n v="3"/>
    <x v="1"/>
    <m/>
    <s v="Retirado por GA"/>
    <m/>
    <m/>
    <m/>
    <m/>
    <m/>
    <m/>
    <m/>
    <n v="4387242.284880586"/>
    <n v="-4387242.284880586"/>
    <x v="2"/>
    <m/>
    <m/>
    <m/>
  </r>
  <r>
    <n v="150"/>
    <m/>
    <x v="4"/>
    <n v="4"/>
    <x v="2"/>
    <m/>
    <s v="Agregado por GA"/>
    <m/>
    <m/>
    <m/>
    <m/>
    <m/>
    <m/>
    <n v="315183"/>
    <m/>
    <n v="315183"/>
    <x v="2"/>
    <m/>
    <m/>
    <m/>
  </r>
  <r>
    <n v="151"/>
    <m/>
    <x v="5"/>
    <n v="5"/>
    <x v="3"/>
    <m/>
    <s v="Agregado por GA"/>
    <m/>
    <m/>
    <m/>
    <m/>
    <m/>
    <m/>
    <n v="315183"/>
    <m/>
    <n v="315183"/>
    <x v="2"/>
    <m/>
    <m/>
    <m/>
  </r>
  <r>
    <n v="152"/>
    <m/>
    <x v="6"/>
    <n v="6"/>
    <x v="4"/>
    <m/>
    <s v="Agregado por GA"/>
    <m/>
    <m/>
    <m/>
    <m/>
    <m/>
    <m/>
    <n v="315183"/>
    <m/>
    <n v="315183"/>
    <x v="2"/>
    <m/>
    <m/>
    <m/>
  </r>
  <r>
    <n v="153"/>
    <m/>
    <x v="7"/>
    <n v="7"/>
    <x v="5"/>
    <m/>
    <s v="Agregado por GA"/>
    <m/>
    <m/>
    <m/>
    <m/>
    <m/>
    <m/>
    <n v="548418"/>
    <m/>
    <n v="548418"/>
    <x v="2"/>
    <m/>
    <m/>
    <m/>
  </r>
  <r>
    <n v="154"/>
    <m/>
    <x v="24"/>
    <n v="63"/>
    <x v="11"/>
    <m/>
    <s v="Agregado por GA"/>
    <m/>
    <m/>
    <m/>
    <m/>
    <m/>
    <m/>
    <n v="1014081"/>
    <m/>
    <n v="1014081"/>
    <x v="2"/>
    <m/>
    <m/>
    <m/>
  </r>
  <r>
    <n v="155"/>
    <m/>
    <x v="30"/>
    <n v="15"/>
    <x v="13"/>
    <m/>
    <s v="Modificaciòn presupuestaria de malaria para reparaciòn de vehiculos en las regiones"/>
    <m/>
    <m/>
    <m/>
    <m/>
    <m/>
    <m/>
    <m/>
    <n v="660000"/>
    <n v="-660000"/>
    <x v="2"/>
    <m/>
    <m/>
    <m/>
  </r>
  <r>
    <n v="156"/>
    <m/>
    <x v="125"/>
    <n v="26"/>
    <x v="54"/>
    <m/>
    <s v="Agregado por presupuestos para desaduanaje de vacunas"/>
    <m/>
    <m/>
    <m/>
    <m/>
    <m/>
    <m/>
    <n v="100000"/>
    <m/>
    <n v="100000"/>
    <x v="2"/>
    <m/>
    <m/>
    <m/>
  </r>
  <r>
    <n v="157"/>
    <m/>
    <x v="126"/>
    <n v="26"/>
    <x v="54"/>
    <m/>
    <s v="Agregado por presupuestos para desaduanaje de vacunas"/>
    <m/>
    <m/>
    <m/>
    <m/>
    <m/>
    <m/>
    <n v="100000"/>
    <m/>
    <n v="100000"/>
    <x v="2"/>
    <m/>
    <m/>
    <m/>
  </r>
  <r>
    <n v="158"/>
    <m/>
    <x v="127"/>
    <n v="26"/>
    <x v="54"/>
    <m/>
    <s v="Agregado por presupuestos para desaduanaje de vacunas"/>
    <m/>
    <m/>
    <m/>
    <m/>
    <m/>
    <m/>
    <n v="100000"/>
    <m/>
    <n v="100000"/>
    <x v="2"/>
    <m/>
    <m/>
    <m/>
  </r>
  <r>
    <n v="159"/>
    <m/>
    <x v="78"/>
    <n v="66"/>
    <x v="34"/>
    <m/>
    <s v="Modificación presupuestaria de malaria para adquisición de vehiculos"/>
    <m/>
    <m/>
    <m/>
    <m/>
    <m/>
    <m/>
    <m/>
    <n v="428212"/>
    <n v="-428212"/>
    <x v="2"/>
    <m/>
    <m/>
    <m/>
  </r>
  <r>
    <n v="160"/>
    <m/>
    <x v="80"/>
    <n v="42"/>
    <x v="35"/>
    <m/>
    <s v="Modificación presupuestaria de malaria para adquisición de vehiculos"/>
    <m/>
    <m/>
    <m/>
    <m/>
    <m/>
    <m/>
    <m/>
    <n v="308901"/>
    <n v="-308901"/>
    <x v="2"/>
    <m/>
    <m/>
    <m/>
  </r>
  <r>
    <n v="161"/>
    <m/>
    <x v="83"/>
    <n v="44"/>
    <x v="36"/>
    <m/>
    <s v="Modificación presupuestaria de malaria para adquisición de vehiculos"/>
    <m/>
    <m/>
    <m/>
    <m/>
    <m/>
    <m/>
    <m/>
    <n v="200000"/>
    <n v="-200000"/>
    <x v="2"/>
    <m/>
    <m/>
    <m/>
  </r>
  <r>
    <n v="162"/>
    <m/>
    <x v="113"/>
    <n v="61"/>
    <x v="49"/>
    <m/>
    <s v="Modificación presupuestaria de malaria para adquisición de vehiculos"/>
    <m/>
    <m/>
    <m/>
    <m/>
    <m/>
    <m/>
    <n v="937113"/>
    <m/>
    <n v="937113"/>
    <x v="2"/>
    <m/>
    <m/>
    <m/>
  </r>
  <r>
    <n v="163"/>
    <m/>
    <x v="96"/>
    <n v="49"/>
    <x v="42"/>
    <m/>
    <s v="Modificación realizada por gerencia administrativa para fortalecer  este objeto"/>
    <m/>
    <m/>
    <m/>
    <m/>
    <m/>
    <m/>
    <n v="819101.61422576534"/>
    <m/>
    <n v="819101.61422576534"/>
    <x v="2"/>
    <m/>
    <m/>
    <m/>
  </r>
  <r>
    <n v="164"/>
    <m/>
    <x v="97"/>
    <n v="49"/>
    <x v="42"/>
    <m/>
    <s v="Modificación realizada por gerencia administrativa para fortalecer  este objeto"/>
    <m/>
    <m/>
    <m/>
    <m/>
    <m/>
    <m/>
    <n v="875082.97485841927"/>
    <m/>
    <n v="875082.97485841927"/>
    <x v="2"/>
    <m/>
    <m/>
    <m/>
  </r>
  <r>
    <n v="165"/>
    <m/>
    <x v="98"/>
    <n v="49"/>
    <x v="42"/>
    <m/>
    <s v="Modificación realizada por gerencia administrativa para fortalecer  este objeto"/>
    <m/>
    <m/>
    <m/>
    <m/>
    <m/>
    <m/>
    <n v="667915.4109158155"/>
    <m/>
    <n v="667915.4109158155"/>
    <x v="2"/>
    <m/>
    <m/>
    <m/>
  </r>
  <r>
    <n v="166"/>
    <m/>
    <x v="128"/>
    <n v="68"/>
    <x v="55"/>
    <m/>
    <s v="Modificación para la adquisición de data show y televisores"/>
    <m/>
    <m/>
    <m/>
    <m/>
    <m/>
    <m/>
    <n v="300000"/>
    <m/>
    <n v="300000"/>
    <x v="2"/>
    <m/>
    <m/>
    <m/>
  </r>
  <r>
    <n v="167"/>
    <m/>
    <x v="83"/>
    <n v="44"/>
    <x v="36"/>
    <m/>
    <s v="Modificación para la adquisición de data show y televisores"/>
    <m/>
    <m/>
    <m/>
    <m/>
    <m/>
    <m/>
    <m/>
    <n v="300000"/>
    <n v="-300000"/>
    <x v="2"/>
    <m/>
    <m/>
    <m/>
  </r>
  <r>
    <n v="168"/>
    <m/>
    <x v="95"/>
    <n v="67"/>
    <x v="41"/>
    <m/>
    <s v="Agregado por GA"/>
    <m/>
    <m/>
    <m/>
    <m/>
    <m/>
    <m/>
    <n v="2478"/>
    <m/>
    <n v="2478"/>
    <x v="2"/>
    <m/>
    <m/>
    <m/>
  </r>
  <r>
    <n v="169"/>
    <m/>
    <x v="45"/>
    <n v="25"/>
    <x v="20"/>
    <m/>
    <s v="Viaticos de la Subsecretaria de Redes Integradas de Servicios de Salud"/>
    <m/>
    <m/>
    <m/>
    <m/>
    <m/>
    <m/>
    <m/>
    <n v="159343.76999999999"/>
    <n v="-159343.76999999999"/>
    <x v="1"/>
    <m/>
    <m/>
    <n v="159343.76999999999"/>
  </r>
  <r>
    <n v="170"/>
    <m/>
    <x v="49"/>
    <n v="65"/>
    <x v="21"/>
    <m/>
    <s v="Pasajes de la Subsecretaria de Redes Integradas de Servicios de Salud"/>
    <m/>
    <m/>
    <m/>
    <m/>
    <m/>
    <m/>
    <m/>
    <n v="37554.769999999997"/>
    <n v="-37554.769999999997"/>
    <x v="1"/>
    <m/>
    <m/>
    <n v="37554.769999999997"/>
  </r>
  <r>
    <n v="171"/>
    <m/>
    <x v="125"/>
    <n v="26"/>
    <x v="54"/>
    <m/>
    <s v="Pago de desaduanaje"/>
    <m/>
    <m/>
    <m/>
    <m/>
    <m/>
    <m/>
    <m/>
    <n v="97745.126666666663"/>
    <n v="-97745.126666666663"/>
    <x v="1"/>
    <m/>
    <m/>
    <n v="97745.126666666663"/>
  </r>
  <r>
    <n v="172"/>
    <m/>
    <x v="126"/>
    <n v="26"/>
    <x v="54"/>
    <m/>
    <s v="Pago de desaduanaje"/>
    <m/>
    <m/>
    <m/>
    <m/>
    <m/>
    <m/>
    <m/>
    <n v="97745.126666666663"/>
    <n v="-97745.126666666663"/>
    <x v="1"/>
    <m/>
    <m/>
    <n v="97745.126666666663"/>
  </r>
  <r>
    <n v="173"/>
    <m/>
    <x v="127"/>
    <n v="26"/>
    <x v="54"/>
    <m/>
    <s v="Pago de desaduanaje"/>
    <m/>
    <m/>
    <m/>
    <m/>
    <m/>
    <m/>
    <m/>
    <n v="97745.126666666663"/>
    <n v="-97745.126666666663"/>
    <x v="1"/>
    <m/>
    <m/>
    <n v="97745.126666666663"/>
  </r>
  <r>
    <n v="174"/>
    <s v="Transferencia de Fondos"/>
    <x v="72"/>
    <n v="39"/>
    <x v="29"/>
    <m/>
    <s v="Traslado de fondos a OPS realizado directamente a Gerencia Administrativa por parte de la ULMI"/>
    <s v="Of. 74-2024-ULMI"/>
    <d v="2024-02-05T00:00:00"/>
    <m/>
    <m/>
    <m/>
    <m/>
    <m/>
    <n v="89000"/>
    <n v="-89000"/>
    <x v="1"/>
    <m/>
    <s v="Compra de medicamentos por OPS por un valor de L 2,061,760.18 la mayoria se paga con presupuesto de TB"/>
    <n v="89000"/>
  </r>
  <r>
    <n v="175"/>
    <s v="Transferencia de Fondos"/>
    <x v="71"/>
    <n v="39"/>
    <x v="29"/>
    <m/>
    <s v="Traslado de fondos a OPS realizado directamente a Gerencia Administrativa por parte de la ULMI"/>
    <s v="Of. 83-2024-ULMI"/>
    <d v="2024-02-06T00:00:00"/>
    <m/>
    <m/>
    <m/>
    <m/>
    <m/>
    <n v="2033104.07"/>
    <n v="-2033104.07"/>
    <x v="1"/>
    <m/>
    <s v="Compra de medicamentos para TB atraves de OPS por L 59742.57 y la diferencia destinado para comprar medicamentos de malaria"/>
    <n v="2033104.07"/>
  </r>
  <r>
    <n v="176"/>
    <m/>
    <x v="129"/>
    <e v="#N/A"/>
    <x v="56"/>
    <m/>
    <m/>
    <m/>
    <m/>
    <m/>
    <m/>
    <m/>
    <m/>
    <m/>
    <m/>
    <n v="0"/>
    <x v="1"/>
    <m/>
    <m/>
    <m/>
  </r>
  <r>
    <n v="1"/>
    <s v="Compra Directa"/>
    <x v="76"/>
    <n v="40"/>
    <x v="32"/>
    <s v="Lic. Josias"/>
    <s v="Carga viral y 35,000  Pruebas"/>
    <s v="Of.-427-JLNV-2023"/>
    <d v="2023-07-10T00:00:00"/>
    <s v="Of-531-DGN-SS-2023"/>
    <d v="2023-08-14T00:00:00"/>
    <s v="Of-078-CNS-SRISS-2023. "/>
    <d v="2023-08-08T00:00:00"/>
    <m/>
    <n v="23605072.5"/>
    <n v="-23605072.5"/>
    <x v="1"/>
    <s v="CD-11-2023-SESAL"/>
    <s v="Adjudicado según oficio 923-DL-2023"/>
    <n v="23605072.5"/>
  </r>
  <r>
    <n v="2"/>
    <s v="Compra Directa"/>
    <x v="97"/>
    <n v="49"/>
    <x v="42"/>
    <s v="Lic. Josias"/>
    <m/>
    <m/>
    <m/>
    <m/>
    <m/>
    <m/>
    <m/>
    <m/>
    <n v="67979.385922791829"/>
    <n v="-67979.385922791829"/>
    <x v="1"/>
    <s v="CD-06-2023-SESAL"/>
    <m/>
    <n v="67979.385922791829"/>
  </r>
  <r>
    <n v="3"/>
    <s v="Compra Directa"/>
    <x v="96"/>
    <n v="49"/>
    <x v="42"/>
    <s v="Lic. Josias"/>
    <m/>
    <m/>
    <m/>
    <m/>
    <m/>
    <m/>
    <m/>
    <m/>
    <n v="71983.529817512579"/>
    <n v="-71983.529817512579"/>
    <x v="1"/>
    <s v="CD-06-2023-SESAL"/>
    <m/>
    <n v="71983.529817512579"/>
  </r>
  <r>
    <n v="4"/>
    <s v="Compra Directa"/>
    <x v="98"/>
    <n v="49"/>
    <x v="42"/>
    <s v="Lic. Josias"/>
    <m/>
    <m/>
    <m/>
    <m/>
    <m/>
    <m/>
    <m/>
    <m/>
    <n v="57137.314259695617"/>
    <n v="-57137.314259695617"/>
    <x v="1"/>
    <s v="CD-06-2023-SESAL"/>
    <m/>
    <n v="57137.314259695617"/>
  </r>
  <r>
    <n v="5"/>
    <s v="Compra Directa"/>
    <x v="97"/>
    <n v="49"/>
    <x v="42"/>
    <s v="Lic. Josias"/>
    <s v="Algodón, puenta para coloración, tubos conios"/>
    <s v="Of.-242-JLNV-2023"/>
    <d v="2023-05-19T00:00:00"/>
    <s v="Of.-386-DGN-SS-2023"/>
    <d v="2023-06-01T00:00:00"/>
    <m/>
    <m/>
    <m/>
    <n v="741424.83"/>
    <n v="-741424.83"/>
    <x v="1"/>
    <s v="CD-12-2023-SESAL"/>
    <s v="Se adjudico el proceso de según oficio 923-DL-2023; L. 2,224,735.85. Precompromiso para el 2024 (pendiente de confirmar entrega) PAGADO L 2,070,443.6"/>
    <n v="714090.91971011111"/>
  </r>
  <r>
    <n v="6"/>
    <s v="Compra Directa"/>
    <x v="96"/>
    <n v="49"/>
    <x v="42"/>
    <s v="Lic. Josias"/>
    <s v="Algodón, puenta para coloración, tubos conios"/>
    <s v="Of.-242-JLNV-2023"/>
    <d v="2023-05-19T00:00:00"/>
    <s v="Of.-386-DGN-SS-2023"/>
    <d v="2023-06-01T00:00:00"/>
    <m/>
    <m/>
    <m/>
    <n v="785096.47"/>
    <n v="-785096.47"/>
    <x v="1"/>
    <s v="CD-12-2023-SESAL"/>
    <s v="Se adjudico el proceso de según oficio 923-DL-2023; L. 2,224,735.85. Precompromiso para el 2024 (pendiente de confirmar entrega) PAGADO L 2,070,443.6"/>
    <n v="756152.53526633675"/>
  </r>
  <r>
    <n v="7"/>
    <s v="Compra Directa"/>
    <x v="98"/>
    <n v="49"/>
    <x v="42"/>
    <s v="Lic. Josias"/>
    <s v="Algodón, puenta para coloración, tubos conios"/>
    <s v="Of.-242-JLNV-2023"/>
    <d v="2023-05-19T00:00:00"/>
    <s v="Of.-386-DGN-SS-2023"/>
    <d v="2023-06-01T00:00:00"/>
    <m/>
    <m/>
    <m/>
    <n v="623174.55000000005"/>
    <n v="-623174.55000000005"/>
    <x v="1"/>
    <s v="CD-12-2023-SESAL"/>
    <s v="Se adjudico el proceso de según oficio 923-DL-2023; L. 2,224,735.85. Precompromiso para el 2024 (pendiente de confirmar entrega) PAGADO L 2,070,443.6"/>
    <n v="600200.14502355235"/>
  </r>
  <r>
    <n v="8"/>
    <s v="Compra Directa"/>
    <x v="115"/>
    <n v="58"/>
    <x v="50"/>
    <s v="Lic. Josias"/>
    <s v="Equipo para los 3 laboratorios (Consolidado por LNV)"/>
    <s v="Of.-244-JLNV-2023"/>
    <d v="2023-05-19T00:00:00"/>
    <s v="Of.No.388-DGN-SS-2022"/>
    <d v="2023-06-01T00:00:00"/>
    <m/>
    <m/>
    <m/>
    <n v="6025770.7636850812"/>
    <n v="-6025770.7636850812"/>
    <x v="1"/>
    <s v="CD-14-2023-SESAL"/>
    <s v="Se adjudico la cantidad de L. 18,850,014.61 En compra conjunta en el 2023"/>
    <n v="767589.89619481331"/>
  </r>
  <r>
    <n v="9"/>
    <s v="Compra Directa"/>
    <x v="116"/>
    <n v="58"/>
    <x v="50"/>
    <s v="Lic. Josias"/>
    <s v="Equipo para los 3 laboratorios (Consolidado por LNV)"/>
    <s v="Of.-244-JLNV-2023"/>
    <d v="2023-05-19T00:00:00"/>
    <s v="Of.No.388-DGN-SS-2022"/>
    <d v="2023-06-01T00:00:00"/>
    <m/>
    <m/>
    <m/>
    <n v="4580463.6959707029"/>
    <n v="-4580463.6959707029"/>
    <x v="1"/>
    <s v="CD-14-2023-SESAL"/>
    <s v="Se adjudico la cantidad de L. 18,850,014.61 En compra conjunta en el 2023"/>
    <n v="583480.15395861014"/>
  </r>
  <r>
    <n v="10"/>
    <s v="Compra Directa"/>
    <x v="114"/>
    <n v="58"/>
    <x v="50"/>
    <s v="Lic. Josias"/>
    <s v="Equipo para los 3 laboratorios (Consolidado por LNV)"/>
    <s v="Of.-244-JLNV-2023"/>
    <d v="2023-05-19T00:00:00"/>
    <s v="Of.No.388-DGN-SS-2022"/>
    <d v="2023-06-01T00:00:00"/>
    <m/>
    <m/>
    <m/>
    <n v="8243780.15034422"/>
    <n v="-8243780.15034422"/>
    <x v="1"/>
    <s v="CD-14-2023-SESAL"/>
    <s v="Se adjudico la cantidad de L. 18,850,014.61 En compra conjunta en el 2023"/>
    <n v="1050129.9498465767"/>
  </r>
  <r>
    <n v="11"/>
    <s v="Compra Directa"/>
    <x v="74"/>
    <n v="37"/>
    <x v="31"/>
    <s v="Lic. Josias"/>
    <s v="Agua libre de ARNasa y ADNasa, Master mix, agua destilada, marcador de peso molecular 25 pares de bases"/>
    <s v="531-JLNV-2023"/>
    <d v="2023-08-16T00:00:00"/>
    <s v="Of-552-DGN-SS-2023"/>
    <m/>
    <s v="Of-107-CNS-SRISS-2023. "/>
    <d v="2023-08-21T00:00:00"/>
    <m/>
    <n v="389530"/>
    <n v="-389530"/>
    <x v="1"/>
    <s v="CD-24-2023-SESAL"/>
    <s v="Se adjudico por L. 389,530.00 a la empresa prodilab en precompromiso para el 2024"/>
    <m/>
  </r>
  <r>
    <n v="12"/>
    <s v="Compra Directa"/>
    <x v="100"/>
    <n v="51"/>
    <x v="44"/>
    <s v="Lic. Josias"/>
    <s v="Insumos para los 3 Laboratorios (Consolidado por el LNV)"/>
    <s v="Of.-243-JLNV-2023"/>
    <d v="2023-05-19T00:00:00"/>
    <s v="Of.No. 389-DGN-SS-2023"/>
    <d v="2023-06-01T00:00:00"/>
    <m/>
    <m/>
    <m/>
    <n v="83069.899326067505"/>
    <n v="-83069.899326067505"/>
    <x v="1"/>
    <s v="CD-13-2023-SESAL"/>
    <s v="Se adjudicó por la cantidad de L. 277,949.51  en copra conjunta el dato es proporcional."/>
    <n v="48814.484342566844"/>
  </r>
  <r>
    <n v="13"/>
    <s v="Compra Directa"/>
    <x v="102"/>
    <n v="51"/>
    <x v="44"/>
    <s v="Lic. Josias"/>
    <s v="Insumos para los 3 Laboratorios (Consolidado por el LNV)"/>
    <s v="Of.-243-JLNV-2023"/>
    <d v="2023-05-19T00:00:00"/>
    <s v="Of.No. 389-DGN-SS-2023"/>
    <d v="2023-06-01T00:00:00"/>
    <m/>
    <m/>
    <m/>
    <n v="13778.957573410133"/>
    <n v="-13778.957573410133"/>
    <x v="1"/>
    <s v="CD-13-2023-SESAL"/>
    <s v="Se adjudicó por la cantidad de L. 277,949.51  en copra conjunta el dato es proporcional."/>
    <n v="8096.9486442251473"/>
  </r>
  <r>
    <n v="14"/>
    <s v="Compra Directa"/>
    <x v="101"/>
    <n v="51"/>
    <x v="44"/>
    <s v="Lic. Josias"/>
    <s v="Insumos para los 3 Laboratorios (Consolidado por el LNV)"/>
    <s v="Of.-243-JLNV-2023"/>
    <d v="2023-05-19T00:00:00"/>
    <s v="Of.No. 389-DGN-SS-2023"/>
    <d v="2023-06-01T00:00:00"/>
    <m/>
    <m/>
    <m/>
    <n v="143625.0031005221"/>
    <n v="-143625.0031005221"/>
    <x v="1"/>
    <s v="CD-13-2023-SESAL"/>
    <s v="Se adjudicó por la cantidad de L. 277,949.51  en copra conjunta el dato es proporcional. Se rebajaron (37,475.65) que fueron pagados el 2023 se supone fueron pagados de esta solicitud"/>
    <n v="84398.567013207998"/>
  </r>
  <r>
    <n v="15"/>
    <s v="Licitación Pública"/>
    <x v="77"/>
    <n v="41"/>
    <x v="33"/>
    <s v="Lic. Josias"/>
    <s v="Insecticidas para combatir la malaria"/>
    <s v="Of. 607-JLNV 2023"/>
    <d v="2023-09-11T00:00:00"/>
    <s v="Of.-175-CNS-SRISS-2023"/>
    <d v="2023-10-09T00:00:00"/>
    <m/>
    <m/>
    <m/>
    <n v="12000000"/>
    <n v="-12000000"/>
    <x v="3"/>
    <m/>
    <s v="Resolución Número 110-2024-SS, donde se declara Fracasado por que los proveedores no se ajustaban a los requisitos de los insecticidos"/>
    <m/>
  </r>
  <r>
    <n v="16"/>
    <s v="Licitación Pública"/>
    <x v="76"/>
    <n v="40"/>
    <x v="32"/>
    <s v="Lic. Josias"/>
    <s v="Carga viral y 35,000  Pruebas"/>
    <s v="Of. 422-ETNEM-SS-2023"/>
    <d v="2023-09-20T00:00:00"/>
    <s v="Of.-172-CNS-SRISS-2023"/>
    <d v="2023-10-11T00:00:00"/>
    <m/>
    <m/>
    <m/>
    <n v="45215293.5"/>
    <n v="-45215293.5"/>
    <x v="4"/>
    <m/>
    <s v="Dejar sin valor y efecto, SE HARA POR LA CARGA VIRAL SIN LOS SERVICIOS CONEXOS"/>
    <m/>
  </r>
  <r>
    <n v="17"/>
    <s v="Licitación Pública"/>
    <x v="130"/>
    <n v="61"/>
    <x v="49"/>
    <s v="Lic. Josias"/>
    <s v="Vehiculos Gerencia administrativa"/>
    <m/>
    <m/>
    <m/>
    <m/>
    <m/>
    <m/>
    <m/>
    <m/>
    <n v="0"/>
    <x v="5"/>
    <m/>
    <m/>
    <m/>
  </r>
  <r>
    <n v="18"/>
    <s v="Catalago Electrónico"/>
    <x v="121"/>
    <n v="60"/>
    <x v="52"/>
    <s v="Lcda. Graciela"/>
    <s v="Licencias de zoom, antivirus y Office"/>
    <s v="Of. 089-DGRP-2024"/>
    <d v="2024-01-23T00:00:00"/>
    <s v="Of. 075-CNS-SSRISS-2024"/>
    <d v="2024-02-29T00:00:00"/>
    <m/>
    <m/>
    <m/>
    <n v="200000"/>
    <n v="-200000"/>
    <x v="6"/>
    <m/>
    <m/>
    <m/>
  </r>
  <r>
    <n v="19"/>
    <s v="Licitación Pública"/>
    <x v="56"/>
    <n v="31"/>
    <x v="24"/>
    <s v="Lic. Josias"/>
    <s v="Chalecos, gorras, gabachas, Camisetas"/>
    <s v="Of. 088-DGRP-2024"/>
    <d v="2024-01-24T00:00:00"/>
    <m/>
    <m/>
    <m/>
    <m/>
    <m/>
    <n v="2657500"/>
    <n v="-2657500"/>
    <x v="4"/>
    <m/>
    <s v="se regreso por observaciones"/>
    <m/>
  </r>
  <r>
    <n v="20"/>
    <s v="Compra Directa"/>
    <x v="77"/>
    <n v="41"/>
    <x v="33"/>
    <s v="Lic. Josias"/>
    <s v="Insecticidas para combatir la malaria"/>
    <s v="Of. 032-ETNEM-SS-2024"/>
    <d v="2024-01-31T00:00:00"/>
    <s v="Of. 023-CNS-SSRISS-2024"/>
    <d v="2024-01-31T00:00:00"/>
    <m/>
    <m/>
    <m/>
    <n v="11200000"/>
    <n v="-11200000"/>
    <x v="1"/>
    <s v="CD-02-2024-SESAL"/>
    <s v="Se realizará mediante compra conjunta, como para el Dengue, Zika, etc. NOTA: SE AFECTARÁN LAS SIGUIENTES ESTRUCTURAS PRESUPUESTARIAS:_x000a_UE: 53 PROGRAMA: 19 ACTIVIDAD 001 POR L.46,460,000.00_x000a_UE: 58 PROGRAMA: 18 ACTIVIDAD 012 POR L.580,000.00"/>
    <m/>
  </r>
  <r>
    <n v="21"/>
    <s v="Catalago Electrónico"/>
    <x v="118"/>
    <n v="59"/>
    <x v="51"/>
    <s v="Lcda. Graciela"/>
    <s v="Computadoras de escritorio, computadora portatil, impresora"/>
    <s v="Of. 097-DGRP-2024"/>
    <d v="2024-01-29T00:00:00"/>
    <s v="Of. 060-CNS-SSRISS-2024"/>
    <d v="2024-02-23T00:00:00"/>
    <m/>
    <m/>
    <m/>
    <n v="2512300.9"/>
    <n v="-2512300.9"/>
    <x v="1"/>
    <m/>
    <s v="Orden de Compra No.60-1-53-2629-2024 y Orden de Compra No.60-1-53-2631-2024 (+ L 15,482.50 para completar la compra de computadora para la coordinación + 42,859.10 para completar computadora de VIH)"/>
    <m/>
  </r>
  <r>
    <n v="22"/>
    <s v="Compra Directa"/>
    <x v="112"/>
    <n v="57"/>
    <x v="48"/>
    <s v="Lic. Josias"/>
    <s v="Bombas de rociado, Termonebulizadores"/>
    <s v="Of. 033-ETNEM-SS-2024"/>
    <d v="2024-01-31T00:00:00"/>
    <s v="Of. 024-CNS-SSRISS-2024"/>
    <d v="2024-02-25T00:00:00"/>
    <m/>
    <m/>
    <m/>
    <n v="1500000"/>
    <n v="-1500000"/>
    <x v="5"/>
    <s v="CD-04-2024-SESAL"/>
    <m/>
    <m/>
  </r>
  <r>
    <n v="23"/>
    <s v="Compra Menor"/>
    <x v="110"/>
    <n v="55"/>
    <x v="47"/>
    <s v="Lic. Josias"/>
    <s v="Aspiradora, Fotocopiadoras"/>
    <s v="Of. 037-ETNEM-SS-2024"/>
    <d v="2024-02-05T00:00:00"/>
    <s v="Of. 168-CNS-SRISS-2024"/>
    <d v="2024-04-22T00:00:00"/>
    <m/>
    <m/>
    <m/>
    <n v="896998"/>
    <n v="-896998"/>
    <x v="5"/>
    <m/>
    <s v="Solo se deja el presupuesto pendiente en una de las solicitudes de malaria para no duplicar saldos. Oficio 2380-2024-GA ( Aires acondicionados) 2381-2024-GA (Fotocopiadora) 2382-2024-GA (Aspiradora ventiladores trituradora, encuadernadora)"/>
    <m/>
  </r>
  <r>
    <n v="24"/>
    <s v="Catalago Electrónico"/>
    <x v="119"/>
    <n v="59"/>
    <x v="51"/>
    <s v="Lcda. Graciela"/>
    <s v="Computadora Escritorrio, Computadora portatil, impresora multifuncional, mochila para laptops, protector para datashow"/>
    <s v="Of. 040-ETNEM-SS-2024"/>
    <d v="2024-02-05T00:00:00"/>
    <m/>
    <m/>
    <m/>
    <m/>
    <m/>
    <n v="393985"/>
    <n v="-393985"/>
    <x v="4"/>
    <m/>
    <m/>
    <m/>
  </r>
  <r>
    <n v="25"/>
    <s v="Catalago Electrónico"/>
    <x v="105"/>
    <n v="52"/>
    <x v="45"/>
    <s v="Lcda. Graciela"/>
    <s v="USB, Disco duro externo, CD, Mouse Inalambrico, Mouse Alambrico, Teclado alambrico, adaptador macho USB para HDMI, Tintas, lector de CD"/>
    <s v="Of. 038-ETNEM-SS-2024"/>
    <d v="2024-02-05T00:00:00"/>
    <s v="Of.059-CNS-SSRISS-2024"/>
    <d v="2024-02-23T00:00:00"/>
    <m/>
    <m/>
    <m/>
    <n v="45410"/>
    <n v="-45410"/>
    <x v="1"/>
    <m/>
    <m/>
    <n v="22942.5"/>
  </r>
  <r>
    <n v="26"/>
    <s v="Catalago Electrónico"/>
    <x v="93"/>
    <n v="48"/>
    <x v="40"/>
    <s v="Lcda. Graciela"/>
    <s v="Pizarras, Lapices, Borrador,  pegamento en barra, Sacapuntas, Marcadores, Clips, Perforadoras, Engrapadoras, Grapas"/>
    <s v="Of. 041-ETNEM-SS-2024"/>
    <d v="2024-02-05T00:00:00"/>
    <s v="Of.058-CNS-SSRISS-2024"/>
    <d v="2024-02-23T00:00:00"/>
    <m/>
    <m/>
    <m/>
    <n v="20267.559999999998"/>
    <n v="-20267.559999999998"/>
    <x v="1"/>
    <m/>
    <m/>
    <n v="20267.559999999998"/>
  </r>
  <r>
    <n v="27"/>
    <s v="Catalago Electrónico"/>
    <x v="62"/>
    <n v="33"/>
    <x v="26"/>
    <s v="Lic. Nimrod"/>
    <s v="Papel Bond Tamaño oficio, carta, Folder carta, Folder Oficio."/>
    <s v="Of. 042-ETNEM-SS-2024"/>
    <d v="2024-02-05T00:00:00"/>
    <s v="Of.056-CNS-SSRISS-2024"/>
    <d v="2024-02-23T00:00:00"/>
    <m/>
    <m/>
    <m/>
    <n v="10810.92"/>
    <n v="-10810.92"/>
    <x v="1"/>
    <m/>
    <s v="Orden de Compra No.60-1-53-2595-2024"/>
    <n v="10810.92"/>
  </r>
  <r>
    <n v="28"/>
    <s v="Catalago Electrónico"/>
    <x v="88"/>
    <n v="47"/>
    <x v="39"/>
    <s v="Lic. Josias"/>
    <s v="Detergente, paños para limpieza, papel toalla Interfoliada (KLEENEX), papel toalla"/>
    <s v="Of. 199-DGRP-2024"/>
    <d v="2024-02-09T00:00:00"/>
    <s v="Of.57-CNS-SSRISS-2024"/>
    <d v="2024-02-23T00:00:00"/>
    <m/>
    <m/>
    <m/>
    <n v="1024.6500000000001"/>
    <n v="-1024.6500000000001"/>
    <x v="1"/>
    <m/>
    <s v="Confirmar si los 1,024.65 son los de VIH"/>
    <n v="1024.6500000000001"/>
  </r>
  <r>
    <n v="29"/>
    <s v="Compra Menor"/>
    <x v="95"/>
    <n v="67"/>
    <x v="41"/>
    <s v="Lcda. Graciela"/>
    <s v="Tubo, Fluorecente, extensión de tipo regleta, extensión, tomacorrientes"/>
    <s v="Of. 197-DGRP-2024"/>
    <d v="2024-02-09T00:00:00"/>
    <s v="Of.044-CNS-SSRISS-2024"/>
    <d v="2024-02-14T00:00:00"/>
    <m/>
    <m/>
    <m/>
    <n v="10000"/>
    <n v="-10000"/>
    <x v="5"/>
    <m/>
    <m/>
    <m/>
  </r>
  <r>
    <n v="30"/>
    <s v="Licitación Pública"/>
    <x v="56"/>
    <n v="31"/>
    <x v="24"/>
    <s v="Lic. Josias"/>
    <s v="Chalecos, gorras, gabachas, Camisetas"/>
    <s v="Of. 191-DGRP-2024"/>
    <d v="2024-02-12T00:00:00"/>
    <s v="Of. 091-CNS-SSRISS-2024"/>
    <d v="2024-03-07T00:00:00"/>
    <m/>
    <m/>
    <m/>
    <n v="2657500"/>
    <n v="-2657500"/>
    <x v="5"/>
    <s v="LPN 05-2024-SESAL"/>
    <s v="Se enviaron rectificaciones con Oficio No .150-CNS-SSRISS-2024"/>
    <m/>
  </r>
  <r>
    <n v="31"/>
    <s v="Catalago Electrónico"/>
    <x v="119"/>
    <n v="59"/>
    <x v="51"/>
    <s v="Lcda. Graciela"/>
    <s v="Computadora Escritorrio, Computadora portatil, impresora multifuncional (flujo continuo)"/>
    <s v="Of. 040-ETNEM-SS-2024"/>
    <d v="2024-02-05T00:00:00"/>
    <s v="Of. 060-CNS-SSRISS-2024"/>
    <d v="2024-02-23T00:00:00"/>
    <m/>
    <m/>
    <m/>
    <n v="393985"/>
    <n v="-393985"/>
    <x v="1"/>
    <m/>
    <s v="Orden de Compra No.60-1-53-2629-2024 y Orden de Compra No.60-1-53-2631-2024"/>
    <m/>
  </r>
  <r>
    <n v="32"/>
    <s v="Catalago Electrónico"/>
    <x v="122"/>
    <n v="60"/>
    <x v="52"/>
    <s v="Lcda. Graciela"/>
    <s v="Licencias de Office 13 unidades"/>
    <s v="Of. 070-ETNEM-SS-2024"/>
    <d v="2024-02-23T00:00:00"/>
    <s v="Of. 075-CNS-SSRISS-2024"/>
    <d v="2024-02-29T00:00:00"/>
    <m/>
    <m/>
    <m/>
    <n v="200000"/>
    <n v="-200000"/>
    <x v="6"/>
    <m/>
    <m/>
    <m/>
  </r>
  <r>
    <n v="33"/>
    <s v="Licitación Pública"/>
    <x v="80"/>
    <n v="42"/>
    <x v="35"/>
    <s v="Lic. Nimrod"/>
    <s v="compra de Diésel donde se adjunta cuadro de distribución"/>
    <s v="Of. 036-ETNEM-SS-2024"/>
    <d v="2024-02-22T00:00:00"/>
    <s v="Of. 066-CNS-SSRISS-2024"/>
    <d v="2024-02-27T00:00:00"/>
    <m/>
    <m/>
    <m/>
    <n v="1024072"/>
    <n v="-1024072"/>
    <x v="5"/>
    <m/>
    <m/>
    <m/>
  </r>
  <r>
    <n v="34"/>
    <s v="Licitación Pública"/>
    <x v="78"/>
    <n v="66"/>
    <x v="34"/>
    <s v="Lic. Nimrod"/>
    <s v="compra de Gasolina donde se adjunta cuadro de distribución"/>
    <s v="Of. 085-ETNEM-SS-2024"/>
    <d v="2024-02-22T00:00:00"/>
    <s v="Of. 067-CNS-SSRISS-2024"/>
    <d v="2024-02-27T00:00:00"/>
    <m/>
    <m/>
    <m/>
    <n v="1071788"/>
    <n v="-1071788"/>
    <x v="5"/>
    <m/>
    <m/>
    <m/>
  </r>
  <r>
    <n v="35"/>
    <s v="Compra Menor"/>
    <x v="51"/>
    <n v="27"/>
    <x v="22"/>
    <s v="Lcda. Graciela"/>
    <s v="Mesas, silllas, carpas, manteles, arreglo floral, coffe break, bebidas soda, botes de agua"/>
    <s v="Of. 310-DGRP-2024"/>
    <d v="2024-02-27T00:00:00"/>
    <s v="Of. 072-CNS-SSRISS-2024"/>
    <d v="2024-02-28T00:00:00"/>
    <m/>
    <m/>
    <m/>
    <n v="118910"/>
    <n v="-118910"/>
    <x v="1"/>
    <s v="Acta No. 0008-2024"/>
    <m/>
    <n v="118910"/>
  </r>
  <r>
    <n v="36"/>
    <s v="Catalago Electrónico"/>
    <x v="120"/>
    <n v="59"/>
    <x v="51"/>
    <s v="Lcda. Graciela"/>
    <s v="computadora de escritorio, computadora portatil, impresora multifuncional (flujo continuo)"/>
    <s v="Of. 311-DGRP-2024"/>
    <d v="2024-02-27T00:00:00"/>
    <s v="Of. 090-CNS-SSRISS-2024"/>
    <d v="2024-03-05T00:00:00"/>
    <m/>
    <m/>
    <m/>
    <n v="282353.11"/>
    <n v="-282353.11"/>
    <x v="1"/>
    <m/>
    <s v="Orden de Compra No.60-1-53-2681-2024 y Orden de Compra No.60-1-53-2697-2024"/>
    <m/>
  </r>
  <r>
    <n v="37"/>
    <s v="Catalago Electrónico"/>
    <x v="123"/>
    <n v="60"/>
    <x v="52"/>
    <s v="Lcda. Graciela"/>
    <s v="Licencias Zoom, Antivirus, Microsoft"/>
    <s v="Of. 312-DGRP-2024"/>
    <d v="2024-02-27T00:00:00"/>
    <s v="Of. 075-CNS-SSRISS-2024"/>
    <d v="2024-02-29T00:00:00"/>
    <m/>
    <m/>
    <m/>
    <n v="110047"/>
    <n v="-110047"/>
    <x v="6"/>
    <m/>
    <s v="Fracaso por no haber existencia"/>
    <m/>
  </r>
  <r>
    <n v="38"/>
    <s v="Licitación Pública"/>
    <x v="57"/>
    <n v="31"/>
    <x v="24"/>
    <s v="Lic. Josias"/>
    <s v="Chalecos, gabachas,"/>
    <s v="Of. 097-ETNEM-SS-2024"/>
    <d v="2024-03-04T00:00:00"/>
    <s v="Of. 091-CNS-SSRISS-2024"/>
    <d v="2024-03-07T00:00:00"/>
    <m/>
    <m/>
    <m/>
    <n v="0"/>
    <n v="0"/>
    <x v="5"/>
    <s v="LPN 05-2024-SESAL"/>
    <s v="Se enviaron rectificaciones con Oficio No .150-CNS-SSRISS-2024. Solo se deja el presupuesto pendiente en una de las solicitudes de malaria para no duplicar saldos"/>
    <m/>
  </r>
  <r>
    <n v="39"/>
    <s v="Licitación Pública"/>
    <x v="57"/>
    <n v="31"/>
    <x v="24"/>
    <s v="Lic. Josias"/>
    <s v="Chalecos, Camisetas, Gorras, Capotes, gabachas"/>
    <s v="Of. 051-ETNEM-SS-2024"/>
    <d v="2024-02-05T00:00:00"/>
    <s v="Of. 091-CNS-SSRISS-2024"/>
    <d v="2024-03-07T00:00:00"/>
    <m/>
    <m/>
    <m/>
    <n v="1331518"/>
    <n v="-1331518"/>
    <x v="5"/>
    <s v="LPN 05-2024-SESAL"/>
    <s v="Se enviaron rectificaciones con Oficio No .150-CNS-SSRISS-2024. Solo se deja el presupuesto pendiente en una de las solicitudes de malaria para no duplicar saldos"/>
    <m/>
  </r>
  <r>
    <n v="40"/>
    <s v="Licitación Pública"/>
    <x v="58"/>
    <n v="31"/>
    <x v="24"/>
    <s v="Lic. Josias"/>
    <s v="Chalecos"/>
    <s v="Of. 188-DGRP-2024"/>
    <d v="2024-02-08T00:00:00"/>
    <s v="Of. 091-CNS-SSRISS-2024"/>
    <d v="2024-03-07T00:00:00"/>
    <m/>
    <m/>
    <m/>
    <n v="1950000"/>
    <n v="-1950000"/>
    <x v="5"/>
    <s v="LPN 05-2024-SESAL"/>
    <s v="Se enviaron rectificaciones con Oficio No .150-CNS-SSRISS-2024"/>
    <m/>
  </r>
  <r>
    <n v="41"/>
    <s v="Licitación Pública"/>
    <x v="65"/>
    <n v="34"/>
    <x v="27"/>
    <s v="Lic. Josias"/>
    <s v="ML-1, ML-1 Modificado para los laboratorios regiionales, ML-2, MPDR Informe mensual de PDR, ML-6, M-0"/>
    <s v="Of. 071-ETNEM-SS-2024"/>
    <d v="2024-03-04T00:00:00"/>
    <s v="Of. 180-CNS-SSRISS-2024"/>
    <d v="2024-04-23T00:00:00"/>
    <m/>
    <m/>
    <m/>
    <n v="959000"/>
    <n v="-959000"/>
    <x v="5"/>
    <m/>
    <s v="Formularios ya se enviaon virtual"/>
    <m/>
  </r>
  <r>
    <n v="42"/>
    <s v="Licitación Pública"/>
    <x v="110"/>
    <n v="55"/>
    <x v="47"/>
    <s v="Lcda. Graciela"/>
    <s v="Aire acondicionado 36000 BTU, Aire acondicionado 60000"/>
    <s v="Of. 098-ETNEM-SS-2024"/>
    <d v="2024-03-04T00:00:00"/>
    <s v="Of. 168-CNS-SRISS-2024"/>
    <d v="2024-04-22T00:00:00"/>
    <m/>
    <m/>
    <m/>
    <n v="0"/>
    <n v="0"/>
    <x v="5"/>
    <m/>
    <s v="Solo se deja el presupuesto pendiente en una de las solicitudes de malaria para no duplicar saldos"/>
    <m/>
  </r>
  <r>
    <n v="43"/>
    <s v="Catalago Electrónico"/>
    <x v="89"/>
    <n v="47"/>
    <x v="39"/>
    <s v="Lcda. Graciela"/>
    <s v="Papel Higienico, Papel toalla, Jabon liquido de mano, limpiador de vidrios, limpiador liquido para muebles de oficina, escoba recogedor, trapeadores, palo de repuesto de trapeador, mechas de trapeador, toallas humedas desinfectantes, lavaplatos detergente en liquido, detergente en polvo, desinfectante en liquido, cloro, lavaplatos en crema, toalla de tela para cocina, aromatizante en aerosol, guantes de latex para limpieza, esponja para de fibra lavaplatos"/>
    <s v="Of. 092-ETNEM-SS-2024"/>
    <d v="2024-03-04T00:00:00"/>
    <s v="Of. 120-CNS-SSRISS-2024"/>
    <d v="2024-03-19T00:00:00"/>
    <m/>
    <m/>
    <m/>
    <n v="470316"/>
    <n v="-470316"/>
    <x v="5"/>
    <m/>
    <s v="Se hizo enmienda mediante Oficio 181-CNS-SSRISS-2024"/>
    <m/>
  </r>
  <r>
    <n v="44"/>
    <s v="Catalago Electrónico"/>
    <x v="89"/>
    <n v="47"/>
    <x v="39"/>
    <s v="Lcda. Graciela"/>
    <s v="Aceite de pino, Asistin, baldes, bolsas para basura, basureros, cloro, desinfectante ambiental, desodorante ambiental, escobas, jabon para labar losa, jabon liquido, desinfectante para superficies, mecha de trapeador, papel toalla absorvente, pastillas para baño, recogedor de basura"/>
    <s v="Of. 095-ETNEM-SS-2024"/>
    <d v="2024-03-04T00:00:00"/>
    <s v="Of. 120-CNS-SSRISS-2024"/>
    <d v="2024-03-19T00:00:00"/>
    <m/>
    <m/>
    <m/>
    <m/>
    <n v="0"/>
    <x v="5"/>
    <m/>
    <s v="Solo se deja el presupuesto pendiente en una de las solicitudes de malaria para no duplicar saldos. Se hizo enmienda mediante Oficio 181-CNS-SSRISS-2024"/>
    <m/>
  </r>
  <r>
    <n v="45"/>
    <s v="Catalago Electrónico"/>
    <x v="93"/>
    <n v="48"/>
    <x v="40"/>
    <s v="Lic. Nimrod"/>
    <s v="Opalina Lineal Blanco, Acetatos para laminar"/>
    <s v="Of. 107-ETNEM-SS-2024"/>
    <d v="2024-03-04T00:00:00"/>
    <m/>
    <m/>
    <m/>
    <m/>
    <m/>
    <n v="691300"/>
    <n v="-691300"/>
    <x v="4"/>
    <m/>
    <s v="regresarlos por incorrección de clasificación"/>
    <m/>
  </r>
  <r>
    <n v="46"/>
    <s v="Catalago Electrónico"/>
    <x v="122"/>
    <n v="60"/>
    <x v="52"/>
    <s v="Lcda. Graciela"/>
    <s v="Licencias de Office 10 unidades, Antivirus Kaspersky"/>
    <s v="Of. 096-ETNEM-SS-2024"/>
    <d v="2024-03-04T00:00:00"/>
    <m/>
    <m/>
    <m/>
    <m/>
    <m/>
    <n v="0"/>
    <n v="0"/>
    <x v="4"/>
    <m/>
    <s v="sin valor y efecto por que sie habia incluido la marca del antivirus en la solicitud"/>
    <m/>
  </r>
  <r>
    <n v="47"/>
    <s v="Compra Menor"/>
    <x v="107"/>
    <n v="54"/>
    <x v="46"/>
    <s v="Lic. Josias"/>
    <s v="Silla Secretarial, Archiveros metalicos, mesa de usos multiples pequeñoa"/>
    <s v="Of. 039-ETNEM-SS-2024"/>
    <d v="2024-02-19T00:00:00"/>
    <s v="Of. 154-CNS-SSRISS-2024"/>
    <d v="2024-04-22T00:00:00"/>
    <m/>
    <m/>
    <m/>
    <n v="200000"/>
    <n v="-200000"/>
    <x v="5"/>
    <s v=" SESAL-CM-GC-0120-2024"/>
    <m/>
    <m/>
  </r>
  <r>
    <n v="48"/>
    <s v="Compra Menor"/>
    <x v="37"/>
    <n v="20"/>
    <x v="16"/>
    <s v="Lic. Josias"/>
    <s v="Transporte de varios "/>
    <s v="Of. 108-ETNEM-SS-2024"/>
    <d v="2024-03-05T00:00:00"/>
    <s v="Of. 095-CNS-SSRISS-2024"/>
    <d v="2024-03-07T00:00:00"/>
    <m/>
    <m/>
    <m/>
    <n v="100000"/>
    <n v="-100000"/>
    <x v="5"/>
    <m/>
    <m/>
    <m/>
  </r>
  <r>
    <n v="49"/>
    <s v="Compra Menor"/>
    <x v="25"/>
    <n v="14"/>
    <x v="12"/>
    <s v="Lic. Josias"/>
    <s v="Reparación y mejoras de las areas de los laboratorios de VIH, Malaria y TB"/>
    <s v="Of. 370-UVS-2024"/>
    <d v="2024-03-11T00:00:00"/>
    <s v="Of. 110-CNS-SSRISS-2024"/>
    <d v="2024-03-14T00:00:00"/>
    <m/>
    <m/>
    <m/>
    <n v="3498345"/>
    <n v="-3498345"/>
    <x v="5"/>
    <s v="SESAL-CM-GC-0145-2024"/>
    <m/>
    <m/>
  </r>
  <r>
    <n v="50"/>
    <s v="Compra Menor"/>
    <x v="26"/>
    <n v="14"/>
    <x v="12"/>
    <s v="Lic. Josias"/>
    <s v="Reparación y mejoras de las areas de los laboratorios de VIH, Malaria y TB"/>
    <s v="Of. 370-UVS-2024"/>
    <d v="2024-03-11T00:00:00"/>
    <s v="Of. 110-CNS-SSRISS-2024"/>
    <d v="2024-03-14T00:00:00"/>
    <m/>
    <m/>
    <m/>
    <n v="569656"/>
    <n v="-569656"/>
    <x v="5"/>
    <s v="SESAL-CM-GC-0145-2024"/>
    <m/>
    <m/>
  </r>
  <r>
    <n v="51"/>
    <s v="Compra Menor"/>
    <x v="27"/>
    <n v="14"/>
    <x v="12"/>
    <s v="Lic. Josias"/>
    <s v="Reparación y mejoras de las areas de los laboratorios de VIH, Malaria y TB"/>
    <s v="Of. 370-UVS-2024"/>
    <d v="2024-03-11T00:00:00"/>
    <s v="Of. 110-CNS-SSRISS-2024"/>
    <d v="2024-03-14T00:00:00"/>
    <m/>
    <m/>
    <m/>
    <n v="400000"/>
    <n v="-400000"/>
    <x v="5"/>
    <s v="SESAL-CM-GC-0145-2024"/>
    <m/>
    <m/>
  </r>
  <r>
    <n v="52"/>
    <s v="Catalago Electrónico"/>
    <x v="122"/>
    <n v="60"/>
    <x v="52"/>
    <s v="Lcda. Graciela"/>
    <s v="Licencias para OfficeMicrosoft 365, Antivirus"/>
    <s v="Of. 096-ETNEM-2024"/>
    <d v="2024-03-14T00:00:00"/>
    <s v="Of. 123-CNS-SSRISS-2024"/>
    <d v="2024-03-19T00:00:00"/>
    <m/>
    <m/>
    <m/>
    <n v="0"/>
    <n v="0"/>
    <x v="6"/>
    <m/>
    <s v="se envio adhesión para adquirir licrncias microsoft"/>
    <m/>
  </r>
  <r>
    <n v="53"/>
    <s v="Catalago Electrónico"/>
    <x v="61"/>
    <n v="33"/>
    <x v="26"/>
    <s v="Lic. Josias"/>
    <s v="Folder manila, Post-it 3M, Leitz, Cuaderno Unico, Papel, Sobres Manila, Papel Bond"/>
    <s v="Of. 365-DGRP-2024"/>
    <d v="2024-03-06T00:00:00"/>
    <s v="Of.115-CNS-SSRISS-2024"/>
    <d v="2024-03-18T00:00:00"/>
    <m/>
    <m/>
    <m/>
    <n v="24319.624999999996"/>
    <n v="-24319.624999999996"/>
    <x v="1"/>
    <m/>
    <s v="Según orden de compra N° 2686-2024"/>
    <n v="24319.624999999996"/>
  </r>
  <r>
    <n v="54"/>
    <s v="Catalago Electrónico"/>
    <x v="60"/>
    <n v="33"/>
    <x v="26"/>
    <s v="Lic. Josias"/>
    <s v="papel y carton varios para la cooordinación"/>
    <m/>
    <m/>
    <s v="Of.115-CNS-SSRISS-2024"/>
    <d v="2024-03-18T00:00:00"/>
    <m/>
    <m/>
    <m/>
    <n v="29441.724999999999"/>
    <n v="-29441.724999999999"/>
    <x v="1"/>
    <m/>
    <s v="Según orden de compra N° 2686-2024"/>
    <n v="29441.724999999999"/>
  </r>
  <r>
    <n v="55"/>
    <s v="Catalago Electrónico"/>
    <x v="91"/>
    <n v="48"/>
    <x v="40"/>
    <s v="Lic. Nimrod"/>
    <s v="utiles varios de oficina para la cooordinación"/>
    <m/>
    <m/>
    <s v="Of.117-CNS-SSRISS-2024"/>
    <d v="2024-03-18T00:00:00"/>
    <m/>
    <m/>
    <m/>
    <n v="3759.73"/>
    <n v="-3759.73"/>
    <x v="1"/>
    <m/>
    <m/>
    <n v="3759.73"/>
  </r>
  <r>
    <n v="56"/>
    <s v="Catalago Electrónico"/>
    <x v="113"/>
    <n v="61"/>
    <x v="49"/>
    <s v="Lic. Josias"/>
    <s v="Pick Up y Camionsito"/>
    <s v="Of. 083-ETNEM-2024"/>
    <d v="2024-02-22T00:00:00"/>
    <s v="Of.074-CNS-SSRISS-2024"/>
    <d v="2024-03-19T00:00:00"/>
    <m/>
    <m/>
    <m/>
    <n v="1737113"/>
    <n v="-1737113"/>
    <x v="5"/>
    <m/>
    <m/>
    <m/>
  </r>
  <r>
    <n v="57"/>
    <s v="Compra Menor"/>
    <x v="42"/>
    <n v="24"/>
    <x v="18"/>
    <s v="Lic. Josias"/>
    <s v="Pasajes para viajar a Gracias a Dios y las islas de Roatán"/>
    <s v="Of. 129-ETNEM-2024"/>
    <d v="2024-03-20T00:00:00"/>
    <s v="Of.125-CNS-SSRISS-2024"/>
    <d v="2024-03-21T00:00:00"/>
    <m/>
    <m/>
    <m/>
    <n v="57934"/>
    <n v="-57934"/>
    <x v="1"/>
    <m/>
    <m/>
    <m/>
  </r>
  <r>
    <n v="58"/>
    <s v="Compra Menor"/>
    <x v="47"/>
    <n v="25"/>
    <x v="20"/>
    <s v="Lic. Josias"/>
    <m/>
    <m/>
    <m/>
    <m/>
    <m/>
    <m/>
    <m/>
    <m/>
    <n v="688200"/>
    <n v="-688200"/>
    <x v="4"/>
    <m/>
    <s v="Se devolvio por que habia muchas cosas por corregir"/>
    <m/>
  </r>
  <r>
    <n v="59"/>
    <s v="Catalago Electrónico"/>
    <x v="92"/>
    <n v="48"/>
    <x v="40"/>
    <s v="Lic. Nimrod"/>
    <s v="Lapices, marcadores, grapas, perforadoras, engrapadoras"/>
    <s v="Of. 564-DGRP-2024"/>
    <d v="2024-04-03T00:00:00"/>
    <s v="Of.141-CNS-SSRISS-2024"/>
    <d v="2024-04-04T00:00:00"/>
    <m/>
    <m/>
    <m/>
    <n v="227654.87"/>
    <n v="-227654.87"/>
    <x v="1"/>
    <m/>
    <m/>
    <n v="225683.8"/>
  </r>
  <r>
    <n v="60"/>
    <s v="Catalago Electrónico"/>
    <x v="63"/>
    <n v="33"/>
    <x v="26"/>
    <s v="Lic. Nimrod"/>
    <s v="Folders, cartoncillo, cartulina, papel bond, leitz"/>
    <s v="Of. 434-DGRP-2024"/>
    <d v="2024-04-03T00:00:00"/>
    <s v="Of.142-CNS-SSRISS-2024"/>
    <d v="2024-04-04T00:00:00"/>
    <m/>
    <m/>
    <m/>
    <n v="31274.78"/>
    <n v="-31274.78"/>
    <x v="1"/>
    <m/>
    <s v="Orden de Compra N° 60-1-53-2693-2024 "/>
    <n v="31274.78"/>
  </r>
  <r>
    <n v="61"/>
    <s v="Compra Menor"/>
    <x v="47"/>
    <n v="25"/>
    <x v="20"/>
    <s v="Lcda. Graciela"/>
    <s v="Viaticos para gira de Gracias a Dios e Islas de la bahía "/>
    <s v="Of. 128-ETNEM-2024"/>
    <d v="2024-04-04T00:00:00"/>
    <s v="Of.146-CNS-SSRISS-2024"/>
    <d v="2024-04-08T00:00:00"/>
    <m/>
    <m/>
    <m/>
    <n v="688200"/>
    <n v="-688200"/>
    <x v="3"/>
    <m/>
    <s v="Solicitud de viaticos corregida. Fracasado por falta de documentación necesaria para gestión del proceso."/>
    <m/>
  </r>
  <r>
    <n v="62"/>
    <s v="Compra Menor"/>
    <x v="42"/>
    <n v="24"/>
    <x v="18"/>
    <s v="Lcda. Graciela"/>
    <s v="Pasajes para gira de Gracias a Dios e Islas de la bahía "/>
    <s v="Of. 135-ETNEM-2024"/>
    <d v="2024-04-04T00:00:00"/>
    <m/>
    <m/>
    <m/>
    <m/>
    <m/>
    <n v="0"/>
    <n v="0"/>
    <x v="4"/>
    <m/>
    <s v="(se deja en &quot;0&quot; para no duplicar montos en el reporte)"/>
    <m/>
  </r>
  <r>
    <n v="63"/>
    <s v="Catalago Electrónico"/>
    <x v="104"/>
    <n v="52"/>
    <x v="45"/>
    <s v="Lic. Josias"/>
    <s v="Juegos de tintas 664, juegos de tintas BT 5001, Tinta BT D60, Juegos de tintas 544, juegos de tintas GI 190, toner #83A-83X, Toner#GPR-67, Toner #49A, Toner #GPR-35, memoria USB"/>
    <s v="Of. 575-DGRP-2024"/>
    <d v="2024-04-04T00:00:00"/>
    <s v="Of.151-CNS-SSRISS-2024"/>
    <d v="2024-04-12T00:00:00"/>
    <m/>
    <m/>
    <m/>
    <n v="0"/>
    <n v="0"/>
    <x v="5"/>
    <s v="SESAL-CE-GC-0069-2024"/>
    <s v="O/C. No. 60-1-53-2746 -2024, No. 60-1-53-2727-2024, No. 60-1-53-2747-2024, No. 60-1-53-2730 -2024"/>
    <m/>
  </r>
  <r>
    <n v="64"/>
    <s v="Catalago Electrónico"/>
    <x v="106"/>
    <n v="52"/>
    <x v="45"/>
    <s v="Lcda. Graciela"/>
    <s v="tintas"/>
    <s v="Of. 436-DGRP-2024"/>
    <d v="2024-04-09T00:00:00"/>
    <s v="Of.151-CNS-SSRISS-2024"/>
    <d v="2024-04-12T00:00:00"/>
    <m/>
    <m/>
    <m/>
    <n v="0"/>
    <n v="0"/>
    <x v="5"/>
    <s v="SESAL-CE-GC-0069-2024"/>
    <s v="O/C. No. 60-1-53-2746 -2024, No. 60-1-53-2727-2024, No. 60-1-53-2747-2024, No. 60-1-53-2730 -2024"/>
    <m/>
  </r>
  <r>
    <n v="65"/>
    <s v="Catalago Electrónico"/>
    <x v="94"/>
    <n v="48"/>
    <x v="40"/>
    <s v="Lic. Nimrod"/>
    <s v="utiles varios de oficina"/>
    <s v="Of. 435-DGRP-2024"/>
    <d v="2024-04-09T00:00:00"/>
    <s v="Of.155-CNS-SSRISS-2024"/>
    <d v="2024-04-12T00:00:00"/>
    <m/>
    <m/>
    <m/>
    <n v="9661.6"/>
    <n v="-9661.6"/>
    <x v="1"/>
    <m/>
    <m/>
    <n v="9661.6"/>
  </r>
  <r>
    <n v="66"/>
    <s v="Compra Menor"/>
    <x v="108"/>
    <n v="54"/>
    <x v="46"/>
    <s v="Lic. Josias"/>
    <s v="Archivo, escritorio, silla, armario, silla, banco, "/>
    <s v="Of. 593-DGRP-2024"/>
    <d v="2024-04-09T00:00:00"/>
    <s v="Of. 154-CNS-SSRISS-2024"/>
    <d v="2024-04-22T00:00:00"/>
    <m/>
    <m/>
    <m/>
    <n v="100000"/>
    <n v="-100000"/>
    <x v="5"/>
    <s v=" SESAL-CM-GC-0120-2024"/>
    <m/>
    <m/>
  </r>
  <r>
    <n v="67"/>
    <s v="Compra Menor"/>
    <x v="105"/>
    <n v="52"/>
    <x v="45"/>
    <s v="Lcda. Graciela"/>
    <s v="Discos delanteros"/>
    <s v="Of. 153-ETNEM-2024"/>
    <d v="2024-04-05T00:00:00"/>
    <s v="Of. 208-CNS-SSRISS-2024"/>
    <d v="2024-05-10T00:00:00"/>
    <m/>
    <m/>
    <m/>
    <n v="0"/>
    <n v="0"/>
    <x v="5"/>
    <m/>
    <s v="Se deja un solo valor por que ya hay una solicitud de compra de tintas "/>
    <m/>
  </r>
  <r>
    <n v="68"/>
    <s v="Catalago Electrónico"/>
    <x v="90"/>
    <n v="47"/>
    <x v="39"/>
    <s v="Lcda. Graciela"/>
    <s v="Cloro, detergente, cepillo, detergente liquido neutro PH7"/>
    <s v="Of. 628-DGRP-2024"/>
    <d v="2024-04-11T00:00:00"/>
    <s v="Of. 166-CNS-SSRISS-2024"/>
    <d v="2024-04-15T00:00:00"/>
    <m/>
    <m/>
    <m/>
    <n v="1950"/>
    <n v="-1950"/>
    <x v="1"/>
    <m/>
    <m/>
    <n v="1950"/>
  </r>
  <r>
    <n v="69"/>
    <s v="Compra Directa"/>
    <x v="99"/>
    <n v="50"/>
    <x v="43"/>
    <s v="Dra. Jessy"/>
    <s v="Jeringas"/>
    <s v="Of. 213-JLNV-2024"/>
    <d v="2024-04-11T00:00:00"/>
    <m/>
    <m/>
    <m/>
    <m/>
    <m/>
    <n v="48000"/>
    <n v="-48000"/>
    <x v="4"/>
    <m/>
    <s v="quedo sin valor y efecto"/>
    <m/>
  </r>
  <r>
    <n v="70"/>
    <s v="Catalago Electrónico"/>
    <x v="113"/>
    <n v="61"/>
    <x v="49"/>
    <s v="Lic. Josias"/>
    <s v="adención de vehiculo mas una motocicleta"/>
    <s v="Of. 162-ETNEM-2024"/>
    <d v="2024-04-11T00:00:00"/>
    <s v="Of. 164-CNS-SSRISS-2024"/>
    <d v="2024-04-12T00:00:00"/>
    <m/>
    <m/>
    <m/>
    <n v="0"/>
    <n v="0"/>
    <x v="5"/>
    <m/>
    <s v="adención de vehiculo mas una motocicleta al oficio 074-CNS-SSRISS-2024"/>
    <m/>
  </r>
  <r>
    <n v="71"/>
    <s v="Licitación Pública"/>
    <x v="64"/>
    <n v="34"/>
    <x v="27"/>
    <s v="Lic. Josias"/>
    <s v="Manuales, lineamientos,Plan metodologoico,  diagramación diseño e impresión"/>
    <s v="Of. 619-DGRP-2024"/>
    <s v="10/4/204"/>
    <s v="Of. 180-CNS-SSRISS-2024"/>
    <d v="2024-04-23T00:00:00"/>
    <m/>
    <m/>
    <m/>
    <n v="2708000"/>
    <n v="-2708000"/>
    <x v="5"/>
    <m/>
    <m/>
    <m/>
  </r>
  <r>
    <n v="72"/>
    <s v="Compra Directa"/>
    <x v="74"/>
    <n v="37"/>
    <x v="31"/>
    <s v="Dra. Jessy"/>
    <s v="Biolne malaria AG P.F/P.V Rapid Test kid, 25 T/KIT ( CAT# 05FK83)"/>
    <s v="Of. 231-JLNV-2024"/>
    <d v="2024-04-18T00:00:00"/>
    <s v="Of. 170-CNS-SSRISS-2024"/>
    <d v="2024-04-18T00:00:00"/>
    <m/>
    <m/>
    <m/>
    <n v="4098337.95"/>
    <n v="-4098337.95"/>
    <x v="1"/>
    <m/>
    <s v="Numero de requerimiento,  REQ24-00002044 con un monto de USD 165,926.88 (L 4,098,337.95)"/>
    <n v="4098337.95"/>
  </r>
  <r>
    <n v="73"/>
    <s v="Compra Directa"/>
    <x v="75"/>
    <n v="37"/>
    <x v="31"/>
    <s v="Dra. Jessy"/>
    <s v="Cartucho Cartucho Xpert MTB RIF Ultra_x000a_Cartucho Cartucho Xpert MTB XDR"/>
    <s v="Of. 230-JLNV-2024"/>
    <d v="2024-04-18T00:00:00"/>
    <s v="Of. 169-CNS-SSRISS-2024"/>
    <d v="2024-04-18T00:00:00"/>
    <m/>
    <m/>
    <m/>
    <n v="4908003.58"/>
    <n v="-4908003.58"/>
    <x v="1"/>
    <m/>
    <s v="Numero de requerimiento,  REQ24-00003243 con un monto de USD 198,645.25 (L 4,906,493.63)"/>
    <n v="4908003.58"/>
  </r>
  <r>
    <n v="74"/>
    <s v="Compra Menor"/>
    <x v="109"/>
    <n v="55"/>
    <x v="47"/>
    <s v="Lic. Josias"/>
    <s v="Guillotina, encuadernadora, Ventilador, Triturador de papel"/>
    <s v="Of. 668-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5"/>
    <s v="Compra Menor"/>
    <x v="111"/>
    <n v="55"/>
    <x v="47"/>
    <s v="Lic. Josias"/>
    <s v="Aire acondicionado 36000 BTU encuadernadora"/>
    <s v="Of. 603-DGRP-2024"/>
    <d v="2024-04-18T00:00:00"/>
    <s v="Of. 168-CNS-SSRISS-2024"/>
    <d v="2024-04-22T00:00:00"/>
    <m/>
    <m/>
    <m/>
    <n v="100000"/>
    <n v="-100000"/>
    <x v="5"/>
    <m/>
    <s v="Solo se deja el presupuesto pendiente en una de las solicitudes de malaria para no duplicar saldos. Oficio 2380-2024-GA ( Aires acondicionados) 2381-2024-GA (Fotocopiadora) 2382-2024-GA (Aspiradora ventiladores trituradora, encuadernadora)"/>
    <m/>
  </r>
  <r>
    <n v="76"/>
    <s v="Compra Menor"/>
    <x v="99"/>
    <n v="50"/>
    <x v="43"/>
    <s v="Dra. Jessy"/>
    <s v="Jeringas"/>
    <s v="Of. 213-JLNV-2024"/>
    <d v="2024-04-24T00:00:00"/>
    <s v="Of. 185-CNS-SSRISS-2024"/>
    <d v="2024-04-24T00:00:00"/>
    <m/>
    <m/>
    <m/>
    <n v="48000"/>
    <n v="-48000"/>
    <x v="5"/>
    <m/>
    <m/>
    <m/>
  </r>
  <r>
    <n v="77"/>
    <s v="Compra Menor"/>
    <x v="88"/>
    <n v="47"/>
    <x v="39"/>
    <s v="Dra. Lucy"/>
    <s v="Detergente, paños para limpieza, papel toalla Interfoliada (KLEENEX), papel toalla"/>
    <s v="Of. 245-JLNV-2024"/>
    <d v="2024-04-24T00:00:00"/>
    <s v="Of. 186-CNS-SSRISS-2024"/>
    <d v="2024-04-29T00:00:00"/>
    <m/>
    <m/>
    <m/>
    <n v="1024.6500000000001"/>
    <n v="-1024.6500000000001"/>
    <x v="1"/>
    <m/>
    <s v="Pendiente de espera de resolución del proceso de febrero"/>
    <n v="1024.6500000000001"/>
  </r>
  <r>
    <n v="78"/>
    <s v="Compra Menor"/>
    <x v="88"/>
    <n v="47"/>
    <x v="39"/>
    <s v="Lic. Nimrod"/>
    <s v="Detergente, paños para limpieza, papel toalla Interfoliada (KLEENEX), papel toalla"/>
    <s v="Of. 217-JLNV-2024"/>
    <d v="2024-04-11T00:00:00"/>
    <m/>
    <m/>
    <m/>
    <m/>
    <m/>
    <n v="0"/>
    <n v="0"/>
    <x v="4"/>
    <m/>
    <s v="quedo sin valor y efecto"/>
    <m/>
  </r>
  <r>
    <n v="79"/>
    <s v="Compra Directa"/>
    <x v="96"/>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991426.6144082528"/>
    <n v="-3991426.6144082528"/>
    <x v="5"/>
    <m/>
    <s v="Se requiere de autorización de compra directa por parte de la ministra"/>
    <m/>
  </r>
  <r>
    <n v="80"/>
    <s v="Compra Directa"/>
    <x v="97"/>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4370472.7589356275"/>
    <n v="-4370472.7589356275"/>
    <x v="5"/>
    <m/>
    <s v="Se requiere de autorización de compra directa por parte de la ministra"/>
    <m/>
  </r>
  <r>
    <n v="81"/>
    <s v="Compra Directa"/>
    <x v="98"/>
    <n v="49"/>
    <x v="42"/>
    <s v="Dra. Lucy"/>
    <s v="Placas petri, Bolsas para estiriliazar, magnetos de agitación , puntas, papel para film, tubos conicos viales, ubos al vacio, cronometro digital, termometros de verificación de ultracongeladores, puente o soporte de coloración de laminas portaobjetos, frascos esteriles algodon, laminas porta objetos, guantes"/>
    <s v="Of. 240-JLNV-2024"/>
    <d v="2024-04-25T00:00:00"/>
    <s v="Of. 193-CNS-SSRISS"/>
    <d v="2024-05-06T00:00:00"/>
    <m/>
    <m/>
    <m/>
    <n v="3273278.5466561196"/>
    <n v="-3273278.5466561196"/>
    <x v="5"/>
    <m/>
    <s v="Se requiere de autorización de compra directa por parte de la ministra"/>
    <m/>
  </r>
  <r>
    <n v="82"/>
    <s v="Compra Directa"/>
    <x v="100"/>
    <n v="51"/>
    <x v="44"/>
    <s v="Dra. Lucy"/>
    <s v="Mascarillas , botas quirurgicas, cinta testigo, aplicadores, guantes, batas, caretas protectoras, gorro quirurgico, cubrezapatos, bolsas de bioseguridad, tubos conicos"/>
    <s v="Of. 242-JLNV-2024"/>
    <d v="2024-04-25T00:00:00"/>
    <s v="Of. 194-CNS-SSRISS"/>
    <d v="2024-05-06T00:00:00"/>
    <m/>
    <m/>
    <m/>
    <n v="1675818.1006739326"/>
    <n v="-1675818.1006739326"/>
    <x v="5"/>
    <m/>
    <s v="Se requiere de autorización de compra directa por parte de la ministra. Y en busqueda del expediente mencionado en el oficio"/>
    <m/>
  </r>
  <r>
    <n v="83"/>
    <s v="Compra Directa"/>
    <x v="101"/>
    <n v="51"/>
    <x v="44"/>
    <s v="Dra. Lucy"/>
    <s v="Mascarillas , botas quirurgicas, cinta testigo, aplicadores, guantes, batas, caretas protectoras, gorro quirurgico, cubrezapatos, bolsas de bioseguridad, tubos conicos"/>
    <s v="Of. 242-JLNV-2024"/>
    <d v="2024-04-25T00:00:00"/>
    <s v="Of. 194-CNS-SSRISS"/>
    <d v="2024-05-06T00:00:00"/>
    <m/>
    <m/>
    <m/>
    <n v="3690925.9968994781"/>
    <n v="-3690925.9968994781"/>
    <x v="5"/>
    <m/>
    <s v="Se requiere de autorización de compra directa por parte de la ministra. Y en busqueda del expediente mencionado en el oficio"/>
    <m/>
  </r>
  <r>
    <n v="84"/>
    <s v="Compra Directa"/>
    <x v="102"/>
    <n v="51"/>
    <x v="44"/>
    <s v="Dra. Lucy"/>
    <s v="Mascarillas , botas quirurgicas, cinta testigo, aplicadores, guantes, batas, caretas protectoras, gorro quirurgico, cubrezapatos, bolsas de bioseguridad, tubos conicos"/>
    <s v="Of. 242-JLNV-2024"/>
    <d v="2024-04-25T00:00:00"/>
    <s v="Of. 194-CNS-SSRISS"/>
    <d v="2024-05-06T00:00:00"/>
    <m/>
    <m/>
    <m/>
    <n v="277971.04242658988"/>
    <n v="-277971.04242658988"/>
    <x v="5"/>
    <m/>
    <s v="Se requiere de autorización de compra directa por parte de la ministra. Y en busqueda del expediente mencionado en el oficio"/>
    <m/>
  </r>
  <r>
    <n v="85"/>
    <s v="Compra Directa"/>
    <x v="74"/>
    <n v="37"/>
    <x v="31"/>
    <s v="Dra. Lucy"/>
    <s v="Reactivos malaria"/>
    <s v="Of. 238-JLNV-2024"/>
    <d v="2024-04-24T00:00:00"/>
    <s v="Of. 187-CNS-SSRISS-2024"/>
    <d v="2024-05-13T00:00:00"/>
    <m/>
    <m/>
    <m/>
    <n v="7911920.0499999998"/>
    <n v="-7911920.0499999998"/>
    <x v="5"/>
    <m/>
    <s v="Se requiere de autorización de compra directa por parte de la ministra. Se requiere justificación en hojas aparte por solicitud de items con marcas 26, 29, 51, 72"/>
    <m/>
  </r>
  <r>
    <n v="86"/>
    <s v="Compra Directa"/>
    <x v="75"/>
    <n v="37"/>
    <x v="31"/>
    <s v="Dra. Lucy"/>
    <s v="Reactivos TB"/>
    <s v="Of. 238-JLNV-2024"/>
    <d v="2024-04-24T00:00:00"/>
    <s v="Of. 187-CNS-SSRISS-2024"/>
    <d v="2024-05-13T00:00:00"/>
    <m/>
    <m/>
    <m/>
    <n v="6010867.4199999999"/>
    <n v="-6010867.4199999999"/>
    <x v="5"/>
    <m/>
    <s v="Se requiere de autorización de compra directa por parte de la ministra. Se requiere justificación en hojas aparte por solicitud de items con marcas 26, 29, 51, 72"/>
    <m/>
  </r>
  <r>
    <n v="87"/>
    <s v="Compra Directa"/>
    <x v="76"/>
    <n v="40"/>
    <x v="32"/>
    <s v="Dra. Lucy"/>
    <s v="Reactivos VIH"/>
    <s v="Of. 239-JLNV-2024"/>
    <d v="2024-04-18T00:00:00"/>
    <s v="Of. 181-CNS-SSRISS-2024"/>
    <d v="2024-04-29T00:00:00"/>
    <m/>
    <m/>
    <m/>
    <n v="45215293.5"/>
    <n v="-45215293.5"/>
    <x v="5"/>
    <m/>
    <s v="Se requiere de autorización de compra directa por parte de la ministra. Pendiente justificaciones mismas que se recibieron el 24/4/2024. se pidio la aotorización mediante Of. 189-CNS-SSRISS-2024"/>
    <m/>
  </r>
  <r>
    <n v="88"/>
    <s v="Compra Directa"/>
    <x v="53"/>
    <n v="29"/>
    <x v="23"/>
    <s v="Dra. Lucy"/>
    <s v="Leches "/>
    <s v="Of. 442-2024-ULMI"/>
    <d v="2024-05-10T00:00:00"/>
    <s v="Of. 220-CNS-SSRISS-2024"/>
    <d v="2024-05-16T00:00:00"/>
    <m/>
    <m/>
    <m/>
    <n v="6465825"/>
    <n v="-6465825"/>
    <x v="5"/>
    <m/>
    <m/>
    <m/>
  </r>
  <r>
    <n v="89"/>
    <s v="Compra Menor"/>
    <x v="121"/>
    <n v="60"/>
    <x v="52"/>
    <s v="Lcda. Graciela"/>
    <s v="Licencias de zoom, antivirus y Office"/>
    <s v="Of. 089-DGRP-2024"/>
    <d v="2024-01-23T00:00:00"/>
    <s v="Of. 214-CNS-SSRISS-2024"/>
    <d v="2024-05-14T00:00:00"/>
    <m/>
    <m/>
    <m/>
    <n v="200000"/>
    <n v="-200000"/>
    <x v="5"/>
    <m/>
    <m/>
    <m/>
  </r>
  <r>
    <n v="90"/>
    <s v="Compra Menor"/>
    <x v="122"/>
    <n v="60"/>
    <x v="52"/>
    <s v="Lcda. Graciela"/>
    <s v="Licencias de Office 13 unidades"/>
    <s v="Of. 070-ETNEM-SS-2024"/>
    <d v="2024-02-23T00:00:00"/>
    <s v="Of. 214-CNS-SSRISS-2024"/>
    <d v="2024-05-14T00:00:00"/>
    <m/>
    <m/>
    <m/>
    <m/>
    <n v="0"/>
    <x v="5"/>
    <m/>
    <s v="Se deja en 0 por que ya hay una solicitud en proceso y no duplicar datos"/>
    <m/>
  </r>
  <r>
    <n v="91"/>
    <s v="Compra Menor"/>
    <x v="123"/>
    <n v="60"/>
    <x v="52"/>
    <s v="Lcda. Graciela"/>
    <s v="Licencias Zoom, Antivirus, Microsoft"/>
    <s v="Of. 312-DGRP-2024"/>
    <d v="2024-02-27T00:00:00"/>
    <s v="Of. 214-CNS-SSRISS-2024"/>
    <d v="2024-05-14T00:00:00"/>
    <m/>
    <m/>
    <m/>
    <n v="110047"/>
    <n v="-110047"/>
    <x v="5"/>
    <m/>
    <m/>
    <m/>
  </r>
  <r>
    <n v="92"/>
    <s v="Compra Menor"/>
    <x v="122"/>
    <n v="60"/>
    <x v="52"/>
    <s v="Lcda. Graciela"/>
    <s v="Licencias para OfficeMicrosoft 365, Antivirus"/>
    <s v="Of. 096-ETNEM-SS-2024"/>
    <d v="2024-03-14T00:00:00"/>
    <s v="Of. 214-CNS-SSRISS-2024"/>
    <d v="2024-05-14T00:00:00"/>
    <m/>
    <m/>
    <m/>
    <n v="200000"/>
    <n v="-200000"/>
    <x v="5"/>
    <m/>
    <m/>
    <m/>
  </r>
  <r>
    <n v="93"/>
    <s v="Compra Menor"/>
    <x v="128"/>
    <n v="68"/>
    <x v="55"/>
    <s v="Lic. Josias"/>
    <s v="Data Show, Televisores y Pantallas para proyectar"/>
    <s v="Of. 228-ETNEM-SS-2024"/>
    <d v="2024-05-15T00:00:00"/>
    <s v="Of. 219-CNS-SSRISS-2024"/>
    <d v="2024-05-16T00:00:00"/>
    <m/>
    <m/>
    <m/>
    <n v="300000"/>
    <n v="-300000"/>
    <x v="5"/>
    <s v="SESAL-CM-GC-0164-2024"/>
    <m/>
    <m/>
  </r>
  <r>
    <n v="94"/>
    <s v="Compra Menor"/>
    <x v="104"/>
    <n v="52"/>
    <x v="45"/>
    <s v="Lic. Nimrod"/>
    <s v="Filtros, Soporte, Bombas, Retenedores, Balinera, Hules, Cruces, Bandas, Escobillas, Disco"/>
    <s v="Of. 936-DGRP-2024"/>
    <d v="2024-05-24T00:00:00"/>
    <s v="Of. 240-CNS-SSRISS-2024"/>
    <d v="2024-05-27T00:00:00"/>
    <m/>
    <m/>
    <m/>
    <n v="287680"/>
    <n v="-287680"/>
    <x v="5"/>
    <m/>
    <m/>
    <m/>
  </r>
  <r>
    <n v="95"/>
    <s v="Compra Menor"/>
    <x v="106"/>
    <n v="52"/>
    <x v="45"/>
    <s v="Lic. Nimrod"/>
    <s v="Fricciones, Filtros, Amortiguadores, banda, bombas"/>
    <s v="Of. 805-DGRP-2024"/>
    <d v="2024-05-24T00:00:00"/>
    <s v="Of. 240-CNS-SSRISS-2024"/>
    <d v="2024-05-27T00:00:00"/>
    <m/>
    <m/>
    <m/>
    <n v="159220"/>
    <n v="-159220"/>
    <x v="5"/>
    <m/>
    <m/>
    <m/>
  </r>
  <r>
    <n v="96"/>
    <s v="Compra Menor"/>
    <x v="31"/>
    <n v="15"/>
    <x v="13"/>
    <s v="Lic. Josias"/>
    <s v="Reparación de vehiculos  nuevos Pick Up Colorado mantenimiento de 5,000 Km"/>
    <s v="Of. 802-DGRP-2024"/>
    <d v="2024-05-24T00:00:00"/>
    <s v="Of. 241-CNS-SSRISS-2024"/>
    <d v="2024-05-27T00:00:00"/>
    <m/>
    <m/>
    <m/>
    <n v="300000"/>
    <n v="-300000"/>
    <x v="5"/>
    <m/>
    <m/>
    <m/>
  </r>
  <r>
    <n v="97"/>
    <s v="Catalago Electrónico"/>
    <x v="68"/>
    <n v="35"/>
    <x v="28"/>
    <s v="Lic. Josias"/>
    <s v="15 llantas para 3 Vehiculos"/>
    <s v="Of. 809-DGRP-2024"/>
    <d v="2024-05-09T00:00:00"/>
    <s v="Of. 235-CNS-SSRISS-2024"/>
    <d v="2024-05-29T00:00:00"/>
    <m/>
    <m/>
    <m/>
    <n v="100000"/>
    <n v="-100000"/>
    <x v="5"/>
    <m/>
    <m/>
    <m/>
  </r>
  <r>
    <n v="98"/>
    <s v="Catalago Electrónico"/>
    <x v="70"/>
    <n v="35"/>
    <x v="28"/>
    <s v="Lic. Josias"/>
    <s v="14 llantas para 3 Vehiculos"/>
    <s v="Of. 804-DGRP-2024"/>
    <d v="2024-05-09T00:00:00"/>
    <s v="Of. 235-CNS-SSRISS-2024"/>
    <d v="2024-05-29T00:00:00"/>
    <m/>
    <m/>
    <m/>
    <n v="80000"/>
    <n v="-80000"/>
    <x v="5"/>
    <m/>
    <m/>
    <m/>
  </r>
  <r>
    <n v="99"/>
    <s v="Catalago Electrónico"/>
    <x v="69"/>
    <n v="35"/>
    <x v="28"/>
    <s v="Lic. Josias"/>
    <s v="Llantas para malaria"/>
    <s v="Of. 244-ETNEM-SS-2024"/>
    <d v="2024-05-29T00:00:00"/>
    <s v="Of. 235-CNS-SSRISS-2024"/>
    <d v="2024-05-29T00:00:00"/>
    <m/>
    <m/>
    <m/>
    <n v="209293"/>
    <n v="-209293"/>
    <x v="5"/>
    <m/>
    <m/>
    <m/>
  </r>
  <r>
    <n v="100"/>
    <s v="Catalago Electrónico"/>
    <x v="67"/>
    <n v="35"/>
    <x v="28"/>
    <s v="Lic. Josias"/>
    <s v="Llantas para vehiculo de la coodinación"/>
    <m/>
    <m/>
    <s v="Of. 235-CNS-SSRISS-2024"/>
    <d v="2024-05-29T00:00:00"/>
    <m/>
    <m/>
    <m/>
    <n v="255000"/>
    <n v="-255000"/>
    <x v="5"/>
    <m/>
    <m/>
    <m/>
  </r>
  <r>
    <n v="101"/>
    <s v="Compra Menor"/>
    <x v="30"/>
    <n v="15"/>
    <x v="13"/>
    <s v="Lic. Josias"/>
    <s v="Mantenimiento"/>
    <s v="Of. 210-ETNEM-SS-2024"/>
    <d v="2024-05-03T00:00:00"/>
    <s v="Of. 236-CNS-SSRISS-2024"/>
    <d v="2024-05-23T00:00:00"/>
    <m/>
    <m/>
    <m/>
    <n v="49780"/>
    <n v="-49780"/>
    <x v="5"/>
    <s v="SESAL-CM-GC-0203-2024"/>
    <m/>
    <m/>
  </r>
  <r>
    <n v="102"/>
    <s v="Catalago Electrónico"/>
    <x v="105"/>
    <n v="52"/>
    <x v="45"/>
    <s v="Lic. Josias"/>
    <s v="Tintas, mouse y USB"/>
    <m/>
    <m/>
    <s v="Of. 257-CNS-SSRISS-2024"/>
    <d v="2024-06-03T00:00:00"/>
    <m/>
    <m/>
    <m/>
    <n v="274186"/>
    <n v="-274186"/>
    <x v="5"/>
    <m/>
    <s v="Solicitud de la coordinación con apoyo de malaria"/>
    <m/>
  </r>
  <r>
    <n v="103"/>
    <s v="Compra Menor"/>
    <x v="84"/>
    <n v="44"/>
    <x v="36"/>
    <s v="Lic. Josias"/>
    <s v="Aceite para motor 15W30 8 Galones"/>
    <s v="Of. 803-DGRP-2024"/>
    <d v="2024-05-09T00:00:00"/>
    <s v="Of. 233-CNS-SSRISS-2024"/>
    <d v="2024-05-21T00:00:00"/>
    <m/>
    <m/>
    <m/>
    <n v="38400"/>
    <n v="-38400"/>
    <x v="5"/>
    <m/>
    <m/>
    <m/>
  </r>
  <r>
    <n v="104"/>
    <s v="Catalago Electrónico"/>
    <x v="93"/>
    <n v="48"/>
    <x v="40"/>
    <s v="Lic. Nimrod"/>
    <s v="Compra de utiles para ETNEM y la coordinación nacional de subvenciones"/>
    <m/>
    <m/>
    <s v="Of. 282-CNS-SSRISS-2024"/>
    <d v="2024-06-14T00:00:00"/>
    <m/>
    <m/>
    <m/>
    <n v="671032.43999999994"/>
    <n v="-671032.43999999994"/>
    <x v="5"/>
    <m/>
    <m/>
    <m/>
  </r>
  <r>
    <n v="105"/>
    <s v="Catalago Electrónico"/>
    <x v="117"/>
    <n v="59"/>
    <x v="51"/>
    <s v="Lcda. Graciela"/>
    <s v="Laptop avanzada para la coordinación nacional de subvenciones"/>
    <m/>
    <m/>
    <s v="Of. 060-CNS-SSRISS-2024"/>
    <d v="2024-02-23T00:00:00"/>
    <m/>
    <m/>
    <m/>
    <n v="30000"/>
    <n v="-30000"/>
    <x v="1"/>
    <m/>
    <s v="Orden de Compra No.60-1-53-2631-2024"/>
    <m/>
  </r>
  <r>
    <n v="106"/>
    <s v="Compra Menor"/>
    <x v="104"/>
    <n v="52"/>
    <x v="45"/>
    <s v="Lcda. Graciela"/>
    <s v="Tintas que no estaban disponibles en catalago electronico"/>
    <s v="Of. 1039-DGRP-2024"/>
    <d v="2024-06-05T00:00:00"/>
    <s v="Of. 265-CNS-SSRISS-2024"/>
    <d v="2024-06-06T00:00:00"/>
    <m/>
    <m/>
    <m/>
    <n v="0"/>
    <n v="0"/>
    <x v="5"/>
    <m/>
    <s v="Nueva solicitud por compra menor debido a que mediante Of. 238-CNS-SSRISS-2024 se notificó que no stock de ciertas tintas en catalago eléctronico"/>
    <m/>
  </r>
  <r>
    <n v="107"/>
    <s v="Compra Menor"/>
    <x v="106"/>
    <n v="52"/>
    <x v="45"/>
    <s v="Lcda. Graciela"/>
    <s v="Tintas que no estaban disponibles en catalago electronico"/>
    <s v="Of. 1039-DGRP-2024"/>
    <d v="2024-06-05T00:00:00"/>
    <s v="Of. 265-CNS-SSRISS-2024"/>
    <d v="2024-06-06T00:00:00"/>
    <m/>
    <m/>
    <m/>
    <n v="0"/>
    <n v="0"/>
    <x v="5"/>
    <m/>
    <s v="Nueva solicitud por compra menor debido a que mediante Of. 238-CNS-SSRISS-2024 se notificó que no stock de ciertas tintas en catalago eléctronico"/>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1A3107-EA0C-467B-B093-172BE6E05FD8}" name="PAGOS" cacheId="24" applyNumberFormats="0" applyBorderFormats="0" applyFontFormats="0" applyPatternFormats="0" applyAlignmentFormats="0" applyWidthHeightFormats="1" dataCaption="Valores" missingCaption="0" updatedVersion="8" minRefreshableVersion="3" useAutoFormatting="1" colGrandTotals="0" itemPrintTitles="1" createdVersion="8" indent="0" outline="1" outlineData="1" multipleFieldFilters="0" rowHeaderCaption="Objeto de Gasto">
  <location ref="B2:E40" firstHeaderRow="1" firstDataRow="3"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1"/>
        <item h="1" x="3"/>
        <item h="1" x="2"/>
        <item h="1" x="4"/>
        <item h="1" x="5"/>
        <item h="1" x="0"/>
        <item h="1" m="1" x="7"/>
        <item h="1" x="6"/>
        <item t="default"/>
      </items>
    </pivotField>
    <pivotField subtotalTop="0" showAll="0"/>
    <pivotField subtotalTop="0" showAll="0"/>
    <pivotField dataField="1" subtotalTop="0" showAll="0"/>
    <pivotField subtotalTop="0" dragToRow="0" dragToCol="0" dragToPage="0" showAll="0" defaultSubtotal="0"/>
    <pivotField dataField="1" subtotalTop="0" dragToRow="0" dragToCol="0" dragToPage="0" showAll="0" defaultSubtotal="0"/>
    <pivotField axis="axisRow" subtotalTop="0" showAll="0" sortType="ascending">
      <items count="7">
        <item sd="0" x="0"/>
        <item n="Grupo 10000 Servicios Personales" x="2"/>
        <item n="Grupo 20000 Servicios No Personales" x="3"/>
        <item n="Grupo 30000 Materiales y Suministros" x="4"/>
        <item n="Grupo 40000 Bienes Capitalizables" x="5"/>
        <item h="1" sd="0" x="1"/>
        <item t="default" sd="0"/>
      </items>
    </pivotField>
  </pivotFields>
  <rowFields count="3">
    <field x="22"/>
    <field x="4"/>
    <field x="2"/>
  </rowFields>
  <rowItems count="36">
    <i>
      <x v="1"/>
    </i>
    <i r="1">
      <x/>
    </i>
    <i r="1">
      <x v="1"/>
    </i>
    <i r="1">
      <x v="3"/>
    </i>
    <i r="1">
      <x v="4"/>
    </i>
    <i r="1">
      <x v="5"/>
    </i>
    <i r="1">
      <x v="6"/>
    </i>
    <i r="1">
      <x v="7"/>
    </i>
    <i r="1">
      <x v="9"/>
    </i>
    <i r="1">
      <x v="10"/>
    </i>
    <i r="1">
      <x v="11"/>
    </i>
    <i t="default">
      <x v="1"/>
    </i>
    <i>
      <x v="2"/>
    </i>
    <i r="1">
      <x v="18"/>
    </i>
    <i r="1">
      <x v="20"/>
    </i>
    <i r="1">
      <x v="21"/>
    </i>
    <i r="1">
      <x v="22"/>
    </i>
    <i r="1">
      <x v="23"/>
    </i>
    <i t="default">
      <x v="2"/>
    </i>
    <i>
      <x v="3"/>
    </i>
    <i r="1">
      <x v="27"/>
    </i>
    <i r="1">
      <x v="30"/>
    </i>
    <i r="1">
      <x v="32"/>
    </i>
    <i r="1">
      <x v="33"/>
    </i>
    <i r="1">
      <x v="34"/>
    </i>
    <i r="1">
      <x v="40"/>
    </i>
    <i r="1">
      <x v="41"/>
    </i>
    <i r="1">
      <x v="43"/>
    </i>
    <i r="1">
      <x v="45"/>
    </i>
    <i r="1">
      <x v="46"/>
    </i>
    <i t="default">
      <x v="3"/>
    </i>
    <i>
      <x v="4"/>
    </i>
    <i r="1">
      <x v="51"/>
    </i>
    <i r="1">
      <x v="53"/>
    </i>
    <i t="default">
      <x v="4"/>
    </i>
    <i t="grand">
      <x/>
    </i>
  </rowItems>
  <colFields count="2">
    <field x="16"/>
    <field x="-2"/>
  </colFields>
  <colItems count="3">
    <i>
      <x/>
      <x/>
    </i>
    <i r="1" i="1">
      <x v="1"/>
    </i>
    <i r="1" i="2">
      <x v="2"/>
    </i>
  </colItems>
  <dataFields count="3">
    <dataField name="Saldo Adjudicado" fld="15" baseField="0" baseItem="0"/>
    <dataField name="Suma de Pagado" fld="19" baseField="0" baseItem="0"/>
    <dataField name="Compromiso" fld="21" baseField="0" baseItem="0"/>
  </dataFields>
  <formats count="25">
    <format dxfId="365">
      <pivotArea outline="0" collapsedLevelsAreSubtotals="1" fieldPosition="0"/>
    </format>
    <format dxfId="364">
      <pivotArea dataOnly="0" labelOnly="1" fieldPosition="0">
        <references count="1">
          <reference field="4" count="0"/>
        </references>
      </pivotArea>
    </format>
    <format dxfId="363">
      <pivotArea dataOnly="0" labelOnly="1" outline="0" fieldPosition="0">
        <references count="2">
          <reference field="4294967294" count="3">
            <x v="0"/>
            <x v="1"/>
            <x v="2"/>
          </reference>
          <reference field="16" count="0" selected="0"/>
        </references>
      </pivotArea>
    </format>
    <format dxfId="362">
      <pivotArea field="4" type="button" dataOnly="0" labelOnly="1" outline="0" axis="axisRow" fieldPosition="1"/>
    </format>
    <format dxfId="361">
      <pivotArea type="all" dataOnly="0" outline="0" fieldPosition="0"/>
    </format>
    <format dxfId="360">
      <pivotArea dataOnly="0" labelOnly="1" fieldPosition="0">
        <references count="1">
          <reference field="16" count="0"/>
        </references>
      </pivotArea>
    </format>
    <format dxfId="359">
      <pivotArea dataOnly="0" labelOnly="1" fieldPosition="0">
        <references count="1">
          <reference field="16" count="0"/>
        </references>
      </pivotArea>
    </format>
    <format dxfId="358">
      <pivotArea collapsedLevelsAreSubtotals="1" fieldPosition="0">
        <references count="2">
          <reference field="4" count="1">
            <x v="0"/>
          </reference>
          <reference field="22" count="1" selected="0">
            <x v="1"/>
          </reference>
        </references>
      </pivotArea>
    </format>
    <format dxfId="357">
      <pivotArea collapsedLevelsAreSubtotals="1" fieldPosition="0">
        <references count="2">
          <reference field="4" count="1">
            <x v="1"/>
          </reference>
          <reference field="22" count="1" selected="0">
            <x v="1"/>
          </reference>
        </references>
      </pivotArea>
    </format>
    <format dxfId="356">
      <pivotArea collapsedLevelsAreSubtotals="1" fieldPosition="0">
        <references count="2">
          <reference field="4" count="1">
            <x v="4"/>
          </reference>
          <reference field="22" count="1" selected="0">
            <x v="1"/>
          </reference>
        </references>
      </pivotArea>
    </format>
    <format dxfId="355">
      <pivotArea collapsedLevelsAreSubtotals="1" fieldPosition="0">
        <references count="2">
          <reference field="4" count="1">
            <x v="5"/>
          </reference>
          <reference field="22" count="1" selected="0">
            <x v="1"/>
          </reference>
        </references>
      </pivotArea>
    </format>
    <format dxfId="354">
      <pivotArea collapsedLevelsAreSubtotals="1" fieldPosition="0">
        <references count="2">
          <reference field="4" count="1">
            <x v="6"/>
          </reference>
          <reference field="22" count="1" selected="0">
            <x v="1"/>
          </reference>
        </references>
      </pivotArea>
    </format>
    <format dxfId="353">
      <pivotArea collapsedLevelsAreSubtotals="1" fieldPosition="0">
        <references count="2">
          <reference field="4" count="1">
            <x v="7"/>
          </reference>
          <reference field="22" count="1" selected="0">
            <x v="1"/>
          </reference>
        </references>
      </pivotArea>
    </format>
    <format dxfId="352">
      <pivotArea collapsedLevelsAreSubtotals="1" fieldPosition="0">
        <references count="2">
          <reference field="4" count="1">
            <x v="10"/>
          </reference>
          <reference field="22" count="1" selected="0">
            <x v="1"/>
          </reference>
        </references>
      </pivotArea>
    </format>
    <format dxfId="351">
      <pivotArea collapsedLevelsAreSubtotals="1" fieldPosition="0">
        <references count="2">
          <reference field="4" count="1">
            <x v="11"/>
          </reference>
          <reference field="22" count="1" selected="0">
            <x v="1"/>
          </reference>
        </references>
      </pivotArea>
    </format>
    <format dxfId="350">
      <pivotArea collapsedLevelsAreSubtotals="1" fieldPosition="0">
        <references count="2">
          <reference field="4" count="1">
            <x v="27"/>
          </reference>
          <reference field="22" count="1" selected="0">
            <x v="3"/>
          </reference>
        </references>
      </pivotArea>
    </format>
    <format dxfId="349">
      <pivotArea collapsedLevelsAreSubtotals="1" fieldPosition="0">
        <references count="2">
          <reference field="4" count="1">
            <x v="32"/>
          </reference>
          <reference field="22" count="1" selected="0">
            <x v="3"/>
          </reference>
        </references>
      </pivotArea>
    </format>
    <format dxfId="348">
      <pivotArea collapsedLevelsAreSubtotals="1" fieldPosition="0">
        <references count="2">
          <reference field="4" count="1">
            <x v="33"/>
          </reference>
          <reference field="22" count="1" selected="0">
            <x v="3"/>
          </reference>
        </references>
      </pivotArea>
    </format>
    <format dxfId="347">
      <pivotArea collapsedLevelsAreSubtotals="1" fieldPosition="0">
        <references count="2">
          <reference field="4" count="1">
            <x v="34"/>
          </reference>
          <reference field="22" count="1" selected="0">
            <x v="3"/>
          </reference>
        </references>
      </pivotArea>
    </format>
    <format dxfId="346">
      <pivotArea collapsedLevelsAreSubtotals="1" fieldPosition="0">
        <references count="2">
          <reference field="4" count="1">
            <x v="40"/>
          </reference>
          <reference field="22" count="1" selected="0">
            <x v="3"/>
          </reference>
        </references>
      </pivotArea>
    </format>
    <format dxfId="345">
      <pivotArea collapsedLevelsAreSubtotals="1" fieldPosition="0">
        <references count="2">
          <reference field="4" count="1">
            <x v="41"/>
          </reference>
          <reference field="22" count="1" selected="0">
            <x v="3"/>
          </reference>
        </references>
      </pivotArea>
    </format>
    <format dxfId="344">
      <pivotArea collapsedLevelsAreSubtotals="1" fieldPosition="0">
        <references count="2">
          <reference field="4" count="1">
            <x v="43"/>
          </reference>
          <reference field="22" count="1" selected="0">
            <x v="3"/>
          </reference>
        </references>
      </pivotArea>
    </format>
    <format dxfId="343">
      <pivotArea collapsedLevelsAreSubtotals="1" fieldPosition="0">
        <references count="2">
          <reference field="4" count="1">
            <x v="45"/>
          </reference>
          <reference field="22" count="1" selected="0">
            <x v="3"/>
          </reference>
        </references>
      </pivotArea>
    </format>
    <format dxfId="342">
      <pivotArea collapsedLevelsAreSubtotals="1" fieldPosition="0">
        <references count="2">
          <reference field="4" count="1">
            <x v="46"/>
          </reference>
          <reference field="22" count="1" selected="0">
            <x v="3"/>
          </reference>
        </references>
      </pivotArea>
    </format>
    <format dxfId="341">
      <pivotArea dataOnly="0" fieldPosition="0">
        <references count="1">
          <reference field="4" count="0" defaultSubtotal="1"/>
        </references>
      </pivotArea>
    </format>
  </formats>
  <pivotTableStyleInfo name="PivotStyleLight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DB9036-65DC-4F94-9A37-906DBB65C029}" name="REPORTE" cacheId="24" applyNumberFormats="0" applyBorderFormats="0" applyFontFormats="0" applyPatternFormats="0" applyAlignmentFormats="0" applyWidthHeightFormats="1" dataCaption="Valores" grandTotalCaption="Disponible" missingCaption="0" updatedVersion="8" minRefreshableVersion="3" useAutoFormatting="1" itemPrintTitles="1" createdVersion="8" indent="0" outline="1" outlineData="1" multipleFieldFilters="0" rowHeaderCaption="Objeto de gasto">
  <location ref="B2:G68" firstHeaderRow="1" firstDataRow="2" firstDataCol="1"/>
  <pivotFields count="23">
    <pivotField subtotalTop="0" showAll="0"/>
    <pivotField subtotalTop="0" showAll="0"/>
    <pivotField axis="axisRow" subtotalTop="0" showAll="0">
      <items count="134">
        <item x="130"/>
        <item x="0"/>
        <item x="3"/>
        <item x="1"/>
        <item x="2"/>
        <item x="4"/>
        <item x="5"/>
        <item x="6"/>
        <item x="7"/>
        <item x="8"/>
        <item x="11"/>
        <item x="9"/>
        <item x="12"/>
        <item x="10"/>
        <item x="15"/>
        <item x="13"/>
        <item x="16"/>
        <item x="14"/>
        <item x="19"/>
        <item x="17"/>
        <item x="20"/>
        <item x="18"/>
        <item x="23"/>
        <item x="21"/>
        <item x="22"/>
        <item x="24"/>
        <item x="26"/>
        <item x="27"/>
        <item x="25"/>
        <item x="30"/>
        <item x="28"/>
        <item x="31"/>
        <item x="29"/>
        <item x="33"/>
        <item x="32"/>
        <item x="35"/>
        <item x="34"/>
        <item x="37"/>
        <item x="38"/>
        <item x="36"/>
        <item x="39"/>
        <item x="42"/>
        <item x="40"/>
        <item x="43"/>
        <item x="41"/>
        <item x="44"/>
        <item x="47"/>
        <item x="45"/>
        <item x="48"/>
        <item x="46"/>
        <item x="49"/>
        <item x="51"/>
        <item x="50"/>
        <item x="54"/>
        <item x="52"/>
        <item x="55"/>
        <item x="53"/>
        <item x="57"/>
        <item x="58"/>
        <item x="56"/>
        <item x="59"/>
        <item x="62"/>
        <item x="60"/>
        <item x="63"/>
        <item x="61"/>
        <item x="65"/>
        <item x="66"/>
        <item x="64"/>
        <item x="69"/>
        <item x="67"/>
        <item x="70"/>
        <item x="68"/>
        <item x="72"/>
        <item x="71"/>
        <item x="73"/>
        <item x="74"/>
        <item x="75"/>
        <item x="76"/>
        <item x="77"/>
        <item x="78"/>
        <item x="80"/>
        <item x="81"/>
        <item x="79"/>
        <item x="83"/>
        <item x="82"/>
        <item x="84"/>
        <item x="86"/>
        <item x="85"/>
        <item x="87"/>
        <item x="89"/>
        <item x="90"/>
        <item x="88"/>
        <item x="93"/>
        <item x="91"/>
        <item x="94"/>
        <item x="92"/>
        <item x="95"/>
        <item x="97"/>
        <item x="98"/>
        <item x="96"/>
        <item x="99"/>
        <item x="101"/>
        <item x="102"/>
        <item x="100"/>
        <item x="105"/>
        <item x="103"/>
        <item x="106"/>
        <item x="104"/>
        <item x="107"/>
        <item x="108"/>
        <item x="110"/>
        <item x="111"/>
        <item x="109"/>
        <item x="112"/>
        <item x="113"/>
        <item x="115"/>
        <item x="116"/>
        <item x="114"/>
        <item x="119"/>
        <item x="117"/>
        <item x="120"/>
        <item x="118"/>
        <item x="122"/>
        <item x="123"/>
        <item x="121"/>
        <item x="124"/>
        <item x="129"/>
        <item m="1" x="131"/>
        <item x="128"/>
        <item m="1" x="132"/>
        <item x="125"/>
        <item x="126"/>
        <item x="127"/>
        <item t="default"/>
      </items>
    </pivotField>
    <pivotField subtotalTop="0" showAll="0"/>
    <pivotField axis="axisRow" subtotalTop="0" showAll="0" sortType="ascending">
      <items count="5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54"/>
        <item sd="0" x="22"/>
        <item sd="0" x="23"/>
        <item sd="0" x="24"/>
        <item sd="0" x="25"/>
        <item sd="0" x="26"/>
        <item sd="0" x="27"/>
        <item sd="0" x="28"/>
        <item sd="0" x="29"/>
        <item sd="0" x="30"/>
        <item sd="0" x="31"/>
        <item sd="0" x="32"/>
        <item sd="0" x="33"/>
        <item sd="0" x="34"/>
        <item sd="0" x="35"/>
        <item sd="0" x="36"/>
        <item n="35800 Productos De Material Plastico" sd="0" x="37"/>
        <item sd="0" x="38"/>
        <item sd="0" x="39"/>
        <item sd="0" x="40"/>
        <item sd="0" x="41"/>
        <item sd="0" x="42"/>
        <item sd="0" x="43"/>
        <item sd="0" x="44"/>
        <item sd="0" x="45"/>
        <item sd="0" x="46"/>
        <item sd="0" x="47"/>
        <item sd="0" x="48"/>
        <item sd="0" x="49"/>
        <item sd="0" x="50"/>
        <item sd="0" x="55"/>
        <item sd="0" x="51"/>
        <item sd="0" x="52"/>
        <item sd="0" x="53"/>
        <item sd="0" x="56"/>
        <item t="default" sd="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axis="axisCol" subtotalTop="0" showAll="0">
      <items count="9">
        <item x="0"/>
        <item x="2"/>
        <item x="1"/>
        <item x="5"/>
        <item h="1" m="1" x="7"/>
        <item h="1" x="3"/>
        <item h="1" x="4"/>
        <item h="1" x="6"/>
        <item t="default"/>
      </items>
    </pivotField>
    <pivotField subtotalTop="0" showAll="0"/>
    <pivotField subtotalTop="0" showAll="0"/>
    <pivotField subtotalTop="0" showAll="0"/>
    <pivotField subtotalTop="0" dragToRow="0" dragToCol="0" dragToPage="0" showAll="0" defaultSubtotal="0"/>
    <pivotField subtotalTop="0" dragToRow="0" dragToCol="0" dragToPage="0" showAll="0" defaultSubtotal="0"/>
    <pivotField name="Grupos de Gasto" axis="axisRow" subtotalTop="0" showAll="0">
      <items count="7">
        <item n="Grupo 10000 Servicios Personales" x="2"/>
        <item n="Grupo 20000 Servicios No Personales" x="3"/>
        <item n="Grupo 30000 Materiales y Suministros" x="4"/>
        <item n="Grupo 40000 Bienes Capitalizables" x="5"/>
        <item n="Grupo 50000 Transferencias y Donaciones" sd="0" x="0"/>
        <item h="1" x="1"/>
        <item t="default"/>
      </items>
    </pivotField>
  </pivotFields>
  <rowFields count="3">
    <field x="22"/>
    <field x="4"/>
    <field x="2"/>
  </rowFields>
  <rowItems count="65">
    <i>
      <x/>
    </i>
    <i r="1">
      <x/>
    </i>
    <i r="1">
      <x v="1"/>
    </i>
    <i r="1">
      <x v="2"/>
    </i>
    <i r="1">
      <x v="3"/>
    </i>
    <i r="1">
      <x v="4"/>
    </i>
    <i r="1">
      <x v="5"/>
    </i>
    <i r="1">
      <x v="6"/>
    </i>
    <i r="1">
      <x v="7"/>
    </i>
    <i r="1">
      <x v="8"/>
    </i>
    <i r="1">
      <x v="9"/>
    </i>
    <i r="1">
      <x v="10"/>
    </i>
    <i r="1">
      <x v="11"/>
    </i>
    <i t="default">
      <x/>
    </i>
    <i>
      <x v="1"/>
    </i>
    <i r="1">
      <x v="12"/>
    </i>
    <i r="1">
      <x v="13"/>
    </i>
    <i r="1">
      <x v="14"/>
    </i>
    <i r="1">
      <x v="15"/>
    </i>
    <i r="1">
      <x v="16"/>
    </i>
    <i r="1">
      <x v="17"/>
    </i>
    <i r="1">
      <x v="18"/>
    </i>
    <i r="1">
      <x v="19"/>
    </i>
    <i r="1">
      <x v="20"/>
    </i>
    <i r="1">
      <x v="21"/>
    </i>
    <i r="1">
      <x v="22"/>
    </i>
    <i r="1">
      <x v="23"/>
    </i>
    <i t="default">
      <x v="1"/>
    </i>
    <i>
      <x v="2"/>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t="default">
      <x v="2"/>
    </i>
    <i>
      <x v="3"/>
    </i>
    <i r="1">
      <x v="47"/>
    </i>
    <i r="1">
      <x v="48"/>
    </i>
    <i r="1">
      <x v="49"/>
    </i>
    <i r="1">
      <x v="50"/>
    </i>
    <i r="1">
      <x v="51"/>
    </i>
    <i r="1">
      <x v="52"/>
    </i>
    <i r="1">
      <x v="53"/>
    </i>
    <i r="1">
      <x v="54"/>
    </i>
    <i t="default">
      <x v="3"/>
    </i>
    <i>
      <x v="4"/>
    </i>
    <i t="grand">
      <x/>
    </i>
  </rowItems>
  <colFields count="1">
    <field x="16"/>
  </colFields>
  <colItems count="5">
    <i>
      <x/>
    </i>
    <i>
      <x v="1"/>
    </i>
    <i>
      <x v="2"/>
    </i>
    <i>
      <x v="3"/>
    </i>
    <i t="grand">
      <x/>
    </i>
  </colItems>
  <dataFields count="1">
    <dataField name="Suma de Saldo" fld="15" baseField="0" baseItem="0"/>
  </dataFields>
  <formats count="221">
    <format dxfId="339">
      <pivotArea field="4" grandCol="1" collapsedLevelsAreSubtotals="1" axis="axisRow" fieldPosition="1">
        <references count="1">
          <reference field="4" count="1">
            <x v="0"/>
          </reference>
        </references>
      </pivotArea>
    </format>
    <format dxfId="338">
      <pivotArea field="4" grandCol="1" collapsedLevelsAreSubtotals="1" axis="axisRow" fieldPosition="1">
        <references count="1">
          <reference field="4" count="1">
            <x v="1"/>
          </reference>
        </references>
      </pivotArea>
    </format>
    <format dxfId="337">
      <pivotArea field="4" grandCol="1" collapsedLevelsAreSubtotals="1" axis="axisRow" fieldPosition="1">
        <references count="1">
          <reference field="4" count="1">
            <x v="2"/>
          </reference>
        </references>
      </pivotArea>
    </format>
    <format dxfId="336">
      <pivotArea field="4" grandCol="1" collapsedLevelsAreSubtotals="1" axis="axisRow" fieldPosition="1">
        <references count="1">
          <reference field="4" count="1">
            <x v="3"/>
          </reference>
        </references>
      </pivotArea>
    </format>
    <format dxfId="335">
      <pivotArea field="4" grandCol="1" collapsedLevelsAreSubtotals="1" axis="axisRow" fieldPosition="1">
        <references count="1">
          <reference field="4" count="1">
            <x v="4"/>
          </reference>
        </references>
      </pivotArea>
    </format>
    <format dxfId="334">
      <pivotArea field="4" grandCol="1" collapsedLevelsAreSubtotals="1" axis="axisRow" fieldPosition="1">
        <references count="1">
          <reference field="4" count="1">
            <x v="5"/>
          </reference>
        </references>
      </pivotArea>
    </format>
    <format dxfId="333">
      <pivotArea field="4" grandCol="1" collapsedLevelsAreSubtotals="1" axis="axisRow" fieldPosition="1">
        <references count="1">
          <reference field="4" count="1">
            <x v="6"/>
          </reference>
        </references>
      </pivotArea>
    </format>
    <format dxfId="332">
      <pivotArea field="4" grandCol="1" collapsedLevelsAreSubtotals="1" axis="axisRow" fieldPosition="1">
        <references count="1">
          <reference field="4" count="1">
            <x v="7"/>
          </reference>
        </references>
      </pivotArea>
    </format>
    <format dxfId="331">
      <pivotArea field="4" grandCol="1" collapsedLevelsAreSubtotals="1" axis="axisRow" fieldPosition="1">
        <references count="1">
          <reference field="4" count="1">
            <x v="8"/>
          </reference>
        </references>
      </pivotArea>
    </format>
    <format dxfId="330">
      <pivotArea field="4" grandCol="1" collapsedLevelsAreSubtotals="1" axis="axisRow" fieldPosition="1">
        <references count="1">
          <reference field="4" count="1">
            <x v="9"/>
          </reference>
        </references>
      </pivotArea>
    </format>
    <format dxfId="329">
      <pivotArea field="4" grandCol="1" collapsedLevelsAreSubtotals="1" axis="axisRow" fieldPosition="1">
        <references count="1">
          <reference field="4" count="1">
            <x v="10"/>
          </reference>
        </references>
      </pivotArea>
    </format>
    <format dxfId="328">
      <pivotArea field="4" grandCol="1" collapsedLevelsAreSubtotals="1" axis="axisRow" fieldPosition="1">
        <references count="1">
          <reference field="4" count="1">
            <x v="11"/>
          </reference>
        </references>
      </pivotArea>
    </format>
    <format dxfId="327">
      <pivotArea field="4" grandCol="1" collapsedLevelsAreSubtotals="1" axis="axisRow" fieldPosition="1">
        <references count="1">
          <reference field="4" count="1">
            <x v="12"/>
          </reference>
        </references>
      </pivotArea>
    </format>
    <format dxfId="326">
      <pivotArea field="4" grandCol="1" collapsedLevelsAreSubtotals="1" axis="axisRow" fieldPosition="1">
        <references count="1">
          <reference field="4" count="1">
            <x v="13"/>
          </reference>
        </references>
      </pivotArea>
    </format>
    <format dxfId="325">
      <pivotArea field="4" grandCol="1" collapsedLevelsAreSubtotals="1" axis="axisRow" fieldPosition="1">
        <references count="1">
          <reference field="4" count="1">
            <x v="14"/>
          </reference>
        </references>
      </pivotArea>
    </format>
    <format dxfId="324">
      <pivotArea field="4" grandCol="1" collapsedLevelsAreSubtotals="1" axis="axisRow" fieldPosition="1">
        <references count="1">
          <reference field="4" count="1">
            <x v="15"/>
          </reference>
        </references>
      </pivotArea>
    </format>
    <format dxfId="323">
      <pivotArea field="4" grandCol="1" collapsedLevelsAreSubtotals="1" axis="axisRow" fieldPosition="1">
        <references count="1">
          <reference field="4" count="1">
            <x v="16"/>
          </reference>
        </references>
      </pivotArea>
    </format>
    <format dxfId="322">
      <pivotArea field="4" grandCol="1" collapsedLevelsAreSubtotals="1" axis="axisRow" fieldPosition="1">
        <references count="1">
          <reference field="4" count="1">
            <x v="17"/>
          </reference>
        </references>
      </pivotArea>
    </format>
    <format dxfId="321">
      <pivotArea field="4" grandCol="1" collapsedLevelsAreSubtotals="1" axis="axisRow" fieldPosition="1">
        <references count="1">
          <reference field="4" count="1">
            <x v="18"/>
          </reference>
        </references>
      </pivotArea>
    </format>
    <format dxfId="320">
      <pivotArea field="4" grandCol="1" collapsedLevelsAreSubtotals="1" axis="axisRow" fieldPosition="1">
        <references count="1">
          <reference field="4" count="1">
            <x v="19"/>
          </reference>
        </references>
      </pivotArea>
    </format>
    <format dxfId="319">
      <pivotArea field="4" grandCol="1" collapsedLevelsAreSubtotals="1" axis="axisRow" fieldPosition="1">
        <references count="1">
          <reference field="4" count="1">
            <x v="20"/>
          </reference>
        </references>
      </pivotArea>
    </format>
    <format dxfId="318">
      <pivotArea field="4" grandCol="1" collapsedLevelsAreSubtotals="1" axis="axisRow" fieldPosition="1">
        <references count="1">
          <reference field="4" count="1">
            <x v="21"/>
          </reference>
        </references>
      </pivotArea>
    </format>
    <format dxfId="317">
      <pivotArea field="4" grandCol="1" collapsedLevelsAreSubtotals="1" axis="axisRow" fieldPosition="1">
        <references count="1">
          <reference field="4" count="1">
            <x v="23"/>
          </reference>
        </references>
      </pivotArea>
    </format>
    <format dxfId="316">
      <pivotArea field="4" grandCol="1" collapsedLevelsAreSubtotals="1" axis="axisRow" fieldPosition="1">
        <references count="1">
          <reference field="4" count="1">
            <x v="24"/>
          </reference>
        </references>
      </pivotArea>
    </format>
    <format dxfId="315">
      <pivotArea field="4" grandCol="1" collapsedLevelsAreSubtotals="1" axis="axisRow" fieldPosition="1">
        <references count="1">
          <reference field="4" count="1">
            <x v="25"/>
          </reference>
        </references>
      </pivotArea>
    </format>
    <format dxfId="314">
      <pivotArea field="4" grandCol="1" collapsedLevelsAreSubtotals="1" axis="axisRow" fieldPosition="1">
        <references count="1">
          <reference field="4" count="1">
            <x v="26"/>
          </reference>
        </references>
      </pivotArea>
    </format>
    <format dxfId="313">
      <pivotArea field="4" grandCol="1" collapsedLevelsAreSubtotals="1" axis="axisRow" fieldPosition="1">
        <references count="1">
          <reference field="4" count="1">
            <x v="27"/>
          </reference>
        </references>
      </pivotArea>
    </format>
    <format dxfId="312">
      <pivotArea field="4" grandCol="1" collapsedLevelsAreSubtotals="1" axis="axisRow" fieldPosition="1">
        <references count="1">
          <reference field="4" count="1">
            <x v="28"/>
          </reference>
        </references>
      </pivotArea>
    </format>
    <format dxfId="311">
      <pivotArea field="4" grandCol="1" collapsedLevelsAreSubtotals="1" axis="axisRow" fieldPosition="1">
        <references count="1">
          <reference field="4" count="1">
            <x v="29"/>
          </reference>
        </references>
      </pivotArea>
    </format>
    <format dxfId="310">
      <pivotArea field="4" grandCol="1" collapsedLevelsAreSubtotals="1" axis="axisRow" fieldPosition="1">
        <references count="1">
          <reference field="4" count="1">
            <x v="30"/>
          </reference>
        </references>
      </pivotArea>
    </format>
    <format dxfId="309">
      <pivotArea field="4" grandCol="1" collapsedLevelsAreSubtotals="1" axis="axisRow" fieldPosition="1">
        <references count="1">
          <reference field="4" count="1">
            <x v="31"/>
          </reference>
        </references>
      </pivotArea>
    </format>
    <format dxfId="308">
      <pivotArea field="4" grandCol="1" collapsedLevelsAreSubtotals="1" axis="axisRow" fieldPosition="1">
        <references count="1">
          <reference field="4" count="1">
            <x v="32"/>
          </reference>
        </references>
      </pivotArea>
    </format>
    <format dxfId="307">
      <pivotArea field="4" grandCol="1" collapsedLevelsAreSubtotals="1" axis="axisRow" fieldPosition="1">
        <references count="1">
          <reference field="4" count="1">
            <x v="33"/>
          </reference>
        </references>
      </pivotArea>
    </format>
    <format dxfId="306">
      <pivotArea collapsedLevelsAreSubtotals="1" fieldPosition="0">
        <references count="2">
          <reference field="4" count="1">
            <x v="34"/>
          </reference>
          <reference field="16" count="1" selected="0">
            <x v="0"/>
          </reference>
        </references>
      </pivotArea>
    </format>
    <format dxfId="305">
      <pivotArea field="4" grandCol="1" collapsedLevelsAreSubtotals="1" axis="axisRow" fieldPosition="1">
        <references count="1">
          <reference field="4" count="1">
            <x v="34"/>
          </reference>
        </references>
      </pivotArea>
    </format>
    <format dxfId="304">
      <pivotArea collapsedLevelsAreSubtotals="1" fieldPosition="0">
        <references count="2">
          <reference field="4" count="1">
            <x v="35"/>
          </reference>
          <reference field="16" count="1" selected="0">
            <x v="0"/>
          </reference>
        </references>
      </pivotArea>
    </format>
    <format dxfId="303">
      <pivotArea field="4" grandCol="1" collapsedLevelsAreSubtotals="1" axis="axisRow" fieldPosition="1">
        <references count="1">
          <reference field="4" count="1">
            <x v="35"/>
          </reference>
        </references>
      </pivotArea>
    </format>
    <format dxfId="302">
      <pivotArea collapsedLevelsAreSubtotals="1" fieldPosition="0">
        <references count="2">
          <reference field="4" count="1">
            <x v="36"/>
          </reference>
          <reference field="16" count="1" selected="0">
            <x v="0"/>
          </reference>
        </references>
      </pivotArea>
    </format>
    <format dxfId="301">
      <pivotArea field="4" grandCol="1" collapsedLevelsAreSubtotals="1" axis="axisRow" fieldPosition="1">
        <references count="1">
          <reference field="4" count="1">
            <x v="36"/>
          </reference>
        </references>
      </pivotArea>
    </format>
    <format dxfId="300">
      <pivotArea collapsedLevelsAreSubtotals="1" fieldPosition="0">
        <references count="2">
          <reference field="4" count="1">
            <x v="37"/>
          </reference>
          <reference field="16" count="1" selected="0">
            <x v="0"/>
          </reference>
        </references>
      </pivotArea>
    </format>
    <format dxfId="299">
      <pivotArea field="4" grandCol="1" collapsedLevelsAreSubtotals="1" axis="axisRow" fieldPosition="1">
        <references count="1">
          <reference field="4" count="1">
            <x v="37"/>
          </reference>
        </references>
      </pivotArea>
    </format>
    <format dxfId="298">
      <pivotArea collapsedLevelsAreSubtotals="1" fieldPosition="0">
        <references count="2">
          <reference field="4" count="1">
            <x v="38"/>
          </reference>
          <reference field="16" count="1" selected="0">
            <x v="0"/>
          </reference>
        </references>
      </pivotArea>
    </format>
    <format dxfId="297">
      <pivotArea field="4" grandCol="1" collapsedLevelsAreSubtotals="1" axis="axisRow" fieldPosition="1">
        <references count="1">
          <reference field="4" count="1">
            <x v="38"/>
          </reference>
        </references>
      </pivotArea>
    </format>
    <format dxfId="296">
      <pivotArea collapsedLevelsAreSubtotals="1" fieldPosition="0">
        <references count="2">
          <reference field="4" count="1">
            <x v="39"/>
          </reference>
          <reference field="16" count="1" selected="0">
            <x v="0"/>
          </reference>
        </references>
      </pivotArea>
    </format>
    <format dxfId="295">
      <pivotArea field="4" grandCol="1" collapsedLevelsAreSubtotals="1" axis="axisRow" fieldPosition="1">
        <references count="1">
          <reference field="4" count="1">
            <x v="39"/>
          </reference>
        </references>
      </pivotArea>
    </format>
    <format dxfId="294">
      <pivotArea collapsedLevelsAreSubtotals="1" fieldPosition="0">
        <references count="2">
          <reference field="4" count="1">
            <x v="40"/>
          </reference>
          <reference field="16" count="1" selected="0">
            <x v="0"/>
          </reference>
        </references>
      </pivotArea>
    </format>
    <format dxfId="293">
      <pivotArea field="4" grandCol="1" collapsedLevelsAreSubtotals="1" axis="axisRow" fieldPosition="1">
        <references count="1">
          <reference field="4" count="1">
            <x v="40"/>
          </reference>
        </references>
      </pivotArea>
    </format>
    <format dxfId="292">
      <pivotArea collapsedLevelsAreSubtotals="1" fieldPosition="0">
        <references count="2">
          <reference field="4" count="1">
            <x v="41"/>
          </reference>
          <reference field="16" count="1" selected="0">
            <x v="0"/>
          </reference>
        </references>
      </pivotArea>
    </format>
    <format dxfId="291">
      <pivotArea field="4" grandCol="1" collapsedLevelsAreSubtotals="1" axis="axisRow" fieldPosition="1">
        <references count="1">
          <reference field="4" count="1">
            <x v="41"/>
          </reference>
        </references>
      </pivotArea>
    </format>
    <format dxfId="290">
      <pivotArea collapsedLevelsAreSubtotals="1" fieldPosition="0">
        <references count="2">
          <reference field="4" count="1">
            <x v="42"/>
          </reference>
          <reference field="16" count="1" selected="0">
            <x v="0"/>
          </reference>
        </references>
      </pivotArea>
    </format>
    <format dxfId="289">
      <pivotArea field="4" grandCol="1" collapsedLevelsAreSubtotals="1" axis="axisRow" fieldPosition="1">
        <references count="1">
          <reference field="4" count="1">
            <x v="42"/>
          </reference>
        </references>
      </pivotArea>
    </format>
    <format dxfId="288">
      <pivotArea collapsedLevelsAreSubtotals="1" fieldPosition="0">
        <references count="2">
          <reference field="4" count="1">
            <x v="43"/>
          </reference>
          <reference field="16" count="1" selected="0">
            <x v="0"/>
          </reference>
        </references>
      </pivotArea>
    </format>
    <format dxfId="287">
      <pivotArea field="4" grandCol="1" collapsedLevelsAreSubtotals="1" axis="axisRow" fieldPosition="1">
        <references count="1">
          <reference field="4" count="1">
            <x v="43"/>
          </reference>
        </references>
      </pivotArea>
    </format>
    <format dxfId="286">
      <pivotArea collapsedLevelsAreSubtotals="1" fieldPosition="0">
        <references count="2">
          <reference field="4" count="1">
            <x v="44"/>
          </reference>
          <reference field="16" count="1" selected="0">
            <x v="0"/>
          </reference>
        </references>
      </pivotArea>
    </format>
    <format dxfId="285">
      <pivotArea field="4" grandCol="1" collapsedLevelsAreSubtotals="1" axis="axisRow" fieldPosition="1">
        <references count="1">
          <reference field="4" count="1">
            <x v="44"/>
          </reference>
        </references>
      </pivotArea>
    </format>
    <format dxfId="284">
      <pivotArea collapsedLevelsAreSubtotals="1" fieldPosition="0">
        <references count="2">
          <reference field="4" count="1">
            <x v="45"/>
          </reference>
          <reference field="16" count="1" selected="0">
            <x v="0"/>
          </reference>
        </references>
      </pivotArea>
    </format>
    <format dxfId="283">
      <pivotArea field="4" grandCol="1" collapsedLevelsAreSubtotals="1" axis="axisRow" fieldPosition="1">
        <references count="1">
          <reference field="4" count="1">
            <x v="45"/>
          </reference>
        </references>
      </pivotArea>
    </format>
    <format dxfId="282">
      <pivotArea collapsedLevelsAreSubtotals="1" fieldPosition="0">
        <references count="2">
          <reference field="4" count="1">
            <x v="46"/>
          </reference>
          <reference field="16" count="1" selected="0">
            <x v="0"/>
          </reference>
        </references>
      </pivotArea>
    </format>
    <format dxfId="281">
      <pivotArea field="4" grandCol="1" collapsedLevelsAreSubtotals="1" axis="axisRow" fieldPosition="1">
        <references count="1">
          <reference field="4" count="1">
            <x v="46"/>
          </reference>
        </references>
      </pivotArea>
    </format>
    <format dxfId="280">
      <pivotArea collapsedLevelsAreSubtotals="1" fieldPosition="0">
        <references count="2">
          <reference field="4" count="1">
            <x v="47"/>
          </reference>
          <reference field="16" count="1" selected="0">
            <x v="0"/>
          </reference>
        </references>
      </pivotArea>
    </format>
    <format dxfId="279">
      <pivotArea field="4" grandCol="1" collapsedLevelsAreSubtotals="1" axis="axisRow" fieldPosition="1">
        <references count="1">
          <reference field="4" count="1">
            <x v="47"/>
          </reference>
        </references>
      </pivotArea>
    </format>
    <format dxfId="278">
      <pivotArea collapsedLevelsAreSubtotals="1" fieldPosition="0">
        <references count="2">
          <reference field="4" count="1">
            <x v="48"/>
          </reference>
          <reference field="16" count="1" selected="0">
            <x v="0"/>
          </reference>
        </references>
      </pivotArea>
    </format>
    <format dxfId="277">
      <pivotArea field="4" grandCol="1" collapsedLevelsAreSubtotals="1" axis="axisRow" fieldPosition="1">
        <references count="1">
          <reference field="4" count="1">
            <x v="48"/>
          </reference>
        </references>
      </pivotArea>
    </format>
    <format dxfId="276">
      <pivotArea collapsedLevelsAreSubtotals="1" fieldPosition="0">
        <references count="2">
          <reference field="4" count="1">
            <x v="49"/>
          </reference>
          <reference field="16" count="1" selected="0">
            <x v="0"/>
          </reference>
        </references>
      </pivotArea>
    </format>
    <format dxfId="275">
      <pivotArea field="4" grandCol="1" collapsedLevelsAreSubtotals="1" axis="axisRow" fieldPosition="1">
        <references count="1">
          <reference field="4" count="1">
            <x v="49"/>
          </reference>
        </references>
      </pivotArea>
    </format>
    <format dxfId="274">
      <pivotArea collapsedLevelsAreSubtotals="1" fieldPosition="0">
        <references count="2">
          <reference field="4" count="1">
            <x v="50"/>
          </reference>
          <reference field="16" count="1" selected="0">
            <x v="0"/>
          </reference>
        </references>
      </pivotArea>
    </format>
    <format dxfId="273">
      <pivotArea field="4" grandCol="1" collapsedLevelsAreSubtotals="1" axis="axisRow" fieldPosition="1">
        <references count="1">
          <reference field="4" count="1">
            <x v="50"/>
          </reference>
        </references>
      </pivotArea>
    </format>
    <format dxfId="272">
      <pivotArea collapsedLevelsAreSubtotals="1" fieldPosition="0">
        <references count="2">
          <reference field="4" count="1">
            <x v="51"/>
          </reference>
          <reference field="16" count="1" selected="0">
            <x v="0"/>
          </reference>
        </references>
      </pivotArea>
    </format>
    <format dxfId="271">
      <pivotArea field="4" grandCol="1" collapsedLevelsAreSubtotals="1" axis="axisRow" fieldPosition="1">
        <references count="1">
          <reference field="4" count="1">
            <x v="51"/>
          </reference>
        </references>
      </pivotArea>
    </format>
    <format dxfId="270">
      <pivotArea collapsedLevelsAreSubtotals="1" fieldPosition="0">
        <references count="2">
          <reference field="4" count="1">
            <x v="53"/>
          </reference>
          <reference field="16" count="1" selected="0">
            <x v="0"/>
          </reference>
        </references>
      </pivotArea>
    </format>
    <format dxfId="269">
      <pivotArea field="4" grandCol="1" collapsedLevelsAreSubtotals="1" axis="axisRow" fieldPosition="1">
        <references count="1">
          <reference field="4" count="1">
            <x v="53"/>
          </reference>
        </references>
      </pivotArea>
    </format>
    <format dxfId="268">
      <pivotArea collapsedLevelsAreSubtotals="1" fieldPosition="0">
        <references count="2">
          <reference field="4" count="1">
            <x v="54"/>
          </reference>
          <reference field="16" count="1" selected="0">
            <x v="0"/>
          </reference>
        </references>
      </pivotArea>
    </format>
    <format dxfId="267">
      <pivotArea field="4" grandCol="1" collapsedLevelsAreSubtotals="1" axis="axisRow" fieldPosition="1">
        <references count="1">
          <reference field="4" count="1">
            <x v="54"/>
          </reference>
        </references>
      </pivotArea>
    </format>
    <format dxfId="266">
      <pivotArea collapsedLevelsAreSubtotals="1" fieldPosition="0">
        <references count="2">
          <reference field="4" count="1">
            <x v="55"/>
          </reference>
          <reference field="16" count="1" selected="0">
            <x v="0"/>
          </reference>
        </references>
      </pivotArea>
    </format>
    <format dxfId="265">
      <pivotArea field="4" grandCol="1" collapsedLevelsAreSubtotals="1" axis="axisRow" fieldPosition="1">
        <references count="1">
          <reference field="4" count="1">
            <x v="55"/>
          </reference>
        </references>
      </pivotArea>
    </format>
    <format dxfId="264">
      <pivotArea collapsedLevelsAreSubtotals="1" fieldPosition="0">
        <references count="1">
          <reference field="4" count="1">
            <x v="0"/>
          </reference>
        </references>
      </pivotArea>
    </format>
    <format dxfId="263">
      <pivotArea collapsedLevelsAreSubtotals="1" fieldPosition="0">
        <references count="1">
          <reference field="4" count="1">
            <x v="1"/>
          </reference>
        </references>
      </pivotArea>
    </format>
    <format dxfId="262">
      <pivotArea collapsedLevelsAreSubtotals="1" fieldPosition="0">
        <references count="1">
          <reference field="4" count="1">
            <x v="2"/>
          </reference>
        </references>
      </pivotArea>
    </format>
    <format dxfId="261">
      <pivotArea collapsedLevelsAreSubtotals="1" fieldPosition="0">
        <references count="1">
          <reference field="4" count="1">
            <x v="3"/>
          </reference>
        </references>
      </pivotArea>
    </format>
    <format dxfId="260">
      <pivotArea collapsedLevelsAreSubtotals="1" fieldPosition="0">
        <references count="1">
          <reference field="4" count="1">
            <x v="4"/>
          </reference>
        </references>
      </pivotArea>
    </format>
    <format dxfId="259">
      <pivotArea collapsedLevelsAreSubtotals="1" fieldPosition="0">
        <references count="1">
          <reference field="4" count="1">
            <x v="5"/>
          </reference>
        </references>
      </pivotArea>
    </format>
    <format dxfId="258">
      <pivotArea collapsedLevelsAreSubtotals="1" fieldPosition="0">
        <references count="1">
          <reference field="4" count="1">
            <x v="6"/>
          </reference>
        </references>
      </pivotArea>
    </format>
    <format dxfId="257">
      <pivotArea collapsedLevelsAreSubtotals="1" fieldPosition="0">
        <references count="1">
          <reference field="4" count="1">
            <x v="7"/>
          </reference>
        </references>
      </pivotArea>
    </format>
    <format dxfId="256">
      <pivotArea collapsedLevelsAreSubtotals="1" fieldPosition="0">
        <references count="1">
          <reference field="4" count="1">
            <x v="8"/>
          </reference>
        </references>
      </pivotArea>
    </format>
    <format dxfId="255">
      <pivotArea collapsedLevelsAreSubtotals="1" fieldPosition="0">
        <references count="1">
          <reference field="4" count="1">
            <x v="9"/>
          </reference>
        </references>
      </pivotArea>
    </format>
    <format dxfId="254">
      <pivotArea collapsedLevelsAreSubtotals="1" fieldPosition="0">
        <references count="1">
          <reference field="4" count="1">
            <x v="10"/>
          </reference>
        </references>
      </pivotArea>
    </format>
    <format dxfId="253">
      <pivotArea collapsedLevelsAreSubtotals="1" fieldPosition="0">
        <references count="1">
          <reference field="4" count="1">
            <x v="11"/>
          </reference>
        </references>
      </pivotArea>
    </format>
    <format dxfId="252">
      <pivotArea collapsedLevelsAreSubtotals="1" fieldPosition="0">
        <references count="1">
          <reference field="4" count="1">
            <x v="12"/>
          </reference>
        </references>
      </pivotArea>
    </format>
    <format dxfId="251">
      <pivotArea collapsedLevelsAreSubtotals="1" fieldPosition="0">
        <references count="1">
          <reference field="4" count="1">
            <x v="13"/>
          </reference>
        </references>
      </pivotArea>
    </format>
    <format dxfId="250">
      <pivotArea collapsedLevelsAreSubtotals="1" fieldPosition="0">
        <references count="1">
          <reference field="4" count="1">
            <x v="14"/>
          </reference>
        </references>
      </pivotArea>
    </format>
    <format dxfId="249">
      <pivotArea collapsedLevelsAreSubtotals="1" fieldPosition="0">
        <references count="1">
          <reference field="4" count="1">
            <x v="15"/>
          </reference>
        </references>
      </pivotArea>
    </format>
    <format dxfId="248">
      <pivotArea collapsedLevelsAreSubtotals="1" fieldPosition="0">
        <references count="1">
          <reference field="4" count="1">
            <x v="16"/>
          </reference>
        </references>
      </pivotArea>
    </format>
    <format dxfId="247">
      <pivotArea collapsedLevelsAreSubtotals="1" fieldPosition="0">
        <references count="1">
          <reference field="4" count="1">
            <x v="17"/>
          </reference>
        </references>
      </pivotArea>
    </format>
    <format dxfId="246">
      <pivotArea collapsedLevelsAreSubtotals="1" fieldPosition="0">
        <references count="1">
          <reference field="4" count="1">
            <x v="18"/>
          </reference>
        </references>
      </pivotArea>
    </format>
    <format dxfId="245">
      <pivotArea collapsedLevelsAreSubtotals="1" fieldPosition="0">
        <references count="1">
          <reference field="4" count="1">
            <x v="19"/>
          </reference>
        </references>
      </pivotArea>
    </format>
    <format dxfId="244">
      <pivotArea collapsedLevelsAreSubtotals="1" fieldPosition="0">
        <references count="1">
          <reference field="4" count="1">
            <x v="20"/>
          </reference>
        </references>
      </pivotArea>
    </format>
    <format dxfId="243">
      <pivotArea collapsedLevelsAreSubtotals="1" fieldPosition="0">
        <references count="1">
          <reference field="4" count="1">
            <x v="21"/>
          </reference>
        </references>
      </pivotArea>
    </format>
    <format dxfId="242">
      <pivotArea collapsedLevelsAreSubtotals="1" fieldPosition="0">
        <references count="1">
          <reference field="4" count="1">
            <x v="23"/>
          </reference>
        </references>
      </pivotArea>
    </format>
    <format dxfId="241">
      <pivotArea collapsedLevelsAreSubtotals="1" fieldPosition="0">
        <references count="1">
          <reference field="4" count="1">
            <x v="24"/>
          </reference>
        </references>
      </pivotArea>
    </format>
    <format dxfId="240">
      <pivotArea collapsedLevelsAreSubtotals="1" fieldPosition="0">
        <references count="1">
          <reference field="4" count="1">
            <x v="25"/>
          </reference>
        </references>
      </pivotArea>
    </format>
    <format dxfId="239">
      <pivotArea collapsedLevelsAreSubtotals="1" fieldPosition="0">
        <references count="1">
          <reference field="4" count="1">
            <x v="26"/>
          </reference>
        </references>
      </pivotArea>
    </format>
    <format dxfId="238">
      <pivotArea collapsedLevelsAreSubtotals="1" fieldPosition="0">
        <references count="1">
          <reference field="4" count="1">
            <x v="27"/>
          </reference>
        </references>
      </pivotArea>
    </format>
    <format dxfId="237">
      <pivotArea collapsedLevelsAreSubtotals="1" fieldPosition="0">
        <references count="1">
          <reference field="4" count="1">
            <x v="28"/>
          </reference>
        </references>
      </pivotArea>
    </format>
    <format dxfId="236">
      <pivotArea collapsedLevelsAreSubtotals="1" fieldPosition="0">
        <references count="1">
          <reference field="4" count="1">
            <x v="29"/>
          </reference>
        </references>
      </pivotArea>
    </format>
    <format dxfId="235">
      <pivotArea collapsedLevelsAreSubtotals="1" fieldPosition="0">
        <references count="1">
          <reference field="4" count="1">
            <x v="30"/>
          </reference>
        </references>
      </pivotArea>
    </format>
    <format dxfId="234">
      <pivotArea collapsedLevelsAreSubtotals="1" fieldPosition="0">
        <references count="1">
          <reference field="4" count="1">
            <x v="31"/>
          </reference>
        </references>
      </pivotArea>
    </format>
    <format dxfId="233">
      <pivotArea collapsedLevelsAreSubtotals="1" fieldPosition="0">
        <references count="1">
          <reference field="4" count="1">
            <x v="32"/>
          </reference>
        </references>
      </pivotArea>
    </format>
    <format dxfId="232">
      <pivotArea collapsedLevelsAreSubtotals="1" fieldPosition="0">
        <references count="1">
          <reference field="4" count="1">
            <x v="33"/>
          </reference>
        </references>
      </pivotArea>
    </format>
    <format dxfId="231">
      <pivotArea grandRow="1" outline="0" collapsedLevelsAreSubtotals="1" fieldPosition="0"/>
    </format>
    <format dxfId="230">
      <pivotArea collapsedLevelsAreSubtotals="1" fieldPosition="0">
        <references count="2">
          <reference field="4" count="1">
            <x v="0"/>
          </reference>
          <reference field="16" count="1" selected="0">
            <x v="3"/>
          </reference>
        </references>
      </pivotArea>
    </format>
    <format dxfId="229">
      <pivotArea collapsedLevelsAreSubtotals="1" fieldPosition="0">
        <references count="2">
          <reference field="4" count="1">
            <x v="1"/>
          </reference>
          <reference field="16" count="1" selected="0">
            <x v="3"/>
          </reference>
        </references>
      </pivotArea>
    </format>
    <format dxfId="228">
      <pivotArea collapsedLevelsAreSubtotals="1" fieldPosition="0">
        <references count="2">
          <reference field="4" count="1">
            <x v="2"/>
          </reference>
          <reference field="16" count="1" selected="0">
            <x v="3"/>
          </reference>
        </references>
      </pivotArea>
    </format>
    <format dxfId="227">
      <pivotArea collapsedLevelsAreSubtotals="1" fieldPosition="0">
        <references count="2">
          <reference field="4" count="1">
            <x v="3"/>
          </reference>
          <reference field="16" count="1" selected="0">
            <x v="3"/>
          </reference>
        </references>
      </pivotArea>
    </format>
    <format dxfId="226">
      <pivotArea collapsedLevelsAreSubtotals="1" fieldPosition="0">
        <references count="2">
          <reference field="4" count="1">
            <x v="4"/>
          </reference>
          <reference field="16" count="1" selected="0">
            <x v="3"/>
          </reference>
        </references>
      </pivotArea>
    </format>
    <format dxfId="225">
      <pivotArea collapsedLevelsAreSubtotals="1" fieldPosition="0">
        <references count="2">
          <reference field="4" count="1">
            <x v="5"/>
          </reference>
          <reference field="16" count="1" selected="0">
            <x v="3"/>
          </reference>
        </references>
      </pivotArea>
    </format>
    <format dxfId="224">
      <pivotArea collapsedLevelsAreSubtotals="1" fieldPosition="0">
        <references count="2">
          <reference field="4" count="1">
            <x v="6"/>
          </reference>
          <reference field="16" count="1" selected="0">
            <x v="3"/>
          </reference>
        </references>
      </pivotArea>
    </format>
    <format dxfId="223">
      <pivotArea collapsedLevelsAreSubtotals="1" fieldPosition="0">
        <references count="2">
          <reference field="4" count="1">
            <x v="7"/>
          </reference>
          <reference field="16" count="1" selected="0">
            <x v="3"/>
          </reference>
        </references>
      </pivotArea>
    </format>
    <format dxfId="222">
      <pivotArea collapsedLevelsAreSubtotals="1" fieldPosition="0">
        <references count="2">
          <reference field="4" count="1">
            <x v="8"/>
          </reference>
          <reference field="16" count="1" selected="0">
            <x v="3"/>
          </reference>
        </references>
      </pivotArea>
    </format>
    <format dxfId="221">
      <pivotArea collapsedLevelsAreSubtotals="1" fieldPosition="0">
        <references count="2">
          <reference field="4" count="1">
            <x v="9"/>
          </reference>
          <reference field="16" count="1" selected="0">
            <x v="3"/>
          </reference>
        </references>
      </pivotArea>
    </format>
    <format dxfId="220">
      <pivotArea collapsedLevelsAreSubtotals="1" fieldPosition="0">
        <references count="2">
          <reference field="4" count="1">
            <x v="10"/>
          </reference>
          <reference field="16" count="1" selected="0">
            <x v="3"/>
          </reference>
        </references>
      </pivotArea>
    </format>
    <format dxfId="219">
      <pivotArea collapsedLevelsAreSubtotals="1" fieldPosition="0">
        <references count="2">
          <reference field="4" count="1">
            <x v="11"/>
          </reference>
          <reference field="16" count="1" selected="0">
            <x v="3"/>
          </reference>
        </references>
      </pivotArea>
    </format>
    <format dxfId="218">
      <pivotArea collapsedLevelsAreSubtotals="1" fieldPosition="0">
        <references count="2">
          <reference field="4" count="1">
            <x v="12"/>
          </reference>
          <reference field="16" count="1" selected="0">
            <x v="3"/>
          </reference>
        </references>
      </pivotArea>
    </format>
    <format dxfId="217">
      <pivotArea collapsedLevelsAreSubtotals="1" fieldPosition="0">
        <references count="2">
          <reference field="4" count="1">
            <x v="13"/>
          </reference>
          <reference field="16" count="1" selected="0">
            <x v="3"/>
          </reference>
        </references>
      </pivotArea>
    </format>
    <format dxfId="216">
      <pivotArea collapsedLevelsAreSubtotals="1" fieldPosition="0">
        <references count="2">
          <reference field="4" count="1">
            <x v="14"/>
          </reference>
          <reference field="16" count="1" selected="0">
            <x v="3"/>
          </reference>
        </references>
      </pivotArea>
    </format>
    <format dxfId="215">
      <pivotArea collapsedLevelsAreSubtotals="1" fieldPosition="0">
        <references count="2">
          <reference field="4" count="1">
            <x v="15"/>
          </reference>
          <reference field="16" count="1" selected="0">
            <x v="3"/>
          </reference>
        </references>
      </pivotArea>
    </format>
    <format dxfId="214">
      <pivotArea collapsedLevelsAreSubtotals="1" fieldPosition="0">
        <references count="2">
          <reference field="4" count="1">
            <x v="16"/>
          </reference>
          <reference field="16" count="1" selected="0">
            <x v="3"/>
          </reference>
        </references>
      </pivotArea>
    </format>
    <format dxfId="213">
      <pivotArea collapsedLevelsAreSubtotals="1" fieldPosition="0">
        <references count="2">
          <reference field="4" count="1">
            <x v="17"/>
          </reference>
          <reference field="16" count="1" selected="0">
            <x v="3"/>
          </reference>
        </references>
      </pivotArea>
    </format>
    <format dxfId="212">
      <pivotArea collapsedLevelsAreSubtotals="1" fieldPosition="0">
        <references count="2">
          <reference field="4" count="1">
            <x v="18"/>
          </reference>
          <reference field="16" count="1" selected="0">
            <x v="3"/>
          </reference>
        </references>
      </pivotArea>
    </format>
    <format dxfId="211">
      <pivotArea collapsedLevelsAreSubtotals="1" fieldPosition="0">
        <references count="2">
          <reference field="4" count="1">
            <x v="19"/>
          </reference>
          <reference field="16" count="1" selected="0">
            <x v="3"/>
          </reference>
        </references>
      </pivotArea>
    </format>
    <format dxfId="210">
      <pivotArea collapsedLevelsAreSubtotals="1" fieldPosition="0">
        <references count="2">
          <reference field="4" count="1">
            <x v="20"/>
          </reference>
          <reference field="16" count="1" selected="0">
            <x v="3"/>
          </reference>
        </references>
      </pivotArea>
    </format>
    <format dxfId="209">
      <pivotArea collapsedLevelsAreSubtotals="1" fieldPosition="0">
        <references count="2">
          <reference field="4" count="1">
            <x v="21"/>
          </reference>
          <reference field="16" count="1" selected="0">
            <x v="3"/>
          </reference>
        </references>
      </pivotArea>
    </format>
    <format dxfId="208">
      <pivotArea collapsedLevelsAreSubtotals="1" fieldPosition="0">
        <references count="2">
          <reference field="4" count="1">
            <x v="23"/>
          </reference>
          <reference field="16" count="1" selected="0">
            <x v="3"/>
          </reference>
        </references>
      </pivotArea>
    </format>
    <format dxfId="207">
      <pivotArea collapsedLevelsAreSubtotals="1" fieldPosition="0">
        <references count="2">
          <reference field="4" count="1">
            <x v="24"/>
          </reference>
          <reference field="16" count="1" selected="0">
            <x v="3"/>
          </reference>
        </references>
      </pivotArea>
    </format>
    <format dxfId="206">
      <pivotArea collapsedLevelsAreSubtotals="1" fieldPosition="0">
        <references count="2">
          <reference field="4" count="1">
            <x v="25"/>
          </reference>
          <reference field="16" count="1" selected="0">
            <x v="3"/>
          </reference>
        </references>
      </pivotArea>
    </format>
    <format dxfId="205">
      <pivotArea collapsedLevelsAreSubtotals="1" fieldPosition="0">
        <references count="2">
          <reference field="4" count="1">
            <x v="26"/>
          </reference>
          <reference field="16" count="1" selected="0">
            <x v="3"/>
          </reference>
        </references>
      </pivotArea>
    </format>
    <format dxfId="204">
      <pivotArea collapsedLevelsAreSubtotals="1" fieldPosition="0">
        <references count="2">
          <reference field="4" count="1">
            <x v="27"/>
          </reference>
          <reference field="16" count="1" selected="0">
            <x v="3"/>
          </reference>
        </references>
      </pivotArea>
    </format>
    <format dxfId="203">
      <pivotArea collapsedLevelsAreSubtotals="1" fieldPosition="0">
        <references count="2">
          <reference field="4" count="1">
            <x v="28"/>
          </reference>
          <reference field="16" count="1" selected="0">
            <x v="3"/>
          </reference>
        </references>
      </pivotArea>
    </format>
    <format dxfId="202">
      <pivotArea collapsedLevelsAreSubtotals="1" fieldPosition="0">
        <references count="2">
          <reference field="4" count="1">
            <x v="29"/>
          </reference>
          <reference field="16" count="1" selected="0">
            <x v="3"/>
          </reference>
        </references>
      </pivotArea>
    </format>
    <format dxfId="201">
      <pivotArea collapsedLevelsAreSubtotals="1" fieldPosition="0">
        <references count="2">
          <reference field="4" count="1">
            <x v="30"/>
          </reference>
          <reference field="16" count="1" selected="0">
            <x v="3"/>
          </reference>
        </references>
      </pivotArea>
    </format>
    <format dxfId="200">
      <pivotArea collapsedLevelsAreSubtotals="1" fieldPosition="0">
        <references count="2">
          <reference field="4" count="1">
            <x v="31"/>
          </reference>
          <reference field="16" count="1" selected="0">
            <x v="3"/>
          </reference>
        </references>
      </pivotArea>
    </format>
    <format dxfId="199">
      <pivotArea collapsedLevelsAreSubtotals="1" fieldPosition="0">
        <references count="2">
          <reference field="4" count="1">
            <x v="32"/>
          </reference>
          <reference field="16" count="1" selected="0">
            <x v="3"/>
          </reference>
        </references>
      </pivotArea>
    </format>
    <format dxfId="198">
      <pivotArea collapsedLevelsAreSubtotals="1" fieldPosition="0">
        <references count="2">
          <reference field="4" count="1">
            <x v="33"/>
          </reference>
          <reference field="16" count="1" selected="0">
            <x v="3"/>
          </reference>
        </references>
      </pivotArea>
    </format>
    <format dxfId="197">
      <pivotArea collapsedLevelsAreSubtotals="1" fieldPosition="0">
        <references count="2">
          <reference field="4" count="1">
            <x v="34"/>
          </reference>
          <reference field="16" count="1" selected="0">
            <x v="3"/>
          </reference>
        </references>
      </pivotArea>
    </format>
    <format dxfId="196">
      <pivotArea collapsedLevelsAreSubtotals="1" fieldPosition="0">
        <references count="2">
          <reference field="4" count="1">
            <x v="35"/>
          </reference>
          <reference field="16" count="1" selected="0">
            <x v="3"/>
          </reference>
        </references>
      </pivotArea>
    </format>
    <format dxfId="195">
      <pivotArea collapsedLevelsAreSubtotals="1" fieldPosition="0">
        <references count="2">
          <reference field="4" count="1">
            <x v="36"/>
          </reference>
          <reference field="16" count="1" selected="0">
            <x v="3"/>
          </reference>
        </references>
      </pivotArea>
    </format>
    <format dxfId="194">
      <pivotArea collapsedLevelsAreSubtotals="1" fieldPosition="0">
        <references count="2">
          <reference field="4" count="1">
            <x v="37"/>
          </reference>
          <reference field="16" count="1" selected="0">
            <x v="3"/>
          </reference>
        </references>
      </pivotArea>
    </format>
    <format dxfId="193">
      <pivotArea collapsedLevelsAreSubtotals="1" fieldPosition="0">
        <references count="2">
          <reference field="4" count="1">
            <x v="38"/>
          </reference>
          <reference field="16" count="1" selected="0">
            <x v="3"/>
          </reference>
        </references>
      </pivotArea>
    </format>
    <format dxfId="192">
      <pivotArea collapsedLevelsAreSubtotals="1" fieldPosition="0">
        <references count="2">
          <reference field="4" count="1">
            <x v="39"/>
          </reference>
          <reference field="16" count="1" selected="0">
            <x v="3"/>
          </reference>
        </references>
      </pivotArea>
    </format>
    <format dxfId="191">
      <pivotArea collapsedLevelsAreSubtotals="1" fieldPosition="0">
        <references count="2">
          <reference field="4" count="1">
            <x v="40"/>
          </reference>
          <reference field="16" count="1" selected="0">
            <x v="3"/>
          </reference>
        </references>
      </pivotArea>
    </format>
    <format dxfId="190">
      <pivotArea collapsedLevelsAreSubtotals="1" fieldPosition="0">
        <references count="2">
          <reference field="4" count="1">
            <x v="41"/>
          </reference>
          <reference field="16" count="1" selected="0">
            <x v="3"/>
          </reference>
        </references>
      </pivotArea>
    </format>
    <format dxfId="189">
      <pivotArea collapsedLevelsAreSubtotals="1" fieldPosition="0">
        <references count="2">
          <reference field="4" count="1">
            <x v="42"/>
          </reference>
          <reference field="16" count="1" selected="0">
            <x v="3"/>
          </reference>
        </references>
      </pivotArea>
    </format>
    <format dxfId="188">
      <pivotArea collapsedLevelsAreSubtotals="1" fieldPosition="0">
        <references count="2">
          <reference field="4" count="1">
            <x v="43"/>
          </reference>
          <reference field="16" count="1" selected="0">
            <x v="3"/>
          </reference>
        </references>
      </pivotArea>
    </format>
    <format dxfId="187">
      <pivotArea collapsedLevelsAreSubtotals="1" fieldPosition="0">
        <references count="2">
          <reference field="4" count="1">
            <x v="44"/>
          </reference>
          <reference field="16" count="1" selected="0">
            <x v="3"/>
          </reference>
        </references>
      </pivotArea>
    </format>
    <format dxfId="186">
      <pivotArea collapsedLevelsAreSubtotals="1" fieldPosition="0">
        <references count="2">
          <reference field="4" count="1">
            <x v="45"/>
          </reference>
          <reference field="16" count="1" selected="0">
            <x v="3"/>
          </reference>
        </references>
      </pivotArea>
    </format>
    <format dxfId="185">
      <pivotArea collapsedLevelsAreSubtotals="1" fieldPosition="0">
        <references count="2">
          <reference field="4" count="1">
            <x v="46"/>
          </reference>
          <reference field="16" count="1" selected="0">
            <x v="3"/>
          </reference>
        </references>
      </pivotArea>
    </format>
    <format dxfId="184">
      <pivotArea collapsedLevelsAreSubtotals="1" fieldPosition="0">
        <references count="2">
          <reference field="4" count="1">
            <x v="47"/>
          </reference>
          <reference field="16" count="1" selected="0">
            <x v="3"/>
          </reference>
        </references>
      </pivotArea>
    </format>
    <format dxfId="183">
      <pivotArea collapsedLevelsAreSubtotals="1" fieldPosition="0">
        <references count="2">
          <reference field="4" count="1">
            <x v="48"/>
          </reference>
          <reference field="16" count="1" selected="0">
            <x v="3"/>
          </reference>
        </references>
      </pivotArea>
    </format>
    <format dxfId="182">
      <pivotArea collapsedLevelsAreSubtotals="1" fieldPosition="0">
        <references count="2">
          <reference field="4" count="1">
            <x v="49"/>
          </reference>
          <reference field="16" count="1" selected="0">
            <x v="3"/>
          </reference>
        </references>
      </pivotArea>
    </format>
    <format dxfId="181">
      <pivotArea collapsedLevelsAreSubtotals="1" fieldPosition="0">
        <references count="2">
          <reference field="4" count="1">
            <x v="50"/>
          </reference>
          <reference field="16" count="1" selected="0">
            <x v="3"/>
          </reference>
        </references>
      </pivotArea>
    </format>
    <format dxfId="180">
      <pivotArea collapsedLevelsAreSubtotals="1" fieldPosition="0">
        <references count="2">
          <reference field="4" count="1">
            <x v="51"/>
          </reference>
          <reference field="16" count="1" selected="0">
            <x v="3"/>
          </reference>
        </references>
      </pivotArea>
    </format>
    <format dxfId="179">
      <pivotArea collapsedLevelsAreSubtotals="1" fieldPosition="0">
        <references count="2">
          <reference field="4" count="1">
            <x v="53"/>
          </reference>
          <reference field="16" count="1" selected="0">
            <x v="3"/>
          </reference>
        </references>
      </pivotArea>
    </format>
    <format dxfId="178">
      <pivotArea collapsedLevelsAreSubtotals="1" fieldPosition="0">
        <references count="2">
          <reference field="4" count="1">
            <x v="54"/>
          </reference>
          <reference field="16" count="1" selected="0">
            <x v="3"/>
          </reference>
        </references>
      </pivotArea>
    </format>
    <format dxfId="177">
      <pivotArea collapsedLevelsAreSubtotals="1" fieldPosition="0">
        <references count="2">
          <reference field="4" count="1">
            <x v="55"/>
          </reference>
          <reference field="16" count="1" selected="0">
            <x v="3"/>
          </reference>
        </references>
      </pivotArea>
    </format>
    <format dxfId="176">
      <pivotArea type="origin" dataOnly="0" labelOnly="1" outline="0" fieldPosition="0"/>
    </format>
    <format dxfId="175">
      <pivotArea field="16" type="button" dataOnly="0" labelOnly="1" outline="0" axis="axisCol" fieldPosition="0"/>
    </format>
    <format dxfId="174">
      <pivotArea type="topRight" dataOnly="0" labelOnly="1" outline="0" fieldPosition="0"/>
    </format>
    <format dxfId="173">
      <pivotArea dataOnly="0" labelOnly="1" fieldPosition="0">
        <references count="1">
          <reference field="16" count="0"/>
        </references>
      </pivotArea>
    </format>
    <format dxfId="172">
      <pivotArea dataOnly="0" labelOnly="1" grandCol="1" outline="0" fieldPosition="0"/>
    </format>
    <format dxfId="171">
      <pivotArea type="origin" dataOnly="0" labelOnly="1" outline="0" fieldPosition="0"/>
    </format>
    <format dxfId="170">
      <pivotArea field="16" type="button" dataOnly="0" labelOnly="1" outline="0" axis="axisCol" fieldPosition="0"/>
    </format>
    <format dxfId="169">
      <pivotArea type="origin" dataOnly="0" labelOnly="1" outline="0" fieldPosition="0"/>
    </format>
    <format dxfId="168">
      <pivotArea field="16" type="button" dataOnly="0" labelOnly="1" outline="0" axis="axisCol" fieldPosition="0"/>
    </format>
    <format dxfId="167">
      <pivotArea type="topRight" dataOnly="0" labelOnly="1" outline="0" fieldPosition="0"/>
    </format>
    <format dxfId="166">
      <pivotArea type="all" dataOnly="0" outline="0" fieldPosition="0"/>
    </format>
    <format dxfId="165">
      <pivotArea dataOnly="0" labelOnly="1" fieldPosition="0">
        <references count="1">
          <reference field="16" count="0"/>
        </references>
      </pivotArea>
    </format>
    <format dxfId="164">
      <pivotArea dataOnly="0" labelOnly="1" grandCol="1" outline="0" fieldPosition="0"/>
    </format>
    <format dxfId="163">
      <pivotArea dataOnly="0" labelOnly="1" fieldPosition="0">
        <references count="1">
          <reference field="16" count="0"/>
        </references>
      </pivotArea>
    </format>
    <format dxfId="162">
      <pivotArea dataOnly="0" labelOnly="1" grandCol="1" outline="0" fieldPosition="0"/>
    </format>
    <format dxfId="161">
      <pivotArea dataOnly="0" labelOnly="1" fieldPosition="0">
        <references count="1">
          <reference field="16" count="0"/>
        </references>
      </pivotArea>
    </format>
    <format dxfId="160">
      <pivotArea dataOnly="0" labelOnly="1" grandCol="1" outline="0" fieldPosition="0"/>
    </format>
    <format dxfId="159">
      <pivotArea dataOnly="0" labelOnly="1" fieldPosition="0">
        <references count="1">
          <reference field="16" count="0"/>
        </references>
      </pivotArea>
    </format>
    <format dxfId="158">
      <pivotArea dataOnly="0" labelOnly="1" grandCol="1" outline="0" fieldPosition="0"/>
    </format>
    <format dxfId="157">
      <pivotArea grandRow="1" outline="0" collapsedLevelsAreSubtotals="1" fieldPosition="0"/>
    </format>
    <format dxfId="156">
      <pivotArea dataOnly="0" labelOnly="1" grandRow="1" outline="0" fieldPosition="0"/>
    </format>
    <format dxfId="155">
      <pivotArea dataOnly="0" labelOnly="1" grandRow="1" outline="0" fieldPosition="0"/>
    </format>
    <format dxfId="154">
      <pivotArea dataOnly="0" labelOnly="1" grandRow="1" outline="0" fieldPosition="0"/>
    </format>
    <format dxfId="153">
      <pivotArea dataOnly="0" fieldPosition="0">
        <references count="1">
          <reference field="4" count="0" defaultSubtotal="1"/>
        </references>
      </pivotArea>
    </format>
    <format dxfId="152">
      <pivotArea dataOnly="0" grandRow="1" fieldPosition="0"/>
    </format>
    <format dxfId="151">
      <pivotArea dataOnly="0" outline="0" fieldPosition="0">
        <references count="1">
          <reference field="16" count="2">
            <x v="2"/>
            <x v="3"/>
          </reference>
        </references>
      </pivotArea>
    </format>
    <format dxfId="150">
      <pivotArea dataOnly="0" outline="0" fieldPosition="0">
        <references count="1">
          <reference field="16" count="1">
            <x v="0"/>
          </reference>
        </references>
      </pivotArea>
    </format>
    <format dxfId="149">
      <pivotArea dataOnly="0" grandCol="1" outline="0" fieldPosition="0"/>
    </format>
    <format dxfId="148">
      <pivotArea dataOnly="0" outline="0" fieldPosition="0">
        <references count="1">
          <reference field="16" count="1">
            <x v="1"/>
          </reference>
        </references>
      </pivotArea>
    </format>
    <format dxfId="147">
      <pivotArea dataOnly="0" labelOnly="1" fieldPosition="0">
        <references count="1">
          <reference field="16" count="0"/>
        </references>
      </pivotArea>
    </format>
    <format dxfId="146">
      <pivotArea dataOnly="0" labelOnly="1" grandCol="1" outline="0" fieldPosition="0"/>
    </format>
    <format dxfId="145">
      <pivotArea type="origin" dataOnly="0" labelOnly="1" outline="0" fieldPosition="0"/>
    </format>
    <format dxfId="144">
      <pivotArea field="16" type="button" dataOnly="0" labelOnly="1" outline="0" axis="axisCol" fieldPosition="0"/>
    </format>
    <format dxfId="143">
      <pivotArea type="topRight" dataOnly="0" labelOnly="1" outline="0" fieldPosition="0"/>
    </format>
    <format dxfId="142">
      <pivotArea dataOnly="0" labelOnly="1" fieldPosition="0">
        <references count="1">
          <reference field="16" count="0"/>
        </references>
      </pivotArea>
    </format>
    <format dxfId="141">
      <pivotArea dataOnly="0" labelOnly="1" grandCol="1" outline="0" fieldPosition="0"/>
    </format>
    <format dxfId="140">
      <pivotArea type="origin" dataOnly="0" labelOnly="1" outline="0" fieldPosition="0"/>
    </format>
    <format dxfId="139">
      <pivotArea field="16" type="button" dataOnly="0" labelOnly="1" outline="0" axis="axisCol" fieldPosition="0"/>
    </format>
    <format dxfId="138">
      <pivotArea type="topRight" dataOnly="0" labelOnly="1" outline="0" fieldPosition="0"/>
    </format>
    <format dxfId="137">
      <pivotArea type="origin" dataOnly="0" labelOnly="1" outline="0" fieldPosition="0"/>
    </format>
    <format dxfId="136">
      <pivotArea field="16" type="button" dataOnly="0" labelOnly="1" outline="0" axis="axisCol" fieldPosition="0"/>
    </format>
    <format dxfId="135">
      <pivotArea type="topRight" dataOnly="0" labelOnly="1" outline="0" fieldPosition="0"/>
    </format>
    <format dxfId="134">
      <pivotArea field="22" type="button" dataOnly="0" labelOnly="1" outline="0" axis="axisRow" fieldPosition="0"/>
    </format>
    <format dxfId="133">
      <pivotArea dataOnly="0" labelOnly="1" fieldPosition="0">
        <references count="1">
          <reference field="22" count="0"/>
        </references>
      </pivotArea>
    </format>
    <format dxfId="132">
      <pivotArea dataOnly="0" labelOnly="1" fieldPosition="0">
        <references count="1">
          <reference field="22" count="0"/>
        </references>
      </pivotArea>
    </format>
    <format dxfId="131">
      <pivotArea collapsedLevelsAreSubtotals="1" fieldPosition="0">
        <references count="1">
          <reference field="22" count="1">
            <x v="0"/>
          </reference>
        </references>
      </pivotArea>
    </format>
    <format dxfId="130">
      <pivotArea collapsedLevelsAreSubtotals="1" fieldPosition="0">
        <references count="1">
          <reference field="22" count="1">
            <x v="1"/>
          </reference>
        </references>
      </pivotArea>
    </format>
    <format dxfId="129">
      <pivotArea collapsedLevelsAreSubtotals="1" fieldPosition="0">
        <references count="1">
          <reference field="22" count="1">
            <x v="2"/>
          </reference>
        </references>
      </pivotArea>
    </format>
    <format dxfId="128">
      <pivotArea collapsedLevelsAreSubtotals="1" fieldPosition="0">
        <references count="1">
          <reference field="22" count="1">
            <x v="3"/>
          </reference>
        </references>
      </pivotArea>
    </format>
    <format dxfId="127">
      <pivotArea collapsedLevelsAreSubtotals="1" fieldPosition="0">
        <references count="1">
          <reference field="22" count="1">
            <x v="4"/>
          </reference>
        </references>
      </pivotArea>
    </format>
    <format dxfId="126">
      <pivotArea dataOnly="0" fieldPosition="0">
        <references count="1">
          <reference field="22" count="0" defaultSubtotal="1"/>
        </references>
      </pivotArea>
    </format>
    <format dxfId="125">
      <pivotArea dataOnly="0" fieldPosition="0">
        <references count="1">
          <reference field="22" count="0" defaultSubtotal="1"/>
        </references>
      </pivotArea>
    </format>
    <format dxfId="124">
      <pivotArea dataOnly="0" fieldPosition="0">
        <references count="1">
          <reference field="22" count="0" defaultSubtotal="1"/>
        </references>
      </pivotArea>
    </format>
    <format dxfId="123">
      <pivotArea collapsedLevelsAreSubtotals="1" fieldPosition="0">
        <references count="1">
          <reference field="22" count="1">
            <x v="0"/>
          </reference>
        </references>
      </pivotArea>
    </format>
    <format dxfId="122">
      <pivotArea collapsedLevelsAreSubtotals="1" fieldPosition="0">
        <references count="1">
          <reference field="22" count="1">
            <x v="1"/>
          </reference>
        </references>
      </pivotArea>
    </format>
    <format dxfId="121">
      <pivotArea collapsedLevelsAreSubtotals="1" fieldPosition="0">
        <references count="1">
          <reference field="22" count="1">
            <x v="2"/>
          </reference>
        </references>
      </pivotArea>
    </format>
    <format dxfId="120">
      <pivotArea collapsedLevelsAreSubtotals="1" fieldPosition="0">
        <references count="1">
          <reference field="22" count="1">
            <x v="3"/>
          </reference>
        </references>
      </pivotArea>
    </format>
    <format dxfId="119">
      <pivotArea collapsedLevelsAreSubtotals="1" fieldPosition="0">
        <references count="1">
          <reference field="22" count="1">
            <x v="4"/>
          </reference>
        </references>
      </pivotArea>
    </format>
  </formats>
  <conditionalFormats count="1">
    <conditionalFormat priority="1">
      <pivotAreas count="1">
        <pivotArea grandCol="1" outline="0" fieldPosition="0"/>
      </pivotAreas>
    </conditionalFormat>
  </conditional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F61986-7CDC-40C8-9187-9CE2199FE0AD}" name="CATALOGO" displayName="CATALOGO" ref="A1:D346" totalsRowShown="0">
  <autoFilter ref="A1:D346" xr:uid="{4EF61986-7CDC-40C8-9187-9CE2199FE0AD}"/>
  <tableColumns count="4">
    <tableColumn id="1" xr3:uid="{C733A112-6728-49D0-8287-7DC3311A6D83}" name="Codigo de Objeto" dataDxfId="387"/>
    <tableColumn id="2" xr3:uid="{9E48D581-8C9E-476F-A05A-D3F78B134956}" name="Código de Orden"/>
    <tableColumn id="3" xr3:uid="{C94F97BC-814F-4122-9F8E-37AA30180FAC}" name="Nombre de Objeto"/>
    <tableColumn id="4" xr3:uid="{5BD6D744-07FB-4273-93A0-C618E2770F69}" name="Nive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B6B7B9-76F8-483C-84AB-41A5969F8436}" name="COMPRAS" displayName="COMPRAS" ref="F1:F7" totalsRowShown="0">
  <autoFilter ref="F1:F7" xr:uid="{DFB6B7B9-76F8-483C-84AB-41A5969F8436}"/>
  <tableColumns count="1">
    <tableColumn id="1" xr3:uid="{530C8BF3-2EA5-464F-9A04-FC62F05B1142}" name="Tipo de Compr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584043B-63EE-479B-8231-9CE6D7160AB3}" name="ESTATUS" displayName="ESTATUS" ref="H1:H8" totalsRowShown="0">
  <autoFilter ref="H1:H8" xr:uid="{E584043B-63EE-479B-8231-9CE6D7160AB3}"/>
  <tableColumns count="1">
    <tableColumn id="1" xr3:uid="{E47B6222-68FB-442E-AF4A-E4CD60C3612B}" name="Estatus"/>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66F5FB-8CA1-45D6-9BD4-284566609706}" name="RESPONSABLES" displayName="RESPONSABLES" ref="J1:J7" totalsRowShown="0">
  <autoFilter ref="J1:J7" xr:uid="{E866F5FB-8CA1-45D6-9BD4-284566609706}"/>
  <tableColumns count="1">
    <tableColumn id="1" xr3:uid="{DE2835C3-EF97-4E62-B0C6-78980EF1FA5D}" name="Responsables"/>
  </tableColumns>
  <tableStyleInfo name="TableStyleMedium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1178F0-240D-438E-8DE9-AD2297430CFD}" name="Tabla8" displayName="Tabla8" ref="B2:J76" totalsRowCount="1" headerRowDxfId="386" dataDxfId="385" totalsRowDxfId="384">
  <autoFilter ref="B2:J75" xr:uid="{851178F0-240D-438E-8DE9-AD2297430CFD}"/>
  <sortState xmlns:xlrd2="http://schemas.microsoft.com/office/spreadsheetml/2017/richdata2" ref="B3:J75">
    <sortCondition ref="C2:C75"/>
  </sortState>
  <tableColumns count="9">
    <tableColumn id="1" xr3:uid="{C0A738E7-6B99-4DED-9E6B-25671A7127D4}" name="No. De Item" totalsRowLabel="Total" dataDxfId="383" totalsRowDxfId="382">
      <calculatedColumnFormula>ROWS(Tabla8[[#This Row],[Producto]])</calculatedColumnFormula>
    </tableColumn>
    <tableColumn id="2" xr3:uid="{714FA576-BF90-4C29-9FF7-68E27A7F05BE}" name="Producto" dataDxfId="381" totalsRowDxfId="380"/>
    <tableColumn id="3" xr3:uid="{07E5176B-B931-4285-A79A-F932E2119926}" name="Descripción" dataDxfId="379" totalsRowDxfId="378"/>
    <tableColumn id="9" xr3:uid="{632F97E2-F4CC-42CA-91AF-85B477D3EF1F}" name="CNS" dataDxfId="377" totalsRowDxfId="376"/>
    <tableColumn id="8" xr3:uid="{FCED4C7F-E51A-4E84-895B-A2A0C1A5D370}" name="ETNEM" dataDxfId="375" totalsRowDxfId="374"/>
    <tableColumn id="4" xr3:uid="{06E16D30-0507-4A07-88BD-49F4B5F3B6F5}" name="Cantidad" dataDxfId="373" totalsRowDxfId="372"/>
    <tableColumn id="5" xr3:uid="{F6D473E5-86AC-4D66-9B66-F37F5C8AF7DA}" name="Precio" dataDxfId="371" totalsRowDxfId="370" dataCellStyle="Moneda"/>
    <tableColumn id="6" xr3:uid="{1C26BB37-09B3-415A-8251-244BA72843AB}" name="Precio con ISV" dataDxfId="369" totalsRowDxfId="368">
      <calculatedColumnFormula>Tabla8[[#This Row],[Precio]]*1.15</calculatedColumnFormula>
    </tableColumn>
    <tableColumn id="7" xr3:uid="{CDABFDEC-A8C3-499C-A046-7A4DCBA4BE5D}" name="Costo total" totalsRowFunction="sum" dataDxfId="367" totalsRowDxfId="366">
      <calculatedColumnFormula>Tabla8[[#This Row],[Precio con ISV]]*Tabla8[[#This Row],[Cantidad]]</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938F6A6-4F63-4EEE-A72C-924D2B5F5D64}" name="DIARIO" displayName="DIARIO" ref="A1:T284" totalsRowShown="0" headerRowDxfId="108" dataDxfId="107" dataCellStyle="Moneda">
  <autoFilter ref="A1:T284" xr:uid="{4938F6A6-4F63-4EEE-A72C-924D2B5F5D64}">
    <filterColumn colId="2">
      <filters>
        <filter val="42110-MALARIA"/>
        <filter val="42110-TB"/>
      </filters>
    </filterColumn>
    <filterColumn colId="16">
      <filters>
        <filter val="Adjudicado"/>
        <filter val="Desierto"/>
        <filter val="Fracasado"/>
        <filter val="Modificaciones"/>
        <filter val="Observaciones"/>
        <filter val="Proceso"/>
      </filters>
    </filterColumn>
  </autoFilter>
  <tableColumns count="20">
    <tableColumn id="1" xr3:uid="{74BBD9C6-3FE2-4A35-86C1-D06A50B9283A}" name="# Reg." dataDxfId="106">
      <calculatedColumnFormula>ROW(DIARIO[[#This Row],[Nombre de Cuenta]])-1</calculatedColumnFormula>
    </tableColumn>
    <tableColumn id="2" xr3:uid="{FC2729A6-8780-4E89-B983-343448558747}" name="Tipo de Compra" dataDxfId="105"/>
    <tableColumn id="3" xr3:uid="{F52E2A0D-14ED-49E6-929B-A7B45A573605}" name="Objeto de Gasto" dataDxfId="104"/>
    <tableColumn id="4" xr3:uid="{90BBECC0-2345-4772-9712-7CAB62D762DF}" name="Código de orden" dataDxfId="103">
      <calculatedColumnFormula>VLOOKUP(C2,CATALOGO[],2,FALSE)</calculatedColumnFormula>
    </tableColumn>
    <tableColumn id="5" xr3:uid="{CCB9CE21-D601-4181-8E09-808963A89EDC}" name="Nombre de Cuenta" dataDxfId="102">
      <calculatedColumnFormula>VLOOKUP(DIARIO[[#This Row],[Objeto de Gasto]],CATALOGO[],3,FALSE)</calculatedColumnFormula>
    </tableColumn>
    <tableColumn id="6" xr3:uid="{DB10CB65-E7F5-477B-9F1B-DAA4CCE25D23}" name="Responsable" dataDxfId="101"/>
    <tableColumn id="7" xr3:uid="{60557A1B-F36B-4144-B4EE-4319C4BDC087}" name="Especificaciones Técnicas" dataDxfId="100"/>
    <tableColumn id="8" xr3:uid="{B8F63D65-7E45-481A-B968-02577D1CC35A}" name="No. de Oficio de solicitud ETN" dataDxfId="99"/>
    <tableColumn id="9" xr3:uid="{9A89F2EF-2A75-47F5-AC69-65572195F40E}" name="Fecha de ingreso del Of. ETN a CNS" dataDxfId="98"/>
    <tableColumn id="10" xr3:uid="{E0D80095-861F-48AB-9701-043F0AFE9BD3}" name="Número de Of. De CNS a GA" dataDxfId="97"/>
    <tableColumn id="11" xr3:uid="{05234ABC-F53B-4942-A98E-D333775A01D3}" name="Fecha solicitud de SSRISS a GA2" dataDxfId="96"/>
    <tableColumn id="12" xr3:uid="{D73AD363-9EC6-489D-BC5B-12C748A5EB6F}" name="Numero de Of. de CNS a SSRISS" dataDxfId="95"/>
    <tableColumn id="13" xr3:uid="{AB0C3C9B-912C-4CE8-8D10-3C6D382FAC2D}" name="Fecha de Of. de SSRISS a DGN2" dataDxfId="94"/>
    <tableColumn id="14" xr3:uid="{35D94959-4188-4C5C-9AAA-2F81CC01AA17}" name="Entrada" dataDxfId="93" dataCellStyle="Moneda"/>
    <tableColumn id="15" xr3:uid="{68EBABEF-6409-4EF3-B510-FD808A1A0DE7}" name="Salida" dataDxfId="92" dataCellStyle="Moneda"/>
    <tableColumn id="16" xr3:uid="{08C0AF4D-6545-4548-AB14-AB0307FAB982}" name="Saldo" dataDxfId="91" dataCellStyle="Moneda">
      <calculatedColumnFormula>N2-O2</calculatedColumnFormula>
    </tableColumn>
    <tableColumn id="17" xr3:uid="{14091832-84B7-4A1A-9EFA-2DA5CD0298D0}" name="Estatus" dataDxfId="90"/>
    <tableColumn id="22" xr3:uid="{3B23ECAC-6B6A-46CE-A7DD-D2A6B1668819}" name="# de Proceso" dataDxfId="89"/>
    <tableColumn id="18" xr3:uid="{55E3DCA5-2FC4-45DA-95CB-1321E1F6AB60}" name="Comentarios Finales" dataDxfId="88"/>
    <tableColumn id="19" xr3:uid="{758086F1-4761-47DF-90AD-AB9494CD3928}" name="Pagado" dataDxfId="87" dataCellStyle="Moneda"/>
  </tableColumns>
  <tableStyleInfo name="TableStyleMedium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90FD89-B42F-4908-9B73-59240EA6E382}" name="Tabla5" displayName="Tabla5" ref="B5:F10" totalsRowCount="1" headerRowDxfId="86" dataDxfId="85">
  <autoFilter ref="B5:F9" xr:uid="{F190FD89-B42F-4908-9B73-59240EA6E382}">
    <filterColumn colId="0" hiddenButton="1"/>
    <filterColumn colId="1" hiddenButton="1"/>
    <filterColumn colId="2" hiddenButton="1"/>
    <filterColumn colId="3" hiddenButton="1"/>
    <filterColumn colId="4" hiddenButton="1"/>
  </autoFilter>
  <sortState xmlns:xlrd2="http://schemas.microsoft.com/office/spreadsheetml/2017/richdata2" ref="B6:E9">
    <sortCondition descending="1" ref="C5:C9"/>
  </sortState>
  <tableColumns count="5">
    <tableColumn id="1" xr3:uid="{42B8E899-953F-40AE-B4E9-D61AD71F16CC}" name="FONDOS PARA:" totalsRowLabel="Total" dataDxfId="84" totalsRowDxfId="83"/>
    <tableColumn id="2" xr3:uid="{4944A3DA-BBEF-42FE-B9AF-317DCDFCB550}" name="APROBADO" totalsRowFunction="sum" dataDxfId="82" totalsRowDxfId="81" dataCellStyle="Moneda"/>
    <tableColumn id="3" xr3:uid="{8DD81181-703C-446E-AED7-EC959C5786E5}" name="MODIFICACIONES" totalsRowFunction="sum" dataDxfId="80" totalsRowDxfId="79" dataCellStyle="Moneda" totalsRowCellStyle="Moneda"/>
    <tableColumn id="4" xr3:uid="{7AC914FB-6AF6-47C9-911D-415D4F78F233}" name="DISPONIBLE" totalsRowFunction="sum" dataDxfId="78" totalsRowDxfId="77">
      <calculatedColumnFormula>Tabla5[[#This Row],[APROBADO]]+Tabla5[[#This Row],[MODIFICACIONES]]</calculatedColumnFormula>
    </tableColumn>
    <tableColumn id="5" xr3:uid="{E0541E5D-124E-47DE-AEF5-2BC2308987F4}" name="% Total" totalsRowFunction="custom" dataDxfId="76" totalsRowDxfId="75">
      <calculatedColumnFormula>SUM(Tabla5[[#This Row],[DISPONIBLE]])/SUBTOTAL(109,Tabla5[DISPONIBLE])</calculatedColumnFormula>
      <totalsRowFormula>SUM(F6:F9)</totalsRowFormula>
    </tableColumn>
  </tableColumns>
  <tableStyleInfo name="TableStyleMedium1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52B87E1-9490-4D68-A2D9-E67DD6ECCEDE}" name="Tabla6" displayName="Tabla6" ref="J5:O9" totalsRowCount="1" headerRowDxfId="74" dataDxfId="73" totalsRowDxfId="72">
  <autoFilter ref="J5:O8" xr:uid="{F52B87E1-9490-4D68-A2D9-E67DD6ECCEDE}">
    <filterColumn colId="0" hiddenButton="1"/>
    <filterColumn colId="1" hiddenButton="1"/>
    <filterColumn colId="2" hiddenButton="1"/>
    <filterColumn colId="3" hiddenButton="1"/>
    <filterColumn colId="4" hiddenButton="1"/>
    <filterColumn colId="5" hiddenButton="1"/>
  </autoFilter>
  <tableColumns count="6">
    <tableColumn id="1" xr3:uid="{E585FB5C-1443-435C-BA1F-C70AB72ABAF2}" name="ESTADO" totalsRowLabel="DISPONIBLE" dataDxfId="71" totalsRowDxfId="70"/>
    <tableColumn id="2" xr3:uid="{06A87F87-5B47-48FC-8548-2E642C3772D8}" name="VIH" totalsRowFunction="custom" dataDxfId="69" totalsRowDxfId="68" dataCellStyle="Moneda">
      <calculatedColumnFormula>SUMIFS(DIARIO[Saldo],DIARIO[Estatus],"Saldo Inicial",DIARIO[Objeto de Gasto],"*VIH*")</calculatedColumnFormula>
      <totalsRowFormula>K6-K7-K8</totalsRowFormula>
    </tableColumn>
    <tableColumn id="3" xr3:uid="{A35FDF67-6D00-4A56-97E9-DCC4AE5C9490}" name="MARARIA" totalsRowFunction="custom" dataDxfId="67" totalsRowDxfId="66" dataCellStyle="Moneda">
      <calculatedColumnFormula>SUMIFS(DIARIO[Saldo],DIARIO[Estatus],"Saldo Inicial",DIARIO[Objeto de Gasto],"*Malaria*")</calculatedColumnFormula>
      <totalsRowFormula>L6-L7-L8</totalsRowFormula>
    </tableColumn>
    <tableColumn id="4" xr3:uid="{C65A7ABD-0C15-4293-981D-D08F7A69018B}" name="TB" totalsRowFunction="custom" dataDxfId="65" totalsRowDxfId="64" dataCellStyle="Moneda">
      <calculatedColumnFormula>SUMIFS(DIARIO[Saldo],DIARIO[Estatus],"Saldo Inicial",DIARIO[Objeto de Gasto],"*TB*")</calculatedColumnFormula>
      <totalsRowFormula>M6-M7-M8</totalsRowFormula>
    </tableColumn>
    <tableColumn id="5" xr3:uid="{916BA937-B85A-4CCB-A03D-00BE832F049D}" name="SSRISS" totalsRowFunction="custom" dataDxfId="63" totalsRowDxfId="62" dataCellStyle="Moneda">
      <calculatedColumnFormula>SUMIFS(DIARIO[Saldo],DIARIO[Estatus],"Saldo Inicial",DIARIO[Objeto de Gasto],"*SSRISS*")</calculatedColumnFormula>
      <totalsRowFormula>N6-N7-N8</totalsRowFormula>
    </tableColumn>
    <tableColumn id="6" xr3:uid="{50E30771-8127-431E-B1FE-5C3563BFF027}" name="TOTAL" totalsRowFunction="custom" dataDxfId="61" totalsRowDxfId="60" dataCellStyle="Moneda">
      <calculatedColumnFormula>Tabla6[[#This Row],[VIH]]+Tabla6[[#This Row],[MARARIA]]+Tabla6[[#This Row],[TB]]+Tabla6[[#This Row],[SSRISS]]</calculatedColumnFormula>
      <totalsRowFormula>O6-O7-O8</totalsRowFormula>
    </tableColumn>
  </tableColumns>
  <tableStyleInfo name="TableStyleMedium2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F0D6635-A8B9-46D0-81D2-656295F74490}" name="Tabla7" displayName="Tabla7" ref="AA5:AF10" totalsRowShown="0" headerRowDxfId="59" dataDxfId="58" dataCellStyle="Moneda">
  <autoFilter ref="AA5:AF10" xr:uid="{BF0D6635-A8B9-46D0-81D2-656295F74490}">
    <filterColumn colId="0" hiddenButton="1"/>
    <filterColumn colId="1" hiddenButton="1"/>
    <filterColumn colId="2" hiddenButton="1"/>
    <filterColumn colId="3" hiddenButton="1"/>
    <filterColumn colId="4" hiddenButton="1"/>
    <filterColumn colId="5" hiddenButton="1"/>
  </autoFilter>
  <tableColumns count="6">
    <tableColumn id="1" xr3:uid="{82995C1E-0A44-4A6E-B4B1-8F0CF6962D8C}" name="Grupo" dataDxfId="57"/>
    <tableColumn id="2" xr3:uid="{0C82A2B4-9F3C-439D-AE1C-6E8E6D1A7690}" name="SSRISS" dataDxfId="56" dataCellStyle="Moneda"/>
    <tableColumn id="3" xr3:uid="{9729D6CC-9484-4809-B1EE-54821A52A277}" name="VIH" dataDxfId="55" dataCellStyle="Moneda"/>
    <tableColumn id="4" xr3:uid="{62D4FAB6-D263-4900-90C1-69E53DE411FF}" name="MALARIA" dataDxfId="54" dataCellStyle="Moneda"/>
    <tableColumn id="5" xr3:uid="{115023FD-6FB3-4CEA-A5FE-DB4520F8F237}" name="TB" dataDxfId="53" dataCellStyle="Moneda"/>
    <tableColumn id="6" xr3:uid="{2E8D4625-0FE7-4863-A8A1-BF1495D525FF}" name="Total" dataDxfId="52">
      <calculatedColumnFormula>SUM(AB6:AE6)</calculatedColumnFormula>
    </tableColumn>
  </tableColumns>
  <tableStyleInfo name="TableStyleMedium1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9A00429-0FD4-4A38-A8C8-767244033E1C}" name="Tabla11" displayName="Tabla11" ref="AJ5:AP10" totalsRowCount="1" headerRowDxfId="51" dataDxfId="50" totalsRowDxfId="49">
  <autoFilter ref="AJ5:AP9" xr:uid="{B9A00429-0FD4-4A38-A8C8-767244033E1C}">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22A6234A-20B8-4512-B6EE-8D91DD3392C0}" name="EQUIPOS" totalsRowLabel="Total" dataDxfId="48" totalsRowDxfId="47"/>
    <tableColumn id="2" xr3:uid="{2D4BF7F4-479F-464B-BA16-1BF8D27BA6F5}" name="ADJUDICADO" totalsRowFunction="sum" dataDxfId="46" totalsRowDxfId="45"/>
    <tableColumn id="3" xr3:uid="{36270741-23D3-43A0-BD0C-1B1E065AE9EB}" name="PROCESO" totalsRowFunction="sum" dataDxfId="44" totalsRowDxfId="43"/>
    <tableColumn id="4" xr3:uid="{10338F9B-0303-4C25-A9F9-4A095CBCBBBC}" name="FRACASADO" totalsRowFunction="sum" dataDxfId="42" totalsRowDxfId="41"/>
    <tableColumn id="5" xr3:uid="{A6F7ED24-F1F4-4E4F-9AE6-A9F6BA37B5B6}" name="DESIERTO" totalsRowFunction="sum" dataDxfId="40" totalsRowDxfId="39"/>
    <tableColumn id="6" xr3:uid="{64D7750D-7751-49D0-B3D6-9DCA3A1E97FF}" name="OBSERVACIONES" totalsRowFunction="sum" dataDxfId="38" totalsRowDxfId="37"/>
    <tableColumn id="7" xr3:uid="{29A872E8-B158-4CC0-BDCA-E6B368B5868B}" name="SUMA" totalsRowFunction="sum" dataDxfId="36" totalsRowDxfId="35">
      <calculatedColumnFormula>SUM(Tabla11[[#This Row],[ADJUDICADO]:[OBSERVACIONES]])</calculatedColumnFormula>
    </tableColumn>
  </tableColumns>
  <tableStyleInfo name="TableStyleMedium1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900031-BA8A-45E0-9C32-511B960C6604}" name="Tabla9" displayName="Tabla9" ref="A1:K18" totalsRowShown="0" headerRowDxfId="34" dataDxfId="32" headerRowBorderDxfId="33" tableBorderDxfId="31">
  <autoFilter ref="A1:K18" xr:uid="{A5900031-BA8A-45E0-9C32-511B960C6604}"/>
  <tableColumns count="11">
    <tableColumn id="1" xr3:uid="{9D85C964-15CA-4C94-A698-881CA673DBD5}" name="N°" dataDxfId="30"/>
    <tableColumn id="2" xr3:uid="{5FF8472C-7546-4317-9DA3-F1525A5FD075}" name="No.- Proceso" dataDxfId="29"/>
    <tableColumn id="3" xr3:uid="{62281B00-31EB-4C12-A70B-2D92FA3B755A}" name="Objeto de Gasto" dataDxfId="28"/>
    <tableColumn id="4" xr3:uid="{D5A9C426-DAE7-4408-8A11-B2BF14228670}" name="Nombre" dataDxfId="27"/>
    <tableColumn id="5" xr3:uid="{DA1AFA95-A005-4909-8D00-78EF9AB1061C}" name="Timpos de entrega" dataDxfId="26"/>
    <tableColumn id="6" xr3:uid="{D526FD70-B72C-4DE0-BB98-58EBD02D903F}" name="Empresa adjudicada según contrato" dataDxfId="25"/>
    <tableColumn id="7" xr3:uid="{F6E8C1D8-B563-4070-8E1B-10956FF2E6AD}" name="Fecha de contrato " dataDxfId="24"/>
    <tableColumn id="8" xr3:uid="{739387F1-BC95-49DF-96B9-513B1FBFE98B}" name="Monto del Contrato" dataDxfId="23" dataCellStyle="Moneda"/>
    <tableColumn id="9" xr3:uid="{CFDD41A7-F841-4DAA-B8A5-7B344169C33C}" name="PENDIENTE DE PAGO" dataDxfId="22"/>
    <tableColumn id="10" xr3:uid="{EE5319FB-A4C3-4FE9-BA1C-0229648F0E59}" name="Unidad Ejecutora" dataDxfId="21"/>
    <tableColumn id="11" xr3:uid="{5598B6DB-9318-48D0-950B-56F4E2B5D8DE}" name="Observaciones" dataDxfId="2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1243A-3CB7-4271-822C-522C573C4891}">
  <sheetPr codeName="Hoja1"/>
  <dimension ref="A1:J346"/>
  <sheetViews>
    <sheetView topLeftCell="A330" workbookViewId="0">
      <selection activeCell="D343" sqref="D343:D346"/>
    </sheetView>
  </sheetViews>
  <sheetFormatPr baseColWidth="10" defaultColWidth="10.7109375" defaultRowHeight="15" x14ac:dyDescent="0.25"/>
  <cols>
    <col min="1" max="1" width="18.5703125" customWidth="1"/>
    <col min="2" max="2" width="8.42578125" customWidth="1"/>
    <col min="3" max="3" width="19.7109375" customWidth="1"/>
    <col min="4" max="4" width="8" bestFit="1" customWidth="1"/>
    <col min="6" max="6" width="22.85546875" bestFit="1" customWidth="1"/>
    <col min="7" max="7" width="15" bestFit="1" customWidth="1"/>
    <col min="8" max="8" width="16.140625" bestFit="1" customWidth="1"/>
    <col min="10" max="10" width="18.7109375" bestFit="1" customWidth="1"/>
  </cols>
  <sheetData>
    <row r="1" spans="1:10" x14ac:dyDescent="0.25">
      <c r="A1" t="s">
        <v>0</v>
      </c>
      <c r="B1" t="s">
        <v>1</v>
      </c>
      <c r="C1" t="s">
        <v>2</v>
      </c>
      <c r="D1" t="s">
        <v>3</v>
      </c>
      <c r="F1" t="s">
        <v>4</v>
      </c>
      <c r="H1" t="s">
        <v>5</v>
      </c>
      <c r="J1" t="s">
        <v>6</v>
      </c>
    </row>
    <row r="2" spans="1:10" x14ac:dyDescent="0.25">
      <c r="A2" s="1" t="s">
        <v>7</v>
      </c>
      <c r="B2">
        <v>1</v>
      </c>
      <c r="C2" t="s">
        <v>8</v>
      </c>
      <c r="D2">
        <v>4</v>
      </c>
      <c r="F2" t="s">
        <v>9</v>
      </c>
      <c r="H2" t="s">
        <v>10</v>
      </c>
      <c r="J2" t="s">
        <v>11</v>
      </c>
    </row>
    <row r="3" spans="1:10" x14ac:dyDescent="0.25">
      <c r="A3" s="1" t="s">
        <v>12</v>
      </c>
      <c r="B3">
        <v>1</v>
      </c>
      <c r="C3" t="s">
        <v>8</v>
      </c>
      <c r="D3">
        <v>4</v>
      </c>
      <c r="F3" t="s">
        <v>13</v>
      </c>
      <c r="H3" t="s">
        <v>14</v>
      </c>
      <c r="J3" t="s">
        <v>15</v>
      </c>
    </row>
    <row r="4" spans="1:10" x14ac:dyDescent="0.25">
      <c r="A4" s="1" t="s">
        <v>16</v>
      </c>
      <c r="B4">
        <v>1</v>
      </c>
      <c r="C4" t="s">
        <v>8</v>
      </c>
      <c r="D4">
        <v>4</v>
      </c>
      <c r="F4" t="s">
        <v>17</v>
      </c>
      <c r="H4" t="s">
        <v>18</v>
      </c>
      <c r="J4" t="s">
        <v>19</v>
      </c>
    </row>
    <row r="5" spans="1:10" x14ac:dyDescent="0.25">
      <c r="A5" s="1" t="s">
        <v>20</v>
      </c>
      <c r="B5">
        <v>1</v>
      </c>
      <c r="C5" t="s">
        <v>8</v>
      </c>
      <c r="D5">
        <v>4</v>
      </c>
      <c r="F5" t="s">
        <v>21</v>
      </c>
      <c r="H5" t="s">
        <v>22</v>
      </c>
      <c r="J5" t="s">
        <v>23</v>
      </c>
    </row>
    <row r="6" spans="1:10" x14ac:dyDescent="0.25">
      <c r="A6" s="1" t="s">
        <v>24</v>
      </c>
      <c r="B6">
        <v>1</v>
      </c>
      <c r="C6" t="s">
        <v>8</v>
      </c>
      <c r="D6">
        <v>4</v>
      </c>
      <c r="F6" t="s">
        <v>25</v>
      </c>
      <c r="H6" t="s">
        <v>26</v>
      </c>
      <c r="J6" t="s">
        <v>27</v>
      </c>
    </row>
    <row r="7" spans="1:10" x14ac:dyDescent="0.25">
      <c r="A7" s="1" t="s">
        <v>28</v>
      </c>
      <c r="B7">
        <v>2</v>
      </c>
      <c r="C7" t="s">
        <v>29</v>
      </c>
      <c r="D7">
        <v>5</v>
      </c>
      <c r="F7" t="s">
        <v>30</v>
      </c>
      <c r="H7" t="s">
        <v>31</v>
      </c>
      <c r="J7" t="s">
        <v>693</v>
      </c>
    </row>
    <row r="8" spans="1:10" x14ac:dyDescent="0.25">
      <c r="A8" s="1" t="s">
        <v>32</v>
      </c>
      <c r="B8">
        <v>2</v>
      </c>
      <c r="C8" t="s">
        <v>29</v>
      </c>
      <c r="D8">
        <v>5</v>
      </c>
      <c r="H8" t="s">
        <v>33</v>
      </c>
    </row>
    <row r="9" spans="1:10" x14ac:dyDescent="0.25">
      <c r="A9" s="1" t="s">
        <v>34</v>
      </c>
      <c r="B9">
        <v>2</v>
      </c>
      <c r="C9" t="s">
        <v>29</v>
      </c>
      <c r="D9">
        <v>5</v>
      </c>
    </row>
    <row r="10" spans="1:10" x14ac:dyDescent="0.25">
      <c r="A10" s="1" t="s">
        <v>35</v>
      </c>
      <c r="B10">
        <v>2</v>
      </c>
      <c r="C10" t="s">
        <v>29</v>
      </c>
      <c r="D10">
        <v>5</v>
      </c>
    </row>
    <row r="11" spans="1:10" x14ac:dyDescent="0.25">
      <c r="A11" s="1">
        <v>11100</v>
      </c>
      <c r="B11">
        <v>2</v>
      </c>
      <c r="C11" t="s">
        <v>29</v>
      </c>
      <c r="D11">
        <v>5</v>
      </c>
    </row>
    <row r="12" spans="1:10" x14ac:dyDescent="0.25">
      <c r="A12" s="1" t="s">
        <v>36</v>
      </c>
      <c r="B12">
        <v>3</v>
      </c>
      <c r="C12" t="s">
        <v>37</v>
      </c>
      <c r="D12">
        <v>5</v>
      </c>
    </row>
    <row r="13" spans="1:10" x14ac:dyDescent="0.25">
      <c r="A13" s="1" t="s">
        <v>38</v>
      </c>
      <c r="B13">
        <v>3</v>
      </c>
      <c r="C13" t="s">
        <v>37</v>
      </c>
      <c r="D13">
        <v>5</v>
      </c>
    </row>
    <row r="14" spans="1:10" x14ac:dyDescent="0.25">
      <c r="A14" s="1" t="s">
        <v>39</v>
      </c>
      <c r="B14">
        <v>3</v>
      </c>
      <c r="C14" t="s">
        <v>37</v>
      </c>
      <c r="D14">
        <v>5</v>
      </c>
    </row>
    <row r="15" spans="1:10" x14ac:dyDescent="0.25">
      <c r="A15" s="1" t="s">
        <v>40</v>
      </c>
      <c r="B15">
        <v>3</v>
      </c>
      <c r="C15" t="s">
        <v>37</v>
      </c>
      <c r="D15">
        <v>5</v>
      </c>
    </row>
    <row r="16" spans="1:10" x14ac:dyDescent="0.25">
      <c r="A16" s="1">
        <v>11400</v>
      </c>
      <c r="B16">
        <v>3</v>
      </c>
      <c r="C16" t="s">
        <v>37</v>
      </c>
      <c r="D16">
        <v>5</v>
      </c>
    </row>
    <row r="17" spans="1:4" x14ac:dyDescent="0.25">
      <c r="A17" s="1" t="s">
        <v>41</v>
      </c>
      <c r="B17">
        <v>4</v>
      </c>
      <c r="C17" t="s">
        <v>42</v>
      </c>
      <c r="D17">
        <v>5</v>
      </c>
    </row>
    <row r="18" spans="1:4" x14ac:dyDescent="0.25">
      <c r="A18" s="1" t="s">
        <v>43</v>
      </c>
      <c r="B18">
        <v>4</v>
      </c>
      <c r="C18" t="s">
        <v>42</v>
      </c>
      <c r="D18">
        <v>5</v>
      </c>
    </row>
    <row r="19" spans="1:4" x14ac:dyDescent="0.25">
      <c r="A19" s="1" t="s">
        <v>44</v>
      </c>
      <c r="B19">
        <v>4</v>
      </c>
      <c r="C19" t="s">
        <v>42</v>
      </c>
      <c r="D19">
        <v>5</v>
      </c>
    </row>
    <row r="20" spans="1:4" x14ac:dyDescent="0.25">
      <c r="A20" s="1" t="s">
        <v>45</v>
      </c>
      <c r="B20">
        <v>4</v>
      </c>
      <c r="C20" t="s">
        <v>42</v>
      </c>
      <c r="D20">
        <v>5</v>
      </c>
    </row>
    <row r="21" spans="1:4" x14ac:dyDescent="0.25">
      <c r="A21" s="1">
        <v>11510</v>
      </c>
      <c r="B21">
        <v>4</v>
      </c>
      <c r="C21" t="s">
        <v>42</v>
      </c>
      <c r="D21">
        <v>5</v>
      </c>
    </row>
    <row r="22" spans="1:4" x14ac:dyDescent="0.25">
      <c r="A22" s="1" t="s">
        <v>46</v>
      </c>
      <c r="B22">
        <v>5</v>
      </c>
      <c r="C22" t="s">
        <v>47</v>
      </c>
      <c r="D22">
        <v>5</v>
      </c>
    </row>
    <row r="23" spans="1:4" x14ac:dyDescent="0.25">
      <c r="A23" s="1" t="s">
        <v>48</v>
      </c>
      <c r="B23">
        <v>5</v>
      </c>
      <c r="C23" t="s">
        <v>47</v>
      </c>
      <c r="D23">
        <v>5</v>
      </c>
    </row>
    <row r="24" spans="1:4" x14ac:dyDescent="0.25">
      <c r="A24" s="1" t="s">
        <v>49</v>
      </c>
      <c r="B24">
        <v>5</v>
      </c>
      <c r="C24" t="s">
        <v>47</v>
      </c>
      <c r="D24">
        <v>5</v>
      </c>
    </row>
    <row r="25" spans="1:4" x14ac:dyDescent="0.25">
      <c r="A25" s="1" t="s">
        <v>50</v>
      </c>
      <c r="B25">
        <v>5</v>
      </c>
      <c r="C25" t="s">
        <v>47</v>
      </c>
      <c r="D25">
        <v>5</v>
      </c>
    </row>
    <row r="26" spans="1:4" x14ac:dyDescent="0.25">
      <c r="A26" s="1">
        <v>11520</v>
      </c>
      <c r="B26">
        <v>5</v>
      </c>
      <c r="C26" t="s">
        <v>47</v>
      </c>
      <c r="D26">
        <v>5</v>
      </c>
    </row>
    <row r="27" spans="1:4" x14ac:dyDescent="0.25">
      <c r="A27" s="1" t="s">
        <v>51</v>
      </c>
      <c r="B27">
        <v>6</v>
      </c>
      <c r="C27" t="s">
        <v>52</v>
      </c>
      <c r="D27">
        <v>5</v>
      </c>
    </row>
    <row r="28" spans="1:4" x14ac:dyDescent="0.25">
      <c r="A28" s="1" t="s">
        <v>53</v>
      </c>
      <c r="B28">
        <v>6</v>
      </c>
      <c r="C28" t="s">
        <v>52</v>
      </c>
      <c r="D28">
        <v>5</v>
      </c>
    </row>
    <row r="29" spans="1:4" x14ac:dyDescent="0.25">
      <c r="A29" s="1" t="s">
        <v>54</v>
      </c>
      <c r="B29">
        <v>6</v>
      </c>
      <c r="C29" t="s">
        <v>52</v>
      </c>
      <c r="D29">
        <v>5</v>
      </c>
    </row>
    <row r="30" spans="1:4" x14ac:dyDescent="0.25">
      <c r="A30" s="1" t="s">
        <v>55</v>
      </c>
      <c r="B30">
        <v>6</v>
      </c>
      <c r="C30" t="s">
        <v>52</v>
      </c>
      <c r="D30">
        <v>5</v>
      </c>
    </row>
    <row r="31" spans="1:4" x14ac:dyDescent="0.25">
      <c r="A31" s="1">
        <v>11600</v>
      </c>
      <c r="B31">
        <v>6</v>
      </c>
      <c r="C31" t="s">
        <v>52</v>
      </c>
      <c r="D31">
        <v>5</v>
      </c>
    </row>
    <row r="32" spans="1:4" x14ac:dyDescent="0.25">
      <c r="A32" s="1" t="s">
        <v>56</v>
      </c>
      <c r="B32">
        <v>7</v>
      </c>
      <c r="C32" t="s">
        <v>57</v>
      </c>
      <c r="D32">
        <v>5</v>
      </c>
    </row>
    <row r="33" spans="1:4" x14ac:dyDescent="0.25">
      <c r="A33" s="1" t="s">
        <v>58</v>
      </c>
      <c r="B33">
        <v>7</v>
      </c>
      <c r="C33" t="s">
        <v>57</v>
      </c>
      <c r="D33">
        <v>5</v>
      </c>
    </row>
    <row r="34" spans="1:4" x14ac:dyDescent="0.25">
      <c r="A34" s="1" t="s">
        <v>59</v>
      </c>
      <c r="B34">
        <v>7</v>
      </c>
      <c r="C34" t="s">
        <v>57</v>
      </c>
      <c r="D34">
        <v>5</v>
      </c>
    </row>
    <row r="35" spans="1:4" x14ac:dyDescent="0.25">
      <c r="A35" s="1" t="s">
        <v>60</v>
      </c>
      <c r="B35">
        <v>7</v>
      </c>
      <c r="C35" t="s">
        <v>57</v>
      </c>
      <c r="D35">
        <v>5</v>
      </c>
    </row>
    <row r="36" spans="1:4" x14ac:dyDescent="0.25">
      <c r="A36" s="1">
        <v>11710</v>
      </c>
      <c r="B36">
        <v>7</v>
      </c>
      <c r="C36" t="s">
        <v>57</v>
      </c>
      <c r="D36">
        <v>5</v>
      </c>
    </row>
    <row r="37" spans="1:4" x14ac:dyDescent="0.25">
      <c r="A37" s="1" t="s">
        <v>61</v>
      </c>
      <c r="B37">
        <v>8</v>
      </c>
      <c r="C37" t="s">
        <v>62</v>
      </c>
      <c r="D37">
        <v>5</v>
      </c>
    </row>
    <row r="38" spans="1:4" x14ac:dyDescent="0.25">
      <c r="A38" s="1" t="s">
        <v>63</v>
      </c>
      <c r="B38">
        <v>8</v>
      </c>
      <c r="C38" t="s">
        <v>62</v>
      </c>
      <c r="D38">
        <v>5</v>
      </c>
    </row>
    <row r="39" spans="1:4" x14ac:dyDescent="0.25">
      <c r="A39" s="1" t="s">
        <v>64</v>
      </c>
      <c r="B39">
        <v>8</v>
      </c>
      <c r="C39" t="s">
        <v>62</v>
      </c>
      <c r="D39">
        <v>5</v>
      </c>
    </row>
    <row r="40" spans="1:4" x14ac:dyDescent="0.25">
      <c r="A40" s="1" t="s">
        <v>65</v>
      </c>
      <c r="B40">
        <v>8</v>
      </c>
      <c r="C40" t="s">
        <v>62</v>
      </c>
      <c r="D40">
        <v>5</v>
      </c>
    </row>
    <row r="41" spans="1:4" x14ac:dyDescent="0.25">
      <c r="A41" s="1">
        <v>11750</v>
      </c>
      <c r="B41">
        <v>8</v>
      </c>
      <c r="C41" t="s">
        <v>62</v>
      </c>
      <c r="D41">
        <v>5</v>
      </c>
    </row>
    <row r="42" spans="1:4" x14ac:dyDescent="0.25">
      <c r="A42" s="1" t="s">
        <v>66</v>
      </c>
      <c r="B42">
        <v>9</v>
      </c>
      <c r="C42" t="s">
        <v>67</v>
      </c>
      <c r="D42">
        <v>5</v>
      </c>
    </row>
    <row r="43" spans="1:4" x14ac:dyDescent="0.25">
      <c r="A43" s="1" t="s">
        <v>68</v>
      </c>
      <c r="B43">
        <v>9</v>
      </c>
      <c r="C43" t="s">
        <v>67</v>
      </c>
      <c r="D43">
        <v>5</v>
      </c>
    </row>
    <row r="44" spans="1:4" x14ac:dyDescent="0.25">
      <c r="A44" s="1" t="s">
        <v>69</v>
      </c>
      <c r="B44">
        <v>9</v>
      </c>
      <c r="C44" t="s">
        <v>67</v>
      </c>
      <c r="D44">
        <v>5</v>
      </c>
    </row>
    <row r="45" spans="1:4" x14ac:dyDescent="0.25">
      <c r="A45" s="1" t="s">
        <v>70</v>
      </c>
      <c r="B45">
        <v>9</v>
      </c>
      <c r="C45" t="s">
        <v>67</v>
      </c>
      <c r="D45">
        <v>5</v>
      </c>
    </row>
    <row r="46" spans="1:4" x14ac:dyDescent="0.25">
      <c r="A46" s="1">
        <v>12100</v>
      </c>
      <c r="B46">
        <v>9</v>
      </c>
      <c r="C46" t="s">
        <v>67</v>
      </c>
      <c r="D46">
        <v>5</v>
      </c>
    </row>
    <row r="47" spans="1:4" x14ac:dyDescent="0.25">
      <c r="A47" s="1" t="s">
        <v>71</v>
      </c>
      <c r="B47">
        <v>10</v>
      </c>
      <c r="C47" t="s">
        <v>72</v>
      </c>
      <c r="D47">
        <v>5</v>
      </c>
    </row>
    <row r="48" spans="1:4" x14ac:dyDescent="0.25">
      <c r="A48" s="1" t="s">
        <v>73</v>
      </c>
      <c r="B48">
        <v>10</v>
      </c>
      <c r="C48" t="s">
        <v>72</v>
      </c>
      <c r="D48">
        <v>5</v>
      </c>
    </row>
    <row r="49" spans="1:4" x14ac:dyDescent="0.25">
      <c r="A49" s="1" t="s">
        <v>74</v>
      </c>
      <c r="B49">
        <v>10</v>
      </c>
      <c r="C49" t="s">
        <v>72</v>
      </c>
      <c r="D49">
        <v>5</v>
      </c>
    </row>
    <row r="50" spans="1:4" x14ac:dyDescent="0.25">
      <c r="A50" s="1" t="s">
        <v>75</v>
      </c>
      <c r="B50">
        <v>10</v>
      </c>
      <c r="C50" t="s">
        <v>72</v>
      </c>
      <c r="D50">
        <v>5</v>
      </c>
    </row>
    <row r="51" spans="1:4" x14ac:dyDescent="0.25">
      <c r="A51" s="1">
        <v>12410</v>
      </c>
      <c r="B51">
        <v>10</v>
      </c>
      <c r="C51" t="s">
        <v>72</v>
      </c>
      <c r="D51">
        <v>5</v>
      </c>
    </row>
    <row r="52" spans="1:4" x14ac:dyDescent="0.25">
      <c r="A52" s="1" t="s">
        <v>76</v>
      </c>
      <c r="B52">
        <v>11</v>
      </c>
      <c r="C52" t="s">
        <v>77</v>
      </c>
      <c r="D52">
        <v>5</v>
      </c>
    </row>
    <row r="53" spans="1:4" x14ac:dyDescent="0.25">
      <c r="A53" s="1" t="s">
        <v>78</v>
      </c>
      <c r="B53">
        <v>11</v>
      </c>
      <c r="C53" t="s">
        <v>77</v>
      </c>
      <c r="D53">
        <v>5</v>
      </c>
    </row>
    <row r="54" spans="1:4" x14ac:dyDescent="0.25">
      <c r="A54" s="1" t="s">
        <v>79</v>
      </c>
      <c r="B54">
        <v>11</v>
      </c>
      <c r="C54" t="s">
        <v>77</v>
      </c>
      <c r="D54">
        <v>5</v>
      </c>
    </row>
    <row r="55" spans="1:4" x14ac:dyDescent="0.25">
      <c r="A55" s="1" t="s">
        <v>80</v>
      </c>
      <c r="B55">
        <v>11</v>
      </c>
      <c r="C55" t="s">
        <v>77</v>
      </c>
      <c r="D55">
        <v>5</v>
      </c>
    </row>
    <row r="56" spans="1:4" x14ac:dyDescent="0.25">
      <c r="A56" s="1">
        <v>12420</v>
      </c>
      <c r="B56">
        <v>11</v>
      </c>
      <c r="C56" t="s">
        <v>77</v>
      </c>
      <c r="D56">
        <v>5</v>
      </c>
    </row>
    <row r="57" spans="1:4" x14ac:dyDescent="0.25">
      <c r="A57" s="1" t="s">
        <v>81</v>
      </c>
      <c r="B57">
        <v>12</v>
      </c>
      <c r="C57" t="s">
        <v>82</v>
      </c>
      <c r="D57">
        <v>5</v>
      </c>
    </row>
    <row r="58" spans="1:4" x14ac:dyDescent="0.25">
      <c r="A58" s="1" t="s">
        <v>83</v>
      </c>
      <c r="B58">
        <v>12</v>
      </c>
      <c r="C58" t="s">
        <v>82</v>
      </c>
      <c r="D58">
        <v>5</v>
      </c>
    </row>
    <row r="59" spans="1:4" x14ac:dyDescent="0.25">
      <c r="A59" s="1" t="s">
        <v>84</v>
      </c>
      <c r="B59">
        <v>12</v>
      </c>
      <c r="C59" t="s">
        <v>82</v>
      </c>
      <c r="D59">
        <v>5</v>
      </c>
    </row>
    <row r="60" spans="1:4" x14ac:dyDescent="0.25">
      <c r="A60" s="1" t="s">
        <v>85</v>
      </c>
      <c r="B60">
        <v>12</v>
      </c>
      <c r="C60" t="s">
        <v>82</v>
      </c>
      <c r="D60">
        <v>5</v>
      </c>
    </row>
    <row r="61" spans="1:4" x14ac:dyDescent="0.25">
      <c r="A61" s="1">
        <v>12550</v>
      </c>
      <c r="B61">
        <v>12</v>
      </c>
      <c r="C61" t="s">
        <v>82</v>
      </c>
      <c r="D61">
        <v>5</v>
      </c>
    </row>
    <row r="62" spans="1:4" x14ac:dyDescent="0.25">
      <c r="A62" s="1" t="s">
        <v>86</v>
      </c>
      <c r="B62">
        <v>13</v>
      </c>
      <c r="C62" t="s">
        <v>87</v>
      </c>
      <c r="D62">
        <v>4</v>
      </c>
    </row>
    <row r="63" spans="1:4" x14ac:dyDescent="0.25">
      <c r="A63" s="1" t="s">
        <v>88</v>
      </c>
      <c r="B63">
        <v>13</v>
      </c>
      <c r="C63" t="s">
        <v>87</v>
      </c>
      <c r="D63">
        <v>4</v>
      </c>
    </row>
    <row r="64" spans="1:4" x14ac:dyDescent="0.25">
      <c r="A64" s="1" t="s">
        <v>89</v>
      </c>
      <c r="B64">
        <v>13</v>
      </c>
      <c r="C64" t="s">
        <v>87</v>
      </c>
      <c r="D64">
        <v>4</v>
      </c>
    </row>
    <row r="65" spans="1:4" x14ac:dyDescent="0.25">
      <c r="A65" s="1" t="s">
        <v>90</v>
      </c>
      <c r="B65">
        <v>13</v>
      </c>
      <c r="C65" t="s">
        <v>87</v>
      </c>
      <c r="D65">
        <v>4</v>
      </c>
    </row>
    <row r="66" spans="1:4" x14ac:dyDescent="0.25">
      <c r="A66" s="1" t="s">
        <v>91</v>
      </c>
      <c r="B66">
        <v>13</v>
      </c>
      <c r="C66" t="s">
        <v>87</v>
      </c>
      <c r="D66">
        <v>4</v>
      </c>
    </row>
    <row r="67" spans="1:4" x14ac:dyDescent="0.25">
      <c r="A67" s="1" t="s">
        <v>92</v>
      </c>
      <c r="B67">
        <v>14</v>
      </c>
      <c r="C67" t="s">
        <v>93</v>
      </c>
      <c r="D67">
        <v>5</v>
      </c>
    </row>
    <row r="68" spans="1:4" x14ac:dyDescent="0.25">
      <c r="A68" s="1" t="s">
        <v>94</v>
      </c>
      <c r="B68">
        <v>14</v>
      </c>
      <c r="C68" t="s">
        <v>93</v>
      </c>
      <c r="D68">
        <v>5</v>
      </c>
    </row>
    <row r="69" spans="1:4" x14ac:dyDescent="0.25">
      <c r="A69" s="1" t="s">
        <v>95</v>
      </c>
      <c r="B69">
        <v>14</v>
      </c>
      <c r="C69" t="s">
        <v>93</v>
      </c>
      <c r="D69">
        <v>5</v>
      </c>
    </row>
    <row r="70" spans="1:4" x14ac:dyDescent="0.25">
      <c r="A70" s="1" t="s">
        <v>96</v>
      </c>
      <c r="B70">
        <v>14</v>
      </c>
      <c r="C70" t="s">
        <v>93</v>
      </c>
      <c r="D70">
        <v>5</v>
      </c>
    </row>
    <row r="71" spans="1:4" x14ac:dyDescent="0.25">
      <c r="A71" s="1">
        <v>23100</v>
      </c>
      <c r="B71">
        <v>14</v>
      </c>
      <c r="C71" t="s">
        <v>93</v>
      </c>
      <c r="D71">
        <v>5</v>
      </c>
    </row>
    <row r="72" spans="1:4" x14ac:dyDescent="0.25">
      <c r="A72" s="1" t="s">
        <v>97</v>
      </c>
      <c r="B72">
        <v>15</v>
      </c>
      <c r="C72" t="s">
        <v>98</v>
      </c>
      <c r="D72">
        <v>5</v>
      </c>
    </row>
    <row r="73" spans="1:4" x14ac:dyDescent="0.25">
      <c r="A73" s="1" t="s">
        <v>99</v>
      </c>
      <c r="B73">
        <v>15</v>
      </c>
      <c r="C73" t="s">
        <v>98</v>
      </c>
      <c r="D73">
        <v>5</v>
      </c>
    </row>
    <row r="74" spans="1:4" x14ac:dyDescent="0.25">
      <c r="A74" s="1" t="s">
        <v>100</v>
      </c>
      <c r="B74">
        <v>15</v>
      </c>
      <c r="C74" t="s">
        <v>98</v>
      </c>
      <c r="D74">
        <v>5</v>
      </c>
    </row>
    <row r="75" spans="1:4" x14ac:dyDescent="0.25">
      <c r="A75" s="1" t="s">
        <v>101</v>
      </c>
      <c r="B75">
        <v>15</v>
      </c>
      <c r="C75" t="s">
        <v>98</v>
      </c>
      <c r="D75">
        <v>5</v>
      </c>
    </row>
    <row r="76" spans="1:4" x14ac:dyDescent="0.25">
      <c r="A76" s="1">
        <v>23200</v>
      </c>
      <c r="B76">
        <v>15</v>
      </c>
      <c r="C76" t="s">
        <v>98</v>
      </c>
      <c r="D76">
        <v>5</v>
      </c>
    </row>
    <row r="77" spans="1:4" x14ac:dyDescent="0.25">
      <c r="A77" s="1" t="s">
        <v>102</v>
      </c>
      <c r="B77">
        <v>16</v>
      </c>
      <c r="C77" t="s">
        <v>103</v>
      </c>
      <c r="D77">
        <v>5</v>
      </c>
    </row>
    <row r="78" spans="1:4" x14ac:dyDescent="0.25">
      <c r="A78" s="1" t="s">
        <v>104</v>
      </c>
      <c r="B78">
        <v>16</v>
      </c>
      <c r="C78" t="s">
        <v>103</v>
      </c>
      <c r="D78">
        <v>5</v>
      </c>
    </row>
    <row r="79" spans="1:4" x14ac:dyDescent="0.25">
      <c r="A79" s="1" t="s">
        <v>105</v>
      </c>
      <c r="B79">
        <v>16</v>
      </c>
      <c r="C79" t="s">
        <v>103</v>
      </c>
      <c r="D79">
        <v>5</v>
      </c>
    </row>
    <row r="80" spans="1:4" x14ac:dyDescent="0.25">
      <c r="A80" s="1" t="s">
        <v>106</v>
      </c>
      <c r="B80">
        <v>16</v>
      </c>
      <c r="C80" t="s">
        <v>103</v>
      </c>
      <c r="D80">
        <v>5</v>
      </c>
    </row>
    <row r="81" spans="1:4" x14ac:dyDescent="0.25">
      <c r="A81" s="1">
        <v>23330</v>
      </c>
      <c r="B81">
        <v>16</v>
      </c>
      <c r="C81" t="s">
        <v>103</v>
      </c>
      <c r="D81">
        <v>5</v>
      </c>
    </row>
    <row r="82" spans="1:4" x14ac:dyDescent="0.25">
      <c r="A82" s="1" t="s">
        <v>107</v>
      </c>
      <c r="B82">
        <v>17</v>
      </c>
      <c r="C82" t="s">
        <v>108</v>
      </c>
      <c r="D82">
        <v>5</v>
      </c>
    </row>
    <row r="83" spans="1:4" x14ac:dyDescent="0.25">
      <c r="A83" s="1" t="s">
        <v>109</v>
      </c>
      <c r="B83">
        <v>17</v>
      </c>
      <c r="C83" t="s">
        <v>108</v>
      </c>
      <c r="D83">
        <v>5</v>
      </c>
    </row>
    <row r="84" spans="1:4" x14ac:dyDescent="0.25">
      <c r="A84" s="1" t="s">
        <v>110</v>
      </c>
      <c r="B84">
        <v>17</v>
      </c>
      <c r="C84" t="s">
        <v>108</v>
      </c>
      <c r="D84">
        <v>5</v>
      </c>
    </row>
    <row r="85" spans="1:4" x14ac:dyDescent="0.25">
      <c r="A85" s="1" t="s">
        <v>111</v>
      </c>
      <c r="B85">
        <v>17</v>
      </c>
      <c r="C85" t="s">
        <v>108</v>
      </c>
      <c r="D85">
        <v>5</v>
      </c>
    </row>
    <row r="86" spans="1:4" x14ac:dyDescent="0.25">
      <c r="A86" s="1">
        <v>23350</v>
      </c>
      <c r="B86">
        <v>17</v>
      </c>
      <c r="C86" t="s">
        <v>108</v>
      </c>
      <c r="D86">
        <v>5</v>
      </c>
    </row>
    <row r="87" spans="1:4" x14ac:dyDescent="0.25">
      <c r="A87" s="1" t="s">
        <v>112</v>
      </c>
      <c r="B87">
        <v>18</v>
      </c>
      <c r="C87" t="s">
        <v>113</v>
      </c>
      <c r="D87">
        <v>5</v>
      </c>
    </row>
    <row r="88" spans="1:4" x14ac:dyDescent="0.25">
      <c r="A88" s="1" t="s">
        <v>114</v>
      </c>
      <c r="B88">
        <v>18</v>
      </c>
      <c r="C88" t="s">
        <v>113</v>
      </c>
      <c r="D88">
        <v>5</v>
      </c>
    </row>
    <row r="89" spans="1:4" x14ac:dyDescent="0.25">
      <c r="A89" s="1" t="s">
        <v>115</v>
      </c>
      <c r="B89">
        <v>18</v>
      </c>
      <c r="C89" t="s">
        <v>113</v>
      </c>
      <c r="D89">
        <v>5</v>
      </c>
    </row>
    <row r="90" spans="1:4" x14ac:dyDescent="0.25">
      <c r="A90" s="1" t="s">
        <v>116</v>
      </c>
      <c r="B90">
        <v>18</v>
      </c>
      <c r="C90" t="s">
        <v>113</v>
      </c>
      <c r="D90">
        <v>5</v>
      </c>
    </row>
    <row r="91" spans="1:4" x14ac:dyDescent="0.25">
      <c r="A91" s="1">
        <v>23600</v>
      </c>
      <c r="B91">
        <v>18</v>
      </c>
      <c r="C91" t="s">
        <v>113</v>
      </c>
      <c r="D91">
        <v>5</v>
      </c>
    </row>
    <row r="92" spans="1:4" x14ac:dyDescent="0.25">
      <c r="A92" s="1" t="s">
        <v>117</v>
      </c>
      <c r="B92">
        <v>19</v>
      </c>
      <c r="C92" t="s">
        <v>118</v>
      </c>
      <c r="D92">
        <v>5</v>
      </c>
    </row>
    <row r="93" spans="1:4" x14ac:dyDescent="0.25">
      <c r="A93" s="1" t="s">
        <v>119</v>
      </c>
      <c r="B93">
        <v>19</v>
      </c>
      <c r="C93" t="s">
        <v>118</v>
      </c>
      <c r="D93">
        <v>5</v>
      </c>
    </row>
    <row r="94" spans="1:4" x14ac:dyDescent="0.25">
      <c r="A94" s="1" t="s">
        <v>120</v>
      </c>
      <c r="B94">
        <v>19</v>
      </c>
      <c r="C94" t="s">
        <v>118</v>
      </c>
      <c r="D94">
        <v>5</v>
      </c>
    </row>
    <row r="95" spans="1:4" x14ac:dyDescent="0.25">
      <c r="A95" s="1" t="s">
        <v>121</v>
      </c>
      <c r="B95">
        <v>19</v>
      </c>
      <c r="C95" t="s">
        <v>118</v>
      </c>
      <c r="D95">
        <v>5</v>
      </c>
    </row>
    <row r="96" spans="1:4" x14ac:dyDescent="0.25">
      <c r="A96" s="1">
        <v>24200</v>
      </c>
      <c r="B96">
        <v>19</v>
      </c>
      <c r="C96" t="s">
        <v>118</v>
      </c>
      <c r="D96">
        <v>5</v>
      </c>
    </row>
    <row r="97" spans="1:4" x14ac:dyDescent="0.25">
      <c r="A97" s="1" t="s">
        <v>122</v>
      </c>
      <c r="B97">
        <v>20</v>
      </c>
      <c r="C97" t="s">
        <v>123</v>
      </c>
      <c r="D97">
        <v>5</v>
      </c>
    </row>
    <row r="98" spans="1:4" x14ac:dyDescent="0.25">
      <c r="A98" s="1" t="s">
        <v>124</v>
      </c>
      <c r="B98">
        <v>20</v>
      </c>
      <c r="C98" t="s">
        <v>123</v>
      </c>
      <c r="D98">
        <v>5</v>
      </c>
    </row>
    <row r="99" spans="1:4" x14ac:dyDescent="0.25">
      <c r="A99" s="1" t="s">
        <v>125</v>
      </c>
      <c r="B99">
        <v>20</v>
      </c>
      <c r="C99" t="s">
        <v>123</v>
      </c>
      <c r="D99">
        <v>5</v>
      </c>
    </row>
    <row r="100" spans="1:4" x14ac:dyDescent="0.25">
      <c r="A100" s="1" t="s">
        <v>126</v>
      </c>
      <c r="B100">
        <v>20</v>
      </c>
      <c r="C100" t="s">
        <v>123</v>
      </c>
      <c r="D100">
        <v>5</v>
      </c>
    </row>
    <row r="101" spans="1:4" x14ac:dyDescent="0.25">
      <c r="A101" s="1">
        <v>25100</v>
      </c>
      <c r="B101">
        <v>20</v>
      </c>
      <c r="C101" t="s">
        <v>123</v>
      </c>
      <c r="D101">
        <v>5</v>
      </c>
    </row>
    <row r="102" spans="1:4" x14ac:dyDescent="0.25">
      <c r="A102" s="1" t="s">
        <v>127</v>
      </c>
      <c r="B102">
        <v>21</v>
      </c>
      <c r="C102" t="s">
        <v>128</v>
      </c>
      <c r="D102">
        <v>5</v>
      </c>
    </row>
    <row r="103" spans="1:4" x14ac:dyDescent="0.25">
      <c r="A103" s="1" t="s">
        <v>129</v>
      </c>
      <c r="B103">
        <v>21</v>
      </c>
      <c r="C103" t="s">
        <v>128</v>
      </c>
      <c r="D103">
        <v>5</v>
      </c>
    </row>
    <row r="104" spans="1:4" x14ac:dyDescent="0.25">
      <c r="A104" s="1" t="s">
        <v>130</v>
      </c>
      <c r="B104">
        <v>21</v>
      </c>
      <c r="C104" t="s">
        <v>128</v>
      </c>
      <c r="D104">
        <v>5</v>
      </c>
    </row>
    <row r="105" spans="1:4" x14ac:dyDescent="0.25">
      <c r="A105" s="1" t="s">
        <v>131</v>
      </c>
      <c r="B105">
        <v>21</v>
      </c>
      <c r="C105" t="s">
        <v>128</v>
      </c>
      <c r="D105">
        <v>5</v>
      </c>
    </row>
    <row r="106" spans="1:4" x14ac:dyDescent="0.25">
      <c r="A106" s="1">
        <v>25300</v>
      </c>
      <c r="B106">
        <v>21</v>
      </c>
      <c r="C106" t="s">
        <v>128</v>
      </c>
      <c r="D106">
        <v>5</v>
      </c>
    </row>
    <row r="107" spans="1:4" x14ac:dyDescent="0.25">
      <c r="A107" s="1" t="s">
        <v>132</v>
      </c>
      <c r="B107">
        <v>22</v>
      </c>
      <c r="C107" t="s">
        <v>133</v>
      </c>
      <c r="D107">
        <v>5</v>
      </c>
    </row>
    <row r="108" spans="1:4" x14ac:dyDescent="0.25">
      <c r="A108" s="1" t="s">
        <v>134</v>
      </c>
      <c r="B108">
        <v>22</v>
      </c>
      <c r="C108" t="s">
        <v>133</v>
      </c>
      <c r="D108">
        <v>5</v>
      </c>
    </row>
    <row r="109" spans="1:4" x14ac:dyDescent="0.25">
      <c r="A109" s="1" t="s">
        <v>135</v>
      </c>
      <c r="B109">
        <v>22</v>
      </c>
      <c r="C109" t="s">
        <v>133</v>
      </c>
      <c r="D109">
        <v>5</v>
      </c>
    </row>
    <row r="110" spans="1:4" x14ac:dyDescent="0.25">
      <c r="A110" s="1" t="s">
        <v>136</v>
      </c>
      <c r="B110">
        <v>22</v>
      </c>
      <c r="C110" t="s">
        <v>133</v>
      </c>
      <c r="D110">
        <v>5</v>
      </c>
    </row>
    <row r="111" spans="1:4" x14ac:dyDescent="0.25">
      <c r="A111" s="1">
        <v>25400</v>
      </c>
      <c r="B111">
        <v>22</v>
      </c>
      <c r="C111" t="s">
        <v>133</v>
      </c>
      <c r="D111">
        <v>5</v>
      </c>
    </row>
    <row r="112" spans="1:4" x14ac:dyDescent="0.25">
      <c r="A112" s="1" t="s">
        <v>137</v>
      </c>
      <c r="B112">
        <v>23</v>
      </c>
      <c r="C112" t="s">
        <v>138</v>
      </c>
      <c r="D112">
        <v>5</v>
      </c>
    </row>
    <row r="113" spans="1:4" x14ac:dyDescent="0.25">
      <c r="A113" s="1" t="s">
        <v>139</v>
      </c>
      <c r="B113">
        <v>23</v>
      </c>
      <c r="C113" t="s">
        <v>138</v>
      </c>
      <c r="D113">
        <v>5</v>
      </c>
    </row>
    <row r="114" spans="1:4" x14ac:dyDescent="0.25">
      <c r="A114" s="1" t="s">
        <v>140</v>
      </c>
      <c r="B114">
        <v>23</v>
      </c>
      <c r="C114" t="s">
        <v>138</v>
      </c>
      <c r="D114">
        <v>5</v>
      </c>
    </row>
    <row r="115" spans="1:4" x14ac:dyDescent="0.25">
      <c r="A115" s="1" t="s">
        <v>141</v>
      </c>
      <c r="B115">
        <v>23</v>
      </c>
      <c r="C115" t="s">
        <v>138</v>
      </c>
      <c r="D115">
        <v>5</v>
      </c>
    </row>
    <row r="116" spans="1:4" x14ac:dyDescent="0.25">
      <c r="A116" s="1">
        <v>25700</v>
      </c>
      <c r="B116">
        <v>23</v>
      </c>
      <c r="C116" t="s">
        <v>138</v>
      </c>
      <c r="D116">
        <v>5</v>
      </c>
    </row>
    <row r="117" spans="1:4" x14ac:dyDescent="0.25">
      <c r="A117" s="1" t="s">
        <v>142</v>
      </c>
      <c r="B117">
        <v>24</v>
      </c>
      <c r="C117" t="s">
        <v>143</v>
      </c>
      <c r="D117">
        <v>5</v>
      </c>
    </row>
    <row r="118" spans="1:4" x14ac:dyDescent="0.25">
      <c r="A118" s="1" t="s">
        <v>144</v>
      </c>
      <c r="B118">
        <v>24</v>
      </c>
      <c r="C118" t="s">
        <v>143</v>
      </c>
      <c r="D118">
        <v>5</v>
      </c>
    </row>
    <row r="119" spans="1:4" x14ac:dyDescent="0.25">
      <c r="A119" s="1" t="s">
        <v>145</v>
      </c>
      <c r="B119">
        <v>24</v>
      </c>
      <c r="C119" t="s">
        <v>143</v>
      </c>
      <c r="D119">
        <v>5</v>
      </c>
    </row>
    <row r="120" spans="1:4" x14ac:dyDescent="0.25">
      <c r="A120" s="1" t="s">
        <v>146</v>
      </c>
      <c r="B120">
        <v>24</v>
      </c>
      <c r="C120" t="s">
        <v>143</v>
      </c>
      <c r="D120">
        <v>5</v>
      </c>
    </row>
    <row r="121" spans="1:4" x14ac:dyDescent="0.25">
      <c r="A121" s="1">
        <v>26110</v>
      </c>
      <c r="B121">
        <v>24</v>
      </c>
      <c r="C121" t="s">
        <v>143</v>
      </c>
      <c r="D121">
        <v>5</v>
      </c>
    </row>
    <row r="122" spans="1:4" x14ac:dyDescent="0.25">
      <c r="A122" s="1" t="s">
        <v>147</v>
      </c>
      <c r="B122">
        <v>25</v>
      </c>
      <c r="C122" t="s">
        <v>148</v>
      </c>
      <c r="D122">
        <v>5</v>
      </c>
    </row>
    <row r="123" spans="1:4" x14ac:dyDescent="0.25">
      <c r="A123" s="1" t="s">
        <v>149</v>
      </c>
      <c r="B123">
        <v>25</v>
      </c>
      <c r="C123" t="s">
        <v>148</v>
      </c>
      <c r="D123">
        <v>5</v>
      </c>
    </row>
    <row r="124" spans="1:4" x14ac:dyDescent="0.25">
      <c r="A124" s="1" t="s">
        <v>150</v>
      </c>
      <c r="B124">
        <v>25</v>
      </c>
      <c r="C124" t="s">
        <v>148</v>
      </c>
      <c r="D124">
        <v>5</v>
      </c>
    </row>
    <row r="125" spans="1:4" x14ac:dyDescent="0.25">
      <c r="A125" s="1" t="s">
        <v>151</v>
      </c>
      <c r="B125">
        <v>25</v>
      </c>
      <c r="C125" t="s">
        <v>148</v>
      </c>
      <c r="D125">
        <v>5</v>
      </c>
    </row>
    <row r="126" spans="1:4" x14ac:dyDescent="0.25">
      <c r="A126" s="1">
        <v>26210</v>
      </c>
      <c r="B126">
        <v>25</v>
      </c>
      <c r="C126" t="s">
        <v>148</v>
      </c>
      <c r="D126">
        <v>5</v>
      </c>
    </row>
    <row r="127" spans="1:4" x14ac:dyDescent="0.25">
      <c r="A127" s="1" t="s">
        <v>152</v>
      </c>
      <c r="B127">
        <v>26</v>
      </c>
      <c r="C127" t="s">
        <v>153</v>
      </c>
      <c r="D127">
        <v>5</v>
      </c>
    </row>
    <row r="128" spans="1:4" x14ac:dyDescent="0.25">
      <c r="A128" s="1" t="s">
        <v>154</v>
      </c>
      <c r="B128">
        <v>26</v>
      </c>
      <c r="C128" t="s">
        <v>153</v>
      </c>
      <c r="D128">
        <v>5</v>
      </c>
    </row>
    <row r="129" spans="1:4" x14ac:dyDescent="0.25">
      <c r="A129" s="1" t="s">
        <v>155</v>
      </c>
      <c r="B129">
        <v>26</v>
      </c>
      <c r="C129" t="s">
        <v>153</v>
      </c>
      <c r="D129">
        <v>5</v>
      </c>
    </row>
    <row r="130" spans="1:4" x14ac:dyDescent="0.25">
      <c r="A130" s="1" t="s">
        <v>156</v>
      </c>
      <c r="B130">
        <v>26</v>
      </c>
      <c r="C130" t="s">
        <v>153</v>
      </c>
      <c r="D130">
        <v>5</v>
      </c>
    </row>
    <row r="131" spans="1:4" x14ac:dyDescent="0.25">
      <c r="A131" s="1">
        <v>27210</v>
      </c>
      <c r="B131">
        <v>26</v>
      </c>
      <c r="C131" t="s">
        <v>153</v>
      </c>
      <c r="D131">
        <v>5</v>
      </c>
    </row>
    <row r="132" spans="1:4" x14ac:dyDescent="0.25">
      <c r="A132" s="1" t="s">
        <v>157</v>
      </c>
      <c r="B132">
        <v>27</v>
      </c>
      <c r="C132" t="s">
        <v>158</v>
      </c>
      <c r="D132">
        <v>5</v>
      </c>
    </row>
    <row r="133" spans="1:4" x14ac:dyDescent="0.25">
      <c r="A133" s="1" t="s">
        <v>159</v>
      </c>
      <c r="B133">
        <v>27</v>
      </c>
      <c r="C133" t="s">
        <v>158</v>
      </c>
      <c r="D133">
        <v>5</v>
      </c>
    </row>
    <row r="134" spans="1:4" x14ac:dyDescent="0.25">
      <c r="A134" s="1" t="s">
        <v>160</v>
      </c>
      <c r="B134">
        <v>27</v>
      </c>
      <c r="C134" t="s">
        <v>158</v>
      </c>
      <c r="D134">
        <v>5</v>
      </c>
    </row>
    <row r="135" spans="1:4" x14ac:dyDescent="0.25">
      <c r="A135" s="1" t="s">
        <v>161</v>
      </c>
      <c r="B135">
        <v>27</v>
      </c>
      <c r="C135" t="s">
        <v>158</v>
      </c>
      <c r="D135">
        <v>5</v>
      </c>
    </row>
    <row r="136" spans="1:4" x14ac:dyDescent="0.25">
      <c r="A136" s="1">
        <v>29100</v>
      </c>
      <c r="B136">
        <v>27</v>
      </c>
      <c r="C136" t="s">
        <v>158</v>
      </c>
      <c r="D136">
        <v>5</v>
      </c>
    </row>
    <row r="137" spans="1:4" x14ac:dyDescent="0.25">
      <c r="A137" s="1" t="s">
        <v>162</v>
      </c>
      <c r="B137">
        <v>28</v>
      </c>
      <c r="C137" t="s">
        <v>163</v>
      </c>
      <c r="D137">
        <v>4</v>
      </c>
    </row>
    <row r="138" spans="1:4" x14ac:dyDescent="0.25">
      <c r="A138" s="1" t="s">
        <v>164</v>
      </c>
      <c r="B138">
        <v>28</v>
      </c>
      <c r="C138" t="s">
        <v>163</v>
      </c>
      <c r="D138">
        <v>4</v>
      </c>
    </row>
    <row r="139" spans="1:4" x14ac:dyDescent="0.25">
      <c r="A139" s="1" t="s">
        <v>165</v>
      </c>
      <c r="B139">
        <v>28</v>
      </c>
      <c r="C139" t="s">
        <v>163</v>
      </c>
      <c r="D139">
        <v>4</v>
      </c>
    </row>
    <row r="140" spans="1:4" x14ac:dyDescent="0.25">
      <c r="A140" s="1" t="s">
        <v>166</v>
      </c>
      <c r="B140">
        <v>28</v>
      </c>
      <c r="C140" t="s">
        <v>163</v>
      </c>
      <c r="D140">
        <v>4</v>
      </c>
    </row>
    <row r="141" spans="1:4" x14ac:dyDescent="0.25">
      <c r="A141" s="1" t="s">
        <v>167</v>
      </c>
      <c r="B141">
        <v>28</v>
      </c>
      <c r="C141" t="s">
        <v>163</v>
      </c>
      <c r="D141">
        <v>4</v>
      </c>
    </row>
    <row r="142" spans="1:4" x14ac:dyDescent="0.25">
      <c r="A142" s="1" t="s">
        <v>168</v>
      </c>
      <c r="B142">
        <v>29</v>
      </c>
      <c r="C142" t="s">
        <v>169</v>
      </c>
      <c r="D142">
        <v>5</v>
      </c>
    </row>
    <row r="143" spans="1:4" x14ac:dyDescent="0.25">
      <c r="A143" s="1" t="s">
        <v>170</v>
      </c>
      <c r="B143">
        <v>29</v>
      </c>
      <c r="C143" t="s">
        <v>169</v>
      </c>
      <c r="D143">
        <v>5</v>
      </c>
    </row>
    <row r="144" spans="1:4" x14ac:dyDescent="0.25">
      <c r="A144" s="1" t="s">
        <v>171</v>
      </c>
      <c r="B144">
        <v>29</v>
      </c>
      <c r="C144" t="s">
        <v>169</v>
      </c>
      <c r="D144">
        <v>5</v>
      </c>
    </row>
    <row r="145" spans="1:4" x14ac:dyDescent="0.25">
      <c r="A145" s="1" t="s">
        <v>172</v>
      </c>
      <c r="B145">
        <v>29</v>
      </c>
      <c r="C145" t="s">
        <v>169</v>
      </c>
      <c r="D145">
        <v>5</v>
      </c>
    </row>
    <row r="146" spans="1:4" x14ac:dyDescent="0.25">
      <c r="A146" s="1">
        <v>31110</v>
      </c>
      <c r="B146">
        <v>29</v>
      </c>
      <c r="C146" t="s">
        <v>169</v>
      </c>
      <c r="D146">
        <v>5</v>
      </c>
    </row>
    <row r="147" spans="1:4" x14ac:dyDescent="0.25">
      <c r="A147" s="1" t="s">
        <v>173</v>
      </c>
      <c r="B147">
        <v>30</v>
      </c>
      <c r="C147" t="s">
        <v>174</v>
      </c>
      <c r="D147">
        <v>5</v>
      </c>
    </row>
    <row r="148" spans="1:4" x14ac:dyDescent="0.25">
      <c r="A148" s="1" t="s">
        <v>175</v>
      </c>
      <c r="B148">
        <v>30</v>
      </c>
      <c r="C148" t="s">
        <v>174</v>
      </c>
      <c r="D148">
        <v>5</v>
      </c>
    </row>
    <row r="149" spans="1:4" x14ac:dyDescent="0.25">
      <c r="A149" s="1" t="s">
        <v>176</v>
      </c>
      <c r="B149">
        <v>30</v>
      </c>
      <c r="C149" t="s">
        <v>174</v>
      </c>
      <c r="D149">
        <v>5</v>
      </c>
    </row>
    <row r="150" spans="1:4" x14ac:dyDescent="0.25">
      <c r="A150" s="1" t="s">
        <v>177</v>
      </c>
      <c r="B150">
        <v>30</v>
      </c>
      <c r="C150" t="s">
        <v>174</v>
      </c>
      <c r="D150">
        <v>5</v>
      </c>
    </row>
    <row r="151" spans="1:4" x14ac:dyDescent="0.25">
      <c r="A151" s="1">
        <v>32100</v>
      </c>
      <c r="B151">
        <v>30</v>
      </c>
      <c r="C151" t="s">
        <v>174</v>
      </c>
      <c r="D151">
        <v>5</v>
      </c>
    </row>
    <row r="152" spans="1:4" x14ac:dyDescent="0.25">
      <c r="A152" s="1" t="s">
        <v>178</v>
      </c>
      <c r="B152">
        <v>31</v>
      </c>
      <c r="C152" t="s">
        <v>179</v>
      </c>
      <c r="D152">
        <v>5</v>
      </c>
    </row>
    <row r="153" spans="1:4" x14ac:dyDescent="0.25">
      <c r="A153" s="1" t="s">
        <v>180</v>
      </c>
      <c r="B153">
        <v>31</v>
      </c>
      <c r="C153" t="s">
        <v>179</v>
      </c>
      <c r="D153">
        <v>5</v>
      </c>
    </row>
    <row r="154" spans="1:4" x14ac:dyDescent="0.25">
      <c r="A154" s="1" t="s">
        <v>181</v>
      </c>
      <c r="B154">
        <v>31</v>
      </c>
      <c r="C154" t="s">
        <v>179</v>
      </c>
      <c r="D154">
        <v>5</v>
      </c>
    </row>
    <row r="155" spans="1:4" x14ac:dyDescent="0.25">
      <c r="A155" s="1" t="s">
        <v>182</v>
      </c>
      <c r="B155">
        <v>31</v>
      </c>
      <c r="C155" t="s">
        <v>179</v>
      </c>
      <c r="D155">
        <v>5</v>
      </c>
    </row>
    <row r="156" spans="1:4" x14ac:dyDescent="0.25">
      <c r="A156" s="1">
        <v>32310</v>
      </c>
      <c r="B156">
        <v>31</v>
      </c>
      <c r="C156" t="s">
        <v>179</v>
      </c>
      <c r="D156">
        <v>5</v>
      </c>
    </row>
    <row r="157" spans="1:4" x14ac:dyDescent="0.25">
      <c r="A157" s="1" t="s">
        <v>183</v>
      </c>
      <c r="B157">
        <v>32</v>
      </c>
      <c r="C157" t="s">
        <v>184</v>
      </c>
      <c r="D157">
        <v>5</v>
      </c>
    </row>
    <row r="158" spans="1:4" x14ac:dyDescent="0.25">
      <c r="A158" s="1" t="s">
        <v>185</v>
      </c>
      <c r="B158">
        <v>32</v>
      </c>
      <c r="C158" t="s">
        <v>184</v>
      </c>
      <c r="D158">
        <v>5</v>
      </c>
    </row>
    <row r="159" spans="1:4" x14ac:dyDescent="0.25">
      <c r="A159" s="1" t="s">
        <v>186</v>
      </c>
      <c r="B159">
        <v>32</v>
      </c>
      <c r="C159" t="s">
        <v>184</v>
      </c>
      <c r="D159">
        <v>5</v>
      </c>
    </row>
    <row r="160" spans="1:4" x14ac:dyDescent="0.25">
      <c r="A160" s="1" t="s">
        <v>187</v>
      </c>
      <c r="B160">
        <v>32</v>
      </c>
      <c r="C160" t="s">
        <v>184</v>
      </c>
      <c r="D160">
        <v>5</v>
      </c>
    </row>
    <row r="161" spans="1:4" x14ac:dyDescent="0.25">
      <c r="A161" s="1">
        <v>32400</v>
      </c>
      <c r="B161">
        <v>32</v>
      </c>
      <c r="C161" t="s">
        <v>184</v>
      </c>
      <c r="D161">
        <v>5</v>
      </c>
    </row>
    <row r="162" spans="1:4" x14ac:dyDescent="0.25">
      <c r="A162" s="1" t="s">
        <v>188</v>
      </c>
      <c r="B162">
        <v>33</v>
      </c>
      <c r="C162" t="s">
        <v>189</v>
      </c>
      <c r="D162">
        <v>5</v>
      </c>
    </row>
    <row r="163" spans="1:4" x14ac:dyDescent="0.25">
      <c r="A163" s="1" t="s">
        <v>190</v>
      </c>
      <c r="B163">
        <v>33</v>
      </c>
      <c r="C163" t="s">
        <v>189</v>
      </c>
      <c r="D163">
        <v>5</v>
      </c>
    </row>
    <row r="164" spans="1:4" x14ac:dyDescent="0.25">
      <c r="A164" s="1" t="s">
        <v>191</v>
      </c>
      <c r="B164">
        <v>33</v>
      </c>
      <c r="C164" t="s">
        <v>189</v>
      </c>
      <c r="D164">
        <v>5</v>
      </c>
    </row>
    <row r="165" spans="1:4" x14ac:dyDescent="0.25">
      <c r="A165" s="1" t="s">
        <v>192</v>
      </c>
      <c r="B165">
        <v>33</v>
      </c>
      <c r="C165" t="s">
        <v>189</v>
      </c>
      <c r="D165">
        <v>5</v>
      </c>
    </row>
    <row r="166" spans="1:4" x14ac:dyDescent="0.25">
      <c r="A166" s="1">
        <v>33100</v>
      </c>
      <c r="B166">
        <v>33</v>
      </c>
      <c r="C166" t="s">
        <v>189</v>
      </c>
      <c r="D166">
        <v>5</v>
      </c>
    </row>
    <row r="167" spans="1:4" x14ac:dyDescent="0.25">
      <c r="A167" s="1" t="s">
        <v>193</v>
      </c>
      <c r="B167">
        <v>34</v>
      </c>
      <c r="C167" t="s">
        <v>194</v>
      </c>
      <c r="D167">
        <v>5</v>
      </c>
    </row>
    <row r="168" spans="1:4" x14ac:dyDescent="0.25">
      <c r="A168" s="1" t="s">
        <v>195</v>
      </c>
      <c r="B168">
        <v>34</v>
      </c>
      <c r="C168" t="s">
        <v>194</v>
      </c>
      <c r="D168">
        <v>5</v>
      </c>
    </row>
    <row r="169" spans="1:4" x14ac:dyDescent="0.25">
      <c r="A169" s="1" t="s">
        <v>196</v>
      </c>
      <c r="B169">
        <v>34</v>
      </c>
      <c r="C169" t="s">
        <v>194</v>
      </c>
      <c r="D169">
        <v>5</v>
      </c>
    </row>
    <row r="170" spans="1:4" x14ac:dyDescent="0.25">
      <c r="A170" s="1" t="s">
        <v>197</v>
      </c>
      <c r="B170">
        <v>34</v>
      </c>
      <c r="C170" t="s">
        <v>194</v>
      </c>
      <c r="D170">
        <v>5</v>
      </c>
    </row>
    <row r="171" spans="1:4" x14ac:dyDescent="0.25">
      <c r="A171" s="1">
        <v>33300</v>
      </c>
      <c r="B171">
        <v>34</v>
      </c>
      <c r="C171" t="s">
        <v>194</v>
      </c>
      <c r="D171">
        <v>5</v>
      </c>
    </row>
    <row r="172" spans="1:4" x14ac:dyDescent="0.25">
      <c r="A172" s="1" t="s">
        <v>198</v>
      </c>
      <c r="B172">
        <v>35</v>
      </c>
      <c r="C172" t="s">
        <v>199</v>
      </c>
      <c r="D172">
        <v>5</v>
      </c>
    </row>
    <row r="173" spans="1:4" x14ac:dyDescent="0.25">
      <c r="A173" s="1" t="s">
        <v>200</v>
      </c>
      <c r="B173">
        <v>35</v>
      </c>
      <c r="C173" t="s">
        <v>199</v>
      </c>
      <c r="D173">
        <v>5</v>
      </c>
    </row>
    <row r="174" spans="1:4" x14ac:dyDescent="0.25">
      <c r="A174" s="1" t="s">
        <v>201</v>
      </c>
      <c r="B174">
        <v>35</v>
      </c>
      <c r="C174" t="s">
        <v>199</v>
      </c>
      <c r="D174">
        <v>5</v>
      </c>
    </row>
    <row r="175" spans="1:4" x14ac:dyDescent="0.25">
      <c r="A175" s="1" t="s">
        <v>202</v>
      </c>
      <c r="B175">
        <v>35</v>
      </c>
      <c r="C175" t="s">
        <v>199</v>
      </c>
      <c r="D175">
        <v>5</v>
      </c>
    </row>
    <row r="176" spans="1:4" x14ac:dyDescent="0.25">
      <c r="A176" s="1">
        <v>34400</v>
      </c>
      <c r="B176">
        <v>35</v>
      </c>
      <c r="C176" t="s">
        <v>199</v>
      </c>
      <c r="D176">
        <v>5</v>
      </c>
    </row>
    <row r="177" spans="1:4" x14ac:dyDescent="0.25">
      <c r="A177" s="1" t="s">
        <v>203</v>
      </c>
      <c r="B177">
        <v>36</v>
      </c>
      <c r="C177" t="s">
        <v>204</v>
      </c>
      <c r="D177">
        <v>5</v>
      </c>
    </row>
    <row r="178" spans="1:4" x14ac:dyDescent="0.25">
      <c r="A178" s="1" t="s">
        <v>205</v>
      </c>
      <c r="B178">
        <v>36</v>
      </c>
      <c r="C178" t="s">
        <v>204</v>
      </c>
      <c r="D178">
        <v>5</v>
      </c>
    </row>
    <row r="179" spans="1:4" x14ac:dyDescent="0.25">
      <c r="A179" s="1" t="s">
        <v>206</v>
      </c>
      <c r="B179">
        <v>36</v>
      </c>
      <c r="C179" t="s">
        <v>204</v>
      </c>
      <c r="D179">
        <v>5</v>
      </c>
    </row>
    <row r="180" spans="1:4" x14ac:dyDescent="0.25">
      <c r="A180" s="1" t="s">
        <v>207</v>
      </c>
      <c r="B180">
        <v>36</v>
      </c>
      <c r="C180" t="s">
        <v>204</v>
      </c>
      <c r="D180">
        <v>5</v>
      </c>
    </row>
    <row r="181" spans="1:4" x14ac:dyDescent="0.25">
      <c r="A181" s="1">
        <v>35100</v>
      </c>
      <c r="B181">
        <v>36</v>
      </c>
      <c r="C181" t="s">
        <v>204</v>
      </c>
      <c r="D181">
        <v>5</v>
      </c>
    </row>
    <row r="182" spans="1:4" x14ac:dyDescent="0.25">
      <c r="A182" s="1" t="s">
        <v>208</v>
      </c>
      <c r="B182">
        <v>37</v>
      </c>
      <c r="C182" t="s">
        <v>209</v>
      </c>
      <c r="D182">
        <v>5</v>
      </c>
    </row>
    <row r="183" spans="1:4" x14ac:dyDescent="0.25">
      <c r="A183" s="1" t="s">
        <v>210</v>
      </c>
      <c r="B183">
        <v>37</v>
      </c>
      <c r="C183" t="s">
        <v>209</v>
      </c>
      <c r="D183">
        <v>5</v>
      </c>
    </row>
    <row r="184" spans="1:4" x14ac:dyDescent="0.25">
      <c r="A184" s="1" t="s">
        <v>211</v>
      </c>
      <c r="B184">
        <v>37</v>
      </c>
      <c r="C184" t="s">
        <v>209</v>
      </c>
      <c r="D184">
        <v>5</v>
      </c>
    </row>
    <row r="185" spans="1:4" x14ac:dyDescent="0.25">
      <c r="A185" s="1" t="s">
        <v>212</v>
      </c>
      <c r="B185">
        <v>37</v>
      </c>
      <c r="C185" t="s">
        <v>209</v>
      </c>
      <c r="D185">
        <v>5</v>
      </c>
    </row>
    <row r="186" spans="1:4" x14ac:dyDescent="0.25">
      <c r="A186" s="1">
        <v>35251</v>
      </c>
      <c r="B186">
        <v>37</v>
      </c>
      <c r="C186" t="s">
        <v>209</v>
      </c>
      <c r="D186">
        <v>5</v>
      </c>
    </row>
    <row r="187" spans="1:4" x14ac:dyDescent="0.25">
      <c r="A187" s="1" t="s">
        <v>213</v>
      </c>
      <c r="B187">
        <v>38</v>
      </c>
      <c r="C187" t="s">
        <v>214</v>
      </c>
      <c r="D187">
        <v>5</v>
      </c>
    </row>
    <row r="188" spans="1:4" x14ac:dyDescent="0.25">
      <c r="A188" s="1" t="s">
        <v>215</v>
      </c>
      <c r="B188">
        <v>38</v>
      </c>
      <c r="C188" t="s">
        <v>214</v>
      </c>
      <c r="D188">
        <v>5</v>
      </c>
    </row>
    <row r="189" spans="1:4" x14ac:dyDescent="0.25">
      <c r="A189" s="1" t="s">
        <v>216</v>
      </c>
      <c r="B189">
        <v>38</v>
      </c>
      <c r="C189" t="s">
        <v>214</v>
      </c>
      <c r="D189">
        <v>5</v>
      </c>
    </row>
    <row r="190" spans="1:4" x14ac:dyDescent="0.25">
      <c r="A190" s="1" t="s">
        <v>217</v>
      </c>
      <c r="B190">
        <v>38</v>
      </c>
      <c r="C190" t="s">
        <v>214</v>
      </c>
      <c r="D190">
        <v>5</v>
      </c>
    </row>
    <row r="191" spans="1:4" x14ac:dyDescent="0.25">
      <c r="A191" s="1">
        <v>35230</v>
      </c>
      <c r="B191">
        <v>38</v>
      </c>
      <c r="C191" t="s">
        <v>214</v>
      </c>
      <c r="D191">
        <v>5</v>
      </c>
    </row>
    <row r="192" spans="1:4" x14ac:dyDescent="0.25">
      <c r="A192" s="1" t="s">
        <v>218</v>
      </c>
      <c r="B192">
        <v>39</v>
      </c>
      <c r="C192" t="s">
        <v>219</v>
      </c>
      <c r="D192">
        <v>5</v>
      </c>
    </row>
    <row r="193" spans="1:4" x14ac:dyDescent="0.25">
      <c r="A193" s="1" t="s">
        <v>220</v>
      </c>
      <c r="B193">
        <v>39</v>
      </c>
      <c r="C193" t="s">
        <v>219</v>
      </c>
      <c r="D193">
        <v>5</v>
      </c>
    </row>
    <row r="194" spans="1:4" x14ac:dyDescent="0.25">
      <c r="A194" s="1" t="s">
        <v>221</v>
      </c>
      <c r="B194">
        <v>39</v>
      </c>
      <c r="C194" t="s">
        <v>219</v>
      </c>
      <c r="D194">
        <v>5</v>
      </c>
    </row>
    <row r="195" spans="1:4" x14ac:dyDescent="0.25">
      <c r="A195" s="1" t="s">
        <v>222</v>
      </c>
      <c r="B195">
        <v>39</v>
      </c>
      <c r="C195" t="s">
        <v>219</v>
      </c>
      <c r="D195">
        <v>5</v>
      </c>
    </row>
    <row r="196" spans="1:4" x14ac:dyDescent="0.25">
      <c r="A196" s="1">
        <v>35210</v>
      </c>
      <c r="B196">
        <v>39</v>
      </c>
      <c r="C196" t="s">
        <v>219</v>
      </c>
      <c r="D196">
        <v>5</v>
      </c>
    </row>
    <row r="197" spans="1:4" x14ac:dyDescent="0.25">
      <c r="A197" s="1" t="s">
        <v>223</v>
      </c>
      <c r="B197">
        <v>40</v>
      </c>
      <c r="C197" t="s">
        <v>224</v>
      </c>
      <c r="D197">
        <v>5</v>
      </c>
    </row>
    <row r="198" spans="1:4" x14ac:dyDescent="0.25">
      <c r="A198" s="1" t="s">
        <v>225</v>
      </c>
      <c r="B198">
        <v>40</v>
      </c>
      <c r="C198" t="s">
        <v>224</v>
      </c>
      <c r="D198">
        <v>5</v>
      </c>
    </row>
    <row r="199" spans="1:4" x14ac:dyDescent="0.25">
      <c r="A199" s="1" t="s">
        <v>226</v>
      </c>
      <c r="B199">
        <v>40</v>
      </c>
      <c r="C199" t="s">
        <v>224</v>
      </c>
      <c r="D199">
        <v>5</v>
      </c>
    </row>
    <row r="200" spans="1:4" x14ac:dyDescent="0.25">
      <c r="A200" s="1" t="s">
        <v>227</v>
      </c>
      <c r="B200">
        <v>40</v>
      </c>
      <c r="C200" t="s">
        <v>224</v>
      </c>
      <c r="D200">
        <v>5</v>
      </c>
    </row>
    <row r="201" spans="1:4" x14ac:dyDescent="0.25">
      <c r="A201" s="1">
        <v>35252</v>
      </c>
      <c r="B201">
        <v>40</v>
      </c>
      <c r="C201" t="s">
        <v>224</v>
      </c>
      <c r="D201">
        <v>5</v>
      </c>
    </row>
    <row r="202" spans="1:4" x14ac:dyDescent="0.25">
      <c r="A202" s="1" t="s">
        <v>228</v>
      </c>
      <c r="B202">
        <v>41</v>
      </c>
      <c r="C202" t="s">
        <v>229</v>
      </c>
      <c r="D202">
        <v>5</v>
      </c>
    </row>
    <row r="203" spans="1:4" x14ac:dyDescent="0.25">
      <c r="A203" s="1" t="s">
        <v>230</v>
      </c>
      <c r="B203">
        <v>41</v>
      </c>
      <c r="C203" t="s">
        <v>229</v>
      </c>
      <c r="D203">
        <v>5</v>
      </c>
    </row>
    <row r="204" spans="1:4" x14ac:dyDescent="0.25">
      <c r="A204" s="1" t="s">
        <v>231</v>
      </c>
      <c r="B204">
        <v>41</v>
      </c>
      <c r="C204" t="s">
        <v>229</v>
      </c>
      <c r="D204">
        <v>5</v>
      </c>
    </row>
    <row r="205" spans="1:4" x14ac:dyDescent="0.25">
      <c r="A205" s="1" t="s">
        <v>232</v>
      </c>
      <c r="B205">
        <v>41</v>
      </c>
      <c r="C205" t="s">
        <v>229</v>
      </c>
      <c r="D205">
        <v>5</v>
      </c>
    </row>
    <row r="206" spans="1:4" x14ac:dyDescent="0.25">
      <c r="A206" s="1">
        <v>35400</v>
      </c>
      <c r="B206">
        <v>41</v>
      </c>
      <c r="C206" t="s">
        <v>229</v>
      </c>
      <c r="D206">
        <v>5</v>
      </c>
    </row>
    <row r="207" spans="1:4" x14ac:dyDescent="0.25">
      <c r="A207" s="1" t="s">
        <v>233</v>
      </c>
      <c r="B207">
        <v>42</v>
      </c>
      <c r="C207" t="s">
        <v>234</v>
      </c>
      <c r="D207">
        <v>5</v>
      </c>
    </row>
    <row r="208" spans="1:4" x14ac:dyDescent="0.25">
      <c r="A208" s="1" t="s">
        <v>235</v>
      </c>
      <c r="B208">
        <v>42</v>
      </c>
      <c r="C208" t="s">
        <v>234</v>
      </c>
      <c r="D208">
        <v>5</v>
      </c>
    </row>
    <row r="209" spans="1:4" x14ac:dyDescent="0.25">
      <c r="A209" s="1" t="s">
        <v>236</v>
      </c>
      <c r="B209">
        <v>42</v>
      </c>
      <c r="C209" t="s">
        <v>234</v>
      </c>
      <c r="D209">
        <v>5</v>
      </c>
    </row>
    <row r="210" spans="1:4" x14ac:dyDescent="0.25">
      <c r="A210" s="1" t="s">
        <v>237</v>
      </c>
      <c r="B210">
        <v>42</v>
      </c>
      <c r="C210" t="s">
        <v>234</v>
      </c>
      <c r="D210">
        <v>5</v>
      </c>
    </row>
    <row r="211" spans="1:4" x14ac:dyDescent="0.25">
      <c r="A211" s="1">
        <v>35620</v>
      </c>
      <c r="B211">
        <v>42</v>
      </c>
      <c r="C211" t="s">
        <v>234</v>
      </c>
      <c r="D211">
        <v>5</v>
      </c>
    </row>
    <row r="212" spans="1:4" x14ac:dyDescent="0.25">
      <c r="A212" s="1" t="s">
        <v>238</v>
      </c>
      <c r="B212">
        <v>43</v>
      </c>
      <c r="C212" t="s">
        <v>239</v>
      </c>
      <c r="D212">
        <v>5</v>
      </c>
    </row>
    <row r="213" spans="1:4" x14ac:dyDescent="0.25">
      <c r="A213" s="1" t="s">
        <v>240</v>
      </c>
      <c r="B213">
        <v>43</v>
      </c>
      <c r="C213" t="s">
        <v>239</v>
      </c>
      <c r="D213">
        <v>5</v>
      </c>
    </row>
    <row r="214" spans="1:4" x14ac:dyDescent="0.25">
      <c r="A214" s="1" t="s">
        <v>241</v>
      </c>
      <c r="B214">
        <v>43</v>
      </c>
      <c r="C214" t="s">
        <v>239</v>
      </c>
      <c r="D214">
        <v>5</v>
      </c>
    </row>
    <row r="215" spans="1:4" x14ac:dyDescent="0.25">
      <c r="A215" s="1" t="s">
        <v>242</v>
      </c>
      <c r="B215">
        <v>43</v>
      </c>
      <c r="C215" t="s">
        <v>239</v>
      </c>
      <c r="D215">
        <v>5</v>
      </c>
    </row>
    <row r="216" spans="1:4" x14ac:dyDescent="0.25">
      <c r="A216" s="1">
        <v>35640</v>
      </c>
      <c r="B216">
        <v>43</v>
      </c>
      <c r="C216" t="s">
        <v>239</v>
      </c>
      <c r="D216">
        <v>5</v>
      </c>
    </row>
    <row r="217" spans="1:4" x14ac:dyDescent="0.25">
      <c r="A217" s="1" t="s">
        <v>243</v>
      </c>
      <c r="B217">
        <v>44</v>
      </c>
      <c r="C217" t="s">
        <v>244</v>
      </c>
      <c r="D217">
        <v>5</v>
      </c>
    </row>
    <row r="218" spans="1:4" x14ac:dyDescent="0.25">
      <c r="A218" s="1" t="s">
        <v>245</v>
      </c>
      <c r="B218">
        <v>44</v>
      </c>
      <c r="C218" t="s">
        <v>244</v>
      </c>
      <c r="D218">
        <v>5</v>
      </c>
    </row>
    <row r="219" spans="1:4" x14ac:dyDescent="0.25">
      <c r="A219" s="1" t="s">
        <v>246</v>
      </c>
      <c r="B219">
        <v>44</v>
      </c>
      <c r="C219" t="s">
        <v>244</v>
      </c>
      <c r="D219">
        <v>5</v>
      </c>
    </row>
    <row r="220" spans="1:4" x14ac:dyDescent="0.25">
      <c r="A220" s="1" t="s">
        <v>247</v>
      </c>
      <c r="B220">
        <v>44</v>
      </c>
      <c r="C220" t="s">
        <v>244</v>
      </c>
      <c r="D220">
        <v>5</v>
      </c>
    </row>
    <row r="221" spans="1:4" x14ac:dyDescent="0.25">
      <c r="A221" s="1">
        <v>35650</v>
      </c>
      <c r="B221">
        <v>44</v>
      </c>
      <c r="C221" t="s">
        <v>244</v>
      </c>
      <c r="D221">
        <v>5</v>
      </c>
    </row>
    <row r="222" spans="1:4" x14ac:dyDescent="0.25">
      <c r="A222" s="1" t="s">
        <v>248</v>
      </c>
      <c r="B222">
        <v>45</v>
      </c>
      <c r="C222" t="s">
        <v>249</v>
      </c>
      <c r="D222">
        <v>5</v>
      </c>
    </row>
    <row r="223" spans="1:4" x14ac:dyDescent="0.25">
      <c r="A223" s="1" t="s">
        <v>250</v>
      </c>
      <c r="B223">
        <v>45</v>
      </c>
      <c r="C223" t="s">
        <v>249</v>
      </c>
      <c r="D223">
        <v>5</v>
      </c>
    </row>
    <row r="224" spans="1:4" x14ac:dyDescent="0.25">
      <c r="A224" s="1" t="s">
        <v>251</v>
      </c>
      <c r="B224">
        <v>45</v>
      </c>
      <c r="C224" t="s">
        <v>249</v>
      </c>
      <c r="D224">
        <v>5</v>
      </c>
    </row>
    <row r="225" spans="1:4" x14ac:dyDescent="0.25">
      <c r="A225" s="1" t="s">
        <v>252</v>
      </c>
      <c r="B225">
        <v>45</v>
      </c>
      <c r="C225" t="s">
        <v>249</v>
      </c>
      <c r="D225">
        <v>5</v>
      </c>
    </row>
    <row r="226" spans="1:4" x14ac:dyDescent="0.25">
      <c r="A226" s="1">
        <v>35800</v>
      </c>
      <c r="B226">
        <v>45</v>
      </c>
      <c r="C226" t="s">
        <v>249</v>
      </c>
      <c r="D226">
        <v>5</v>
      </c>
    </row>
    <row r="227" spans="1:4" x14ac:dyDescent="0.25">
      <c r="A227" s="1" t="s">
        <v>253</v>
      </c>
      <c r="B227">
        <v>46</v>
      </c>
      <c r="C227" t="s">
        <v>254</v>
      </c>
      <c r="D227">
        <v>5</v>
      </c>
    </row>
    <row r="228" spans="1:4" x14ac:dyDescent="0.25">
      <c r="A228" s="1" t="s">
        <v>255</v>
      </c>
      <c r="B228">
        <v>46</v>
      </c>
      <c r="C228" t="s">
        <v>254</v>
      </c>
      <c r="D228">
        <v>5</v>
      </c>
    </row>
    <row r="229" spans="1:4" x14ac:dyDescent="0.25">
      <c r="A229" s="1" t="s">
        <v>256</v>
      </c>
      <c r="B229">
        <v>46</v>
      </c>
      <c r="C229" t="s">
        <v>254</v>
      </c>
      <c r="D229">
        <v>5</v>
      </c>
    </row>
    <row r="230" spans="1:4" x14ac:dyDescent="0.25">
      <c r="A230" s="1" t="s">
        <v>257</v>
      </c>
      <c r="B230">
        <v>46</v>
      </c>
      <c r="C230" t="s">
        <v>254</v>
      </c>
      <c r="D230">
        <v>5</v>
      </c>
    </row>
    <row r="231" spans="1:4" x14ac:dyDescent="0.25">
      <c r="A231" s="1">
        <v>38100</v>
      </c>
      <c r="B231">
        <v>46</v>
      </c>
      <c r="C231" t="s">
        <v>254</v>
      </c>
      <c r="D231">
        <v>5</v>
      </c>
    </row>
    <row r="232" spans="1:4" x14ac:dyDescent="0.25">
      <c r="A232" s="1" t="s">
        <v>258</v>
      </c>
      <c r="B232">
        <v>47</v>
      </c>
      <c r="C232" t="s">
        <v>259</v>
      </c>
      <c r="D232">
        <v>5</v>
      </c>
    </row>
    <row r="233" spans="1:4" x14ac:dyDescent="0.25">
      <c r="A233" s="1" t="s">
        <v>260</v>
      </c>
      <c r="B233">
        <v>47</v>
      </c>
      <c r="C233" t="s">
        <v>259</v>
      </c>
      <c r="D233">
        <v>5</v>
      </c>
    </row>
    <row r="234" spans="1:4" x14ac:dyDescent="0.25">
      <c r="A234" s="1" t="s">
        <v>261</v>
      </c>
      <c r="B234">
        <v>47</v>
      </c>
      <c r="C234" t="s">
        <v>259</v>
      </c>
      <c r="D234">
        <v>5</v>
      </c>
    </row>
    <row r="235" spans="1:4" x14ac:dyDescent="0.25">
      <c r="A235" s="1" t="s">
        <v>262</v>
      </c>
      <c r="B235">
        <v>47</v>
      </c>
      <c r="C235" t="s">
        <v>259</v>
      </c>
      <c r="D235">
        <v>5</v>
      </c>
    </row>
    <row r="236" spans="1:4" x14ac:dyDescent="0.25">
      <c r="A236" s="1">
        <v>39100</v>
      </c>
      <c r="B236">
        <v>47</v>
      </c>
      <c r="C236" t="s">
        <v>259</v>
      </c>
      <c r="D236">
        <v>5</v>
      </c>
    </row>
    <row r="237" spans="1:4" x14ac:dyDescent="0.25">
      <c r="A237" s="1" t="s">
        <v>263</v>
      </c>
      <c r="B237">
        <v>48</v>
      </c>
      <c r="C237" t="s">
        <v>264</v>
      </c>
      <c r="D237">
        <v>5</v>
      </c>
    </row>
    <row r="238" spans="1:4" x14ac:dyDescent="0.25">
      <c r="A238" s="1" t="s">
        <v>265</v>
      </c>
      <c r="B238">
        <v>48</v>
      </c>
      <c r="C238" t="s">
        <v>264</v>
      </c>
      <c r="D238">
        <v>5</v>
      </c>
    </row>
    <row r="239" spans="1:4" x14ac:dyDescent="0.25">
      <c r="A239" s="1" t="s">
        <v>266</v>
      </c>
      <c r="B239">
        <v>48</v>
      </c>
      <c r="C239" t="s">
        <v>264</v>
      </c>
      <c r="D239">
        <v>5</v>
      </c>
    </row>
    <row r="240" spans="1:4" x14ac:dyDescent="0.25">
      <c r="A240" s="1" t="s">
        <v>267</v>
      </c>
      <c r="B240">
        <v>48</v>
      </c>
      <c r="C240" t="s">
        <v>264</v>
      </c>
      <c r="D240">
        <v>5</v>
      </c>
    </row>
    <row r="241" spans="1:4" x14ac:dyDescent="0.25">
      <c r="A241" s="1">
        <v>39200</v>
      </c>
      <c r="B241">
        <v>48</v>
      </c>
      <c r="C241" t="s">
        <v>264</v>
      </c>
      <c r="D241">
        <v>5</v>
      </c>
    </row>
    <row r="242" spans="1:4" x14ac:dyDescent="0.25">
      <c r="A242" s="1" t="s">
        <v>268</v>
      </c>
      <c r="B242">
        <v>49</v>
      </c>
      <c r="C242" t="s">
        <v>269</v>
      </c>
      <c r="D242">
        <v>5</v>
      </c>
    </row>
    <row r="243" spans="1:4" x14ac:dyDescent="0.25">
      <c r="A243" s="1" t="s">
        <v>270</v>
      </c>
      <c r="B243">
        <v>49</v>
      </c>
      <c r="C243" t="s">
        <v>269</v>
      </c>
      <c r="D243">
        <v>5</v>
      </c>
    </row>
    <row r="244" spans="1:4" x14ac:dyDescent="0.25">
      <c r="A244" s="1" t="s">
        <v>271</v>
      </c>
      <c r="B244">
        <v>49</v>
      </c>
      <c r="C244" t="s">
        <v>269</v>
      </c>
      <c r="D244">
        <v>5</v>
      </c>
    </row>
    <row r="245" spans="1:4" x14ac:dyDescent="0.25">
      <c r="A245" s="1" t="s">
        <v>272</v>
      </c>
      <c r="B245">
        <v>49</v>
      </c>
      <c r="C245" t="s">
        <v>269</v>
      </c>
      <c r="D245">
        <v>5</v>
      </c>
    </row>
    <row r="246" spans="1:4" x14ac:dyDescent="0.25">
      <c r="A246" s="1">
        <v>39520</v>
      </c>
      <c r="B246">
        <v>49</v>
      </c>
      <c r="C246" t="s">
        <v>269</v>
      </c>
      <c r="D246">
        <v>5</v>
      </c>
    </row>
    <row r="247" spans="1:4" x14ac:dyDescent="0.25">
      <c r="A247" s="1" t="s">
        <v>273</v>
      </c>
      <c r="B247">
        <v>50</v>
      </c>
      <c r="C247" t="s">
        <v>274</v>
      </c>
      <c r="D247">
        <v>5</v>
      </c>
    </row>
    <row r="248" spans="1:4" x14ac:dyDescent="0.25">
      <c r="A248" s="1" t="s">
        <v>275</v>
      </c>
      <c r="B248">
        <v>50</v>
      </c>
      <c r="C248" t="s">
        <v>274</v>
      </c>
      <c r="D248">
        <v>5</v>
      </c>
    </row>
    <row r="249" spans="1:4" x14ac:dyDescent="0.25">
      <c r="A249" s="1" t="s">
        <v>276</v>
      </c>
      <c r="B249">
        <v>50</v>
      </c>
      <c r="C249" t="s">
        <v>274</v>
      </c>
      <c r="D249">
        <v>5</v>
      </c>
    </row>
    <row r="250" spans="1:4" x14ac:dyDescent="0.25">
      <c r="A250" s="1" t="s">
        <v>277</v>
      </c>
      <c r="B250">
        <v>50</v>
      </c>
      <c r="C250" t="s">
        <v>274</v>
      </c>
      <c r="D250">
        <v>5</v>
      </c>
    </row>
    <row r="251" spans="1:4" x14ac:dyDescent="0.25">
      <c r="A251" s="1">
        <v>39530</v>
      </c>
      <c r="B251">
        <v>50</v>
      </c>
      <c r="C251" t="s">
        <v>274</v>
      </c>
      <c r="D251">
        <v>5</v>
      </c>
    </row>
    <row r="252" spans="1:4" x14ac:dyDescent="0.25">
      <c r="A252" s="1" t="s">
        <v>278</v>
      </c>
      <c r="B252">
        <v>51</v>
      </c>
      <c r="C252" t="s">
        <v>279</v>
      </c>
      <c r="D252">
        <v>5</v>
      </c>
    </row>
    <row r="253" spans="1:4" x14ac:dyDescent="0.25">
      <c r="A253" s="1" t="s">
        <v>280</v>
      </c>
      <c r="B253">
        <v>51</v>
      </c>
      <c r="C253" t="s">
        <v>279</v>
      </c>
      <c r="D253">
        <v>5</v>
      </c>
    </row>
    <row r="254" spans="1:4" x14ac:dyDescent="0.25">
      <c r="A254" s="1" t="s">
        <v>281</v>
      </c>
      <c r="B254">
        <v>51</v>
      </c>
      <c r="C254" t="s">
        <v>279</v>
      </c>
      <c r="D254">
        <v>5</v>
      </c>
    </row>
    <row r="255" spans="1:4" x14ac:dyDescent="0.25">
      <c r="A255" s="1" t="s">
        <v>282</v>
      </c>
      <c r="B255">
        <v>51</v>
      </c>
      <c r="C255" t="s">
        <v>279</v>
      </c>
      <c r="D255">
        <v>5</v>
      </c>
    </row>
    <row r="256" spans="1:4" x14ac:dyDescent="0.25">
      <c r="A256" s="1">
        <v>39540</v>
      </c>
      <c r="B256">
        <v>51</v>
      </c>
      <c r="C256" t="s">
        <v>279</v>
      </c>
      <c r="D256">
        <v>5</v>
      </c>
    </row>
    <row r="257" spans="1:4" x14ac:dyDescent="0.25">
      <c r="A257" s="1" t="s">
        <v>283</v>
      </c>
      <c r="B257">
        <v>52</v>
      </c>
      <c r="C257" t="s">
        <v>284</v>
      </c>
      <c r="D257">
        <v>5</v>
      </c>
    </row>
    <row r="258" spans="1:4" x14ac:dyDescent="0.25">
      <c r="A258" s="1" t="s">
        <v>285</v>
      </c>
      <c r="B258">
        <v>52</v>
      </c>
      <c r="C258" t="s">
        <v>284</v>
      </c>
      <c r="D258">
        <v>5</v>
      </c>
    </row>
    <row r="259" spans="1:4" x14ac:dyDescent="0.25">
      <c r="A259" s="1" t="s">
        <v>286</v>
      </c>
      <c r="B259">
        <v>52</v>
      </c>
      <c r="C259" t="s">
        <v>284</v>
      </c>
      <c r="D259">
        <v>5</v>
      </c>
    </row>
    <row r="260" spans="1:4" x14ac:dyDescent="0.25">
      <c r="A260" s="1" t="s">
        <v>287</v>
      </c>
      <c r="B260">
        <v>52</v>
      </c>
      <c r="C260" t="s">
        <v>284</v>
      </c>
      <c r="D260">
        <v>5</v>
      </c>
    </row>
    <row r="261" spans="1:4" x14ac:dyDescent="0.25">
      <c r="A261" s="1">
        <v>39600</v>
      </c>
      <c r="B261">
        <v>52</v>
      </c>
      <c r="C261" t="s">
        <v>284</v>
      </c>
      <c r="D261">
        <v>5</v>
      </c>
    </row>
    <row r="262" spans="1:4" x14ac:dyDescent="0.25">
      <c r="A262" s="1" t="s">
        <v>288</v>
      </c>
      <c r="B262">
        <v>53</v>
      </c>
      <c r="C262" t="s">
        <v>289</v>
      </c>
      <c r="D262">
        <v>4</v>
      </c>
    </row>
    <row r="263" spans="1:4" x14ac:dyDescent="0.25">
      <c r="A263" s="1" t="s">
        <v>290</v>
      </c>
      <c r="B263">
        <v>53</v>
      </c>
      <c r="C263" t="s">
        <v>289</v>
      </c>
      <c r="D263">
        <v>4</v>
      </c>
    </row>
    <row r="264" spans="1:4" x14ac:dyDescent="0.25">
      <c r="A264" s="1" t="s">
        <v>291</v>
      </c>
      <c r="B264">
        <v>53</v>
      </c>
      <c r="C264" t="s">
        <v>289</v>
      </c>
      <c r="D264">
        <v>4</v>
      </c>
    </row>
    <row r="265" spans="1:4" x14ac:dyDescent="0.25">
      <c r="A265" s="1" t="s">
        <v>292</v>
      </c>
      <c r="B265">
        <v>53</v>
      </c>
      <c r="C265" t="s">
        <v>289</v>
      </c>
      <c r="D265">
        <v>4</v>
      </c>
    </row>
    <row r="266" spans="1:4" x14ac:dyDescent="0.25">
      <c r="A266" s="1" t="s">
        <v>293</v>
      </c>
      <c r="B266">
        <v>53</v>
      </c>
      <c r="C266" t="s">
        <v>289</v>
      </c>
      <c r="D266">
        <v>4</v>
      </c>
    </row>
    <row r="267" spans="1:4" x14ac:dyDescent="0.25">
      <c r="A267" s="1" t="s">
        <v>294</v>
      </c>
      <c r="B267">
        <v>54</v>
      </c>
      <c r="C267" t="s">
        <v>295</v>
      </c>
      <c r="D267">
        <v>5</v>
      </c>
    </row>
    <row r="268" spans="1:4" x14ac:dyDescent="0.25">
      <c r="A268" s="1" t="s">
        <v>296</v>
      </c>
      <c r="B268">
        <v>54</v>
      </c>
      <c r="C268" t="s">
        <v>295</v>
      </c>
      <c r="D268">
        <v>5</v>
      </c>
    </row>
    <row r="269" spans="1:4" x14ac:dyDescent="0.25">
      <c r="A269" s="1" t="s">
        <v>297</v>
      </c>
      <c r="B269">
        <v>54</v>
      </c>
      <c r="C269" t="s">
        <v>295</v>
      </c>
      <c r="D269">
        <v>5</v>
      </c>
    </row>
    <row r="270" spans="1:4" x14ac:dyDescent="0.25">
      <c r="A270" s="1" t="s">
        <v>298</v>
      </c>
      <c r="B270">
        <v>54</v>
      </c>
      <c r="C270" t="s">
        <v>295</v>
      </c>
      <c r="D270">
        <v>5</v>
      </c>
    </row>
    <row r="271" spans="1:4" x14ac:dyDescent="0.25">
      <c r="A271" s="1">
        <v>42110</v>
      </c>
      <c r="B271">
        <v>54</v>
      </c>
      <c r="C271" t="s">
        <v>295</v>
      </c>
      <c r="D271">
        <v>5</v>
      </c>
    </row>
    <row r="272" spans="1:4" x14ac:dyDescent="0.25">
      <c r="A272" s="1" t="s">
        <v>299</v>
      </c>
      <c r="B272">
        <v>55</v>
      </c>
      <c r="C272" t="s">
        <v>300</v>
      </c>
      <c r="D272">
        <v>5</v>
      </c>
    </row>
    <row r="273" spans="1:4" x14ac:dyDescent="0.25">
      <c r="A273" s="1" t="s">
        <v>301</v>
      </c>
      <c r="B273">
        <v>55</v>
      </c>
      <c r="C273" t="s">
        <v>300</v>
      </c>
      <c r="D273">
        <v>5</v>
      </c>
    </row>
    <row r="274" spans="1:4" x14ac:dyDescent="0.25">
      <c r="A274" s="1" t="s">
        <v>302</v>
      </c>
      <c r="B274">
        <v>55</v>
      </c>
      <c r="C274" t="s">
        <v>300</v>
      </c>
      <c r="D274">
        <v>5</v>
      </c>
    </row>
    <row r="275" spans="1:4" x14ac:dyDescent="0.25">
      <c r="A275" s="1" t="s">
        <v>303</v>
      </c>
      <c r="B275">
        <v>55</v>
      </c>
      <c r="C275" t="s">
        <v>300</v>
      </c>
      <c r="D275">
        <v>5</v>
      </c>
    </row>
    <row r="276" spans="1:4" x14ac:dyDescent="0.25">
      <c r="A276" s="1">
        <v>42120</v>
      </c>
      <c r="B276">
        <v>55</v>
      </c>
      <c r="C276" t="s">
        <v>300</v>
      </c>
      <c r="D276">
        <v>5</v>
      </c>
    </row>
    <row r="277" spans="1:4" x14ac:dyDescent="0.25">
      <c r="A277" s="1" t="s">
        <v>304</v>
      </c>
      <c r="B277">
        <v>56</v>
      </c>
      <c r="C277" t="s">
        <v>305</v>
      </c>
      <c r="D277">
        <v>5</v>
      </c>
    </row>
    <row r="278" spans="1:4" x14ac:dyDescent="0.25">
      <c r="A278" s="1" t="s">
        <v>306</v>
      </c>
      <c r="B278">
        <v>56</v>
      </c>
      <c r="C278" t="s">
        <v>305</v>
      </c>
      <c r="D278">
        <v>5</v>
      </c>
    </row>
    <row r="279" spans="1:4" x14ac:dyDescent="0.25">
      <c r="A279" s="1" t="s">
        <v>307</v>
      </c>
      <c r="B279">
        <v>56</v>
      </c>
      <c r="C279" t="s">
        <v>305</v>
      </c>
      <c r="D279">
        <v>5</v>
      </c>
    </row>
    <row r="280" spans="1:4" x14ac:dyDescent="0.25">
      <c r="A280" s="1" t="s">
        <v>308</v>
      </c>
      <c r="B280">
        <v>56</v>
      </c>
      <c r="C280" t="s">
        <v>305</v>
      </c>
      <c r="D280">
        <v>5</v>
      </c>
    </row>
    <row r="281" spans="1:4" x14ac:dyDescent="0.25">
      <c r="A281" s="1">
        <v>42140</v>
      </c>
      <c r="B281">
        <v>56</v>
      </c>
      <c r="C281" t="s">
        <v>305</v>
      </c>
      <c r="D281">
        <v>5</v>
      </c>
    </row>
    <row r="282" spans="1:4" x14ac:dyDescent="0.25">
      <c r="A282" s="1" t="s">
        <v>309</v>
      </c>
      <c r="B282">
        <v>57</v>
      </c>
      <c r="C282" t="s">
        <v>310</v>
      </c>
      <c r="D282">
        <v>5</v>
      </c>
    </row>
    <row r="283" spans="1:4" x14ac:dyDescent="0.25">
      <c r="A283" s="1" t="s">
        <v>311</v>
      </c>
      <c r="B283">
        <v>57</v>
      </c>
      <c r="C283" t="s">
        <v>310</v>
      </c>
      <c r="D283">
        <v>5</v>
      </c>
    </row>
    <row r="284" spans="1:4" x14ac:dyDescent="0.25">
      <c r="A284" s="1" t="s">
        <v>312</v>
      </c>
      <c r="B284">
        <v>57</v>
      </c>
      <c r="C284" t="s">
        <v>310</v>
      </c>
      <c r="D284">
        <v>5</v>
      </c>
    </row>
    <row r="285" spans="1:4" x14ac:dyDescent="0.25">
      <c r="A285" s="1" t="s">
        <v>313</v>
      </c>
      <c r="B285">
        <v>57</v>
      </c>
      <c r="C285" t="s">
        <v>310</v>
      </c>
      <c r="D285">
        <v>5</v>
      </c>
    </row>
    <row r="286" spans="1:4" x14ac:dyDescent="0.25">
      <c r="A286" s="1">
        <v>42220</v>
      </c>
      <c r="B286">
        <v>57</v>
      </c>
      <c r="C286" t="s">
        <v>310</v>
      </c>
      <c r="D286">
        <v>5</v>
      </c>
    </row>
    <row r="287" spans="1:4" x14ac:dyDescent="0.25">
      <c r="A287" s="1" t="s">
        <v>314</v>
      </c>
      <c r="B287">
        <v>58</v>
      </c>
      <c r="C287" t="s">
        <v>315</v>
      </c>
      <c r="D287">
        <v>5</v>
      </c>
    </row>
    <row r="288" spans="1:4" x14ac:dyDescent="0.25">
      <c r="A288" s="1" t="s">
        <v>316</v>
      </c>
      <c r="B288">
        <v>58</v>
      </c>
      <c r="C288" t="s">
        <v>315</v>
      </c>
      <c r="D288">
        <v>5</v>
      </c>
    </row>
    <row r="289" spans="1:10" x14ac:dyDescent="0.25">
      <c r="A289" s="1" t="s">
        <v>317</v>
      </c>
      <c r="B289">
        <v>58</v>
      </c>
      <c r="C289" t="s">
        <v>315</v>
      </c>
      <c r="D289">
        <v>5</v>
      </c>
    </row>
    <row r="290" spans="1:10" x14ac:dyDescent="0.25">
      <c r="A290" s="1" t="s">
        <v>318</v>
      </c>
      <c r="B290">
        <v>58</v>
      </c>
      <c r="C290" t="s">
        <v>315</v>
      </c>
      <c r="D290">
        <v>5</v>
      </c>
    </row>
    <row r="291" spans="1:10" x14ac:dyDescent="0.25">
      <c r="A291" s="1">
        <v>42420</v>
      </c>
      <c r="B291">
        <v>58</v>
      </c>
      <c r="C291" t="s">
        <v>315</v>
      </c>
      <c r="D291">
        <v>5</v>
      </c>
    </row>
    <row r="292" spans="1:10" x14ac:dyDescent="0.25">
      <c r="A292" s="1" t="s">
        <v>319</v>
      </c>
      <c r="B292">
        <v>59</v>
      </c>
      <c r="C292" t="s">
        <v>320</v>
      </c>
      <c r="D292">
        <v>5</v>
      </c>
    </row>
    <row r="293" spans="1:10" x14ac:dyDescent="0.25">
      <c r="A293" s="1" t="s">
        <v>321</v>
      </c>
      <c r="B293">
        <v>59</v>
      </c>
      <c r="C293" t="s">
        <v>320</v>
      </c>
      <c r="D293">
        <v>5</v>
      </c>
    </row>
    <row r="294" spans="1:10" x14ac:dyDescent="0.25">
      <c r="A294" s="1" t="s">
        <v>322</v>
      </c>
      <c r="B294">
        <v>59</v>
      </c>
      <c r="C294" t="s">
        <v>320</v>
      </c>
      <c r="D294">
        <v>5</v>
      </c>
    </row>
    <row r="295" spans="1:10" x14ac:dyDescent="0.25">
      <c r="A295" s="1" t="s">
        <v>323</v>
      </c>
      <c r="B295">
        <v>59</v>
      </c>
      <c r="C295" t="s">
        <v>320</v>
      </c>
      <c r="D295">
        <v>5</v>
      </c>
    </row>
    <row r="296" spans="1:10" x14ac:dyDescent="0.25">
      <c r="A296" s="1">
        <v>42600</v>
      </c>
      <c r="B296">
        <v>59</v>
      </c>
      <c r="C296" t="s">
        <v>320</v>
      </c>
      <c r="D296">
        <v>5</v>
      </c>
    </row>
    <row r="297" spans="1:10" x14ac:dyDescent="0.25">
      <c r="A297" s="1" t="s">
        <v>324</v>
      </c>
      <c r="B297">
        <v>60</v>
      </c>
      <c r="C297" t="s">
        <v>325</v>
      </c>
      <c r="D297">
        <v>5</v>
      </c>
    </row>
    <row r="298" spans="1:10" x14ac:dyDescent="0.25">
      <c r="A298" s="1" t="s">
        <v>326</v>
      </c>
      <c r="B298">
        <v>60</v>
      </c>
      <c r="C298" t="s">
        <v>325</v>
      </c>
      <c r="D298">
        <v>5</v>
      </c>
    </row>
    <row r="299" spans="1:10" x14ac:dyDescent="0.25">
      <c r="A299" s="1" t="s">
        <v>327</v>
      </c>
      <c r="B299">
        <v>60</v>
      </c>
      <c r="C299" t="s">
        <v>325</v>
      </c>
      <c r="D299">
        <v>5</v>
      </c>
    </row>
    <row r="300" spans="1:10" x14ac:dyDescent="0.25">
      <c r="A300" s="1" t="s">
        <v>328</v>
      </c>
      <c r="B300">
        <v>60</v>
      </c>
      <c r="C300" t="s">
        <v>325</v>
      </c>
      <c r="D300">
        <v>5</v>
      </c>
    </row>
    <row r="301" spans="1:10" x14ac:dyDescent="0.25">
      <c r="A301" s="1">
        <v>45100</v>
      </c>
      <c r="B301">
        <v>60</v>
      </c>
      <c r="C301" t="s">
        <v>325</v>
      </c>
      <c r="D301">
        <v>5</v>
      </c>
    </row>
    <row r="302" spans="1:10" x14ac:dyDescent="0.25">
      <c r="A302" s="1"/>
      <c r="B302">
        <v>306</v>
      </c>
      <c r="C302" t="s">
        <v>329</v>
      </c>
      <c r="D302">
        <v>4</v>
      </c>
    </row>
    <row r="303" spans="1:10" x14ac:dyDescent="0.25">
      <c r="A303" s="1" t="s">
        <v>330</v>
      </c>
      <c r="B303">
        <v>307</v>
      </c>
      <c r="C303" t="s">
        <v>331</v>
      </c>
      <c r="D303">
        <v>5</v>
      </c>
      <c r="G303" s="4"/>
      <c r="H303" s="4"/>
      <c r="I303" s="4"/>
      <c r="J303" s="4"/>
    </row>
    <row r="304" spans="1:10" x14ac:dyDescent="0.25">
      <c r="A304" s="1" t="s">
        <v>332</v>
      </c>
      <c r="B304">
        <v>308</v>
      </c>
      <c r="C304" t="s">
        <v>333</v>
      </c>
      <c r="D304">
        <v>5</v>
      </c>
      <c r="G304" s="4">
        <v>18080948.780000001</v>
      </c>
      <c r="H304" s="4">
        <v>165060005.83000001</v>
      </c>
      <c r="I304" s="4"/>
      <c r="J304" s="4"/>
    </row>
    <row r="305" spans="1:10" x14ac:dyDescent="0.25">
      <c r="A305" s="1" t="s">
        <v>334</v>
      </c>
      <c r="B305">
        <v>309</v>
      </c>
      <c r="C305" t="s">
        <v>335</v>
      </c>
      <c r="D305">
        <v>5</v>
      </c>
      <c r="G305" s="4"/>
      <c r="H305" s="4"/>
      <c r="I305" s="4"/>
      <c r="J305" s="4"/>
    </row>
    <row r="306" spans="1:10" x14ac:dyDescent="0.25">
      <c r="A306" s="1" t="s">
        <v>336</v>
      </c>
      <c r="B306">
        <v>310</v>
      </c>
      <c r="C306" t="s">
        <v>337</v>
      </c>
      <c r="D306">
        <v>5</v>
      </c>
      <c r="G306" s="4"/>
      <c r="H306" s="4"/>
      <c r="I306" s="4"/>
      <c r="J306" s="4"/>
    </row>
    <row r="307" spans="1:10" x14ac:dyDescent="0.25">
      <c r="A307" s="1">
        <v>42310</v>
      </c>
      <c r="B307">
        <v>61</v>
      </c>
      <c r="C307" t="s">
        <v>338</v>
      </c>
      <c r="D307">
        <v>4</v>
      </c>
      <c r="G307" s="4"/>
      <c r="H307" s="4"/>
      <c r="I307" s="4"/>
      <c r="J307" s="11">
        <f>((H304-G304)/(G304))</f>
        <v>8.1289460436157484</v>
      </c>
    </row>
    <row r="308" spans="1:10" x14ac:dyDescent="0.25">
      <c r="A308" s="1" t="s">
        <v>339</v>
      </c>
      <c r="B308">
        <v>61</v>
      </c>
      <c r="C308" t="s">
        <v>338</v>
      </c>
      <c r="D308">
        <v>5</v>
      </c>
      <c r="G308" s="4"/>
      <c r="H308" s="4"/>
      <c r="I308" s="4"/>
      <c r="J308" s="4"/>
    </row>
    <row r="309" spans="1:10" x14ac:dyDescent="0.25">
      <c r="A309" s="1" t="s">
        <v>340</v>
      </c>
      <c r="B309">
        <v>61</v>
      </c>
      <c r="C309" t="s">
        <v>338</v>
      </c>
      <c r="D309">
        <v>5</v>
      </c>
      <c r="G309" s="4"/>
      <c r="H309" s="4"/>
      <c r="I309" s="4"/>
      <c r="J309" s="4"/>
    </row>
    <row r="310" spans="1:10" x14ac:dyDescent="0.25">
      <c r="A310" s="1" t="s">
        <v>341</v>
      </c>
      <c r="B310">
        <v>61</v>
      </c>
      <c r="C310" t="s">
        <v>338</v>
      </c>
      <c r="D310">
        <v>5</v>
      </c>
      <c r="G310" s="4"/>
      <c r="H310" s="4"/>
      <c r="I310" s="4"/>
      <c r="J310" s="4">
        <f>G304*J307</f>
        <v>146979057.05000001</v>
      </c>
    </row>
    <row r="311" spans="1:10" x14ac:dyDescent="0.25">
      <c r="A311" s="1" t="s">
        <v>342</v>
      </c>
      <c r="B311">
        <v>61</v>
      </c>
      <c r="C311" t="s">
        <v>338</v>
      </c>
      <c r="D311">
        <v>5</v>
      </c>
      <c r="G311" s="4"/>
      <c r="H311" s="4"/>
      <c r="I311" s="4"/>
      <c r="J311" s="4"/>
    </row>
    <row r="312" spans="1:10" x14ac:dyDescent="0.25">
      <c r="A312" s="1">
        <v>51240</v>
      </c>
      <c r="B312">
        <v>62</v>
      </c>
      <c r="C312" t="s">
        <v>343</v>
      </c>
      <c r="D312">
        <v>4</v>
      </c>
    </row>
    <row r="313" spans="1:10" x14ac:dyDescent="0.25">
      <c r="A313" s="1" t="s">
        <v>344</v>
      </c>
      <c r="B313">
        <v>62</v>
      </c>
      <c r="C313" t="s">
        <v>343</v>
      </c>
      <c r="D313">
        <v>5</v>
      </c>
    </row>
    <row r="314" spans="1:10" x14ac:dyDescent="0.25">
      <c r="A314" s="1" t="s">
        <v>345</v>
      </c>
      <c r="B314">
        <v>62</v>
      </c>
      <c r="C314" t="s">
        <v>343</v>
      </c>
      <c r="D314">
        <v>5</v>
      </c>
    </row>
    <row r="315" spans="1:10" x14ac:dyDescent="0.25">
      <c r="A315" s="1" t="s">
        <v>346</v>
      </c>
      <c r="B315">
        <v>62</v>
      </c>
      <c r="C315" t="s">
        <v>343</v>
      </c>
      <c r="D315">
        <v>5</v>
      </c>
    </row>
    <row r="316" spans="1:10" x14ac:dyDescent="0.25">
      <c r="A316" s="1" t="s">
        <v>347</v>
      </c>
      <c r="B316">
        <v>62</v>
      </c>
      <c r="C316" t="s">
        <v>343</v>
      </c>
      <c r="D316">
        <v>5</v>
      </c>
    </row>
    <row r="317" spans="1:10" x14ac:dyDescent="0.25">
      <c r="A317" s="1">
        <v>14100</v>
      </c>
      <c r="B317">
        <v>63</v>
      </c>
      <c r="C317" t="s">
        <v>348</v>
      </c>
      <c r="D317">
        <v>4</v>
      </c>
    </row>
    <row r="318" spans="1:10" x14ac:dyDescent="0.25">
      <c r="A318" s="1" t="s">
        <v>349</v>
      </c>
      <c r="B318">
        <v>63</v>
      </c>
      <c r="C318" t="s">
        <v>348</v>
      </c>
      <c r="D318">
        <v>5</v>
      </c>
    </row>
    <row r="319" spans="1:10" x14ac:dyDescent="0.25">
      <c r="A319" s="1" t="s">
        <v>350</v>
      </c>
      <c r="B319">
        <v>63</v>
      </c>
      <c r="C319" t="s">
        <v>348</v>
      </c>
      <c r="D319">
        <v>5</v>
      </c>
    </row>
    <row r="320" spans="1:10" x14ac:dyDescent="0.25">
      <c r="A320" s="1" t="s">
        <v>351</v>
      </c>
      <c r="B320">
        <v>63</v>
      </c>
      <c r="C320" t="s">
        <v>348</v>
      </c>
      <c r="D320">
        <v>5</v>
      </c>
    </row>
    <row r="321" spans="1:4" x14ac:dyDescent="0.25">
      <c r="A321" s="1" t="s">
        <v>352</v>
      </c>
      <c r="B321">
        <v>63</v>
      </c>
      <c r="C321" t="s">
        <v>348</v>
      </c>
      <c r="D321">
        <v>5</v>
      </c>
    </row>
    <row r="322" spans="1:4" x14ac:dyDescent="0.25">
      <c r="A322" s="1">
        <v>26120</v>
      </c>
      <c r="B322">
        <v>64</v>
      </c>
      <c r="C322" t="s">
        <v>353</v>
      </c>
      <c r="D322">
        <v>4</v>
      </c>
    </row>
    <row r="323" spans="1:4" x14ac:dyDescent="0.25">
      <c r="A323" s="1" t="s">
        <v>354</v>
      </c>
      <c r="B323">
        <v>64</v>
      </c>
      <c r="C323" t="s">
        <v>353</v>
      </c>
      <c r="D323">
        <v>5</v>
      </c>
    </row>
    <row r="324" spans="1:4" x14ac:dyDescent="0.25">
      <c r="A324" s="1" t="s">
        <v>355</v>
      </c>
      <c r="B324">
        <v>64</v>
      </c>
      <c r="C324" t="s">
        <v>353</v>
      </c>
      <c r="D324">
        <v>5</v>
      </c>
    </row>
    <row r="325" spans="1:4" x14ac:dyDescent="0.25">
      <c r="A325" s="1" t="s">
        <v>356</v>
      </c>
      <c r="B325">
        <v>64</v>
      </c>
      <c r="C325" t="s">
        <v>353</v>
      </c>
      <c r="D325">
        <v>5</v>
      </c>
    </row>
    <row r="326" spans="1:4" x14ac:dyDescent="0.25">
      <c r="A326" s="1" t="s">
        <v>357</v>
      </c>
      <c r="B326">
        <v>64</v>
      </c>
      <c r="C326" t="s">
        <v>353</v>
      </c>
      <c r="D326">
        <v>5</v>
      </c>
    </row>
    <row r="327" spans="1:4" x14ac:dyDescent="0.25">
      <c r="A327" s="1">
        <v>26220</v>
      </c>
      <c r="B327">
        <v>65</v>
      </c>
      <c r="C327" t="s">
        <v>358</v>
      </c>
      <c r="D327">
        <v>4</v>
      </c>
    </row>
    <row r="328" spans="1:4" x14ac:dyDescent="0.25">
      <c r="A328" s="1" t="s">
        <v>359</v>
      </c>
      <c r="B328">
        <v>65</v>
      </c>
      <c r="C328" t="s">
        <v>358</v>
      </c>
      <c r="D328">
        <v>5</v>
      </c>
    </row>
    <row r="329" spans="1:4" x14ac:dyDescent="0.25">
      <c r="A329" s="1" t="s">
        <v>360</v>
      </c>
      <c r="B329">
        <v>65</v>
      </c>
      <c r="C329" t="s">
        <v>358</v>
      </c>
      <c r="D329">
        <v>5</v>
      </c>
    </row>
    <row r="330" spans="1:4" x14ac:dyDescent="0.25">
      <c r="A330" s="1" t="s">
        <v>361</v>
      </c>
      <c r="B330">
        <v>65</v>
      </c>
      <c r="C330" t="s">
        <v>358</v>
      </c>
      <c r="D330">
        <v>5</v>
      </c>
    </row>
    <row r="331" spans="1:4" x14ac:dyDescent="0.25">
      <c r="A331" s="1" t="s">
        <v>362</v>
      </c>
      <c r="B331">
        <v>65</v>
      </c>
      <c r="C331" t="s">
        <v>358</v>
      </c>
      <c r="D331">
        <v>5</v>
      </c>
    </row>
    <row r="332" spans="1:4" x14ac:dyDescent="0.25">
      <c r="A332" s="1">
        <v>35610</v>
      </c>
      <c r="B332">
        <v>66</v>
      </c>
      <c r="C332" t="s">
        <v>363</v>
      </c>
      <c r="D332">
        <v>4</v>
      </c>
    </row>
    <row r="333" spans="1:4" x14ac:dyDescent="0.25">
      <c r="A333" s="1" t="s">
        <v>364</v>
      </c>
      <c r="B333">
        <v>66</v>
      </c>
      <c r="C333" t="s">
        <v>363</v>
      </c>
      <c r="D333">
        <v>5</v>
      </c>
    </row>
    <row r="334" spans="1:4" x14ac:dyDescent="0.25">
      <c r="A334" s="1" t="s">
        <v>365</v>
      </c>
      <c r="B334">
        <v>66</v>
      </c>
      <c r="C334" t="s">
        <v>363</v>
      </c>
      <c r="D334">
        <v>5</v>
      </c>
    </row>
    <row r="335" spans="1:4" x14ac:dyDescent="0.25">
      <c r="A335" s="1" t="s">
        <v>366</v>
      </c>
      <c r="B335">
        <v>66</v>
      </c>
      <c r="C335" t="s">
        <v>363</v>
      </c>
      <c r="D335">
        <v>5</v>
      </c>
    </row>
    <row r="336" spans="1:4" x14ac:dyDescent="0.25">
      <c r="A336" s="1" t="s">
        <v>367</v>
      </c>
      <c r="B336">
        <v>66</v>
      </c>
      <c r="C336" t="s">
        <v>363</v>
      </c>
      <c r="D336">
        <v>5</v>
      </c>
    </row>
    <row r="337" spans="1:4" x14ac:dyDescent="0.25">
      <c r="A337" s="1">
        <v>39300</v>
      </c>
      <c r="B337">
        <v>67</v>
      </c>
      <c r="C337" t="s">
        <v>368</v>
      </c>
      <c r="D337">
        <v>4</v>
      </c>
    </row>
    <row r="338" spans="1:4" x14ac:dyDescent="0.25">
      <c r="A338" s="1" t="s">
        <v>369</v>
      </c>
      <c r="B338">
        <v>67</v>
      </c>
      <c r="C338" t="s">
        <v>368</v>
      </c>
      <c r="D338">
        <v>5</v>
      </c>
    </row>
    <row r="339" spans="1:4" x14ac:dyDescent="0.25">
      <c r="A339" s="1" t="s">
        <v>370</v>
      </c>
      <c r="B339">
        <v>67</v>
      </c>
      <c r="C339" t="s">
        <v>368</v>
      </c>
      <c r="D339">
        <v>5</v>
      </c>
    </row>
    <row r="340" spans="1:4" x14ac:dyDescent="0.25">
      <c r="A340" s="1" t="s">
        <v>371</v>
      </c>
      <c r="B340">
        <v>67</v>
      </c>
      <c r="C340" t="s">
        <v>368</v>
      </c>
      <c r="D340">
        <v>5</v>
      </c>
    </row>
    <row r="341" spans="1:4" x14ac:dyDescent="0.25">
      <c r="A341" s="1" t="s">
        <v>372</v>
      </c>
      <c r="B341">
        <v>67</v>
      </c>
      <c r="C341" t="s">
        <v>368</v>
      </c>
      <c r="D341">
        <v>5</v>
      </c>
    </row>
    <row r="342" spans="1:4" x14ac:dyDescent="0.25">
      <c r="A342" s="1">
        <v>42510</v>
      </c>
      <c r="B342">
        <v>68</v>
      </c>
      <c r="C342" t="s">
        <v>716</v>
      </c>
      <c r="D342">
        <v>4</v>
      </c>
    </row>
    <row r="343" spans="1:4" x14ac:dyDescent="0.25">
      <c r="A343" s="1" t="s">
        <v>712</v>
      </c>
      <c r="B343">
        <v>68</v>
      </c>
      <c r="C343" t="s">
        <v>716</v>
      </c>
      <c r="D343">
        <v>5</v>
      </c>
    </row>
    <row r="344" spans="1:4" x14ac:dyDescent="0.25">
      <c r="A344" s="1" t="s">
        <v>713</v>
      </c>
      <c r="B344">
        <v>68</v>
      </c>
      <c r="C344" t="s">
        <v>716</v>
      </c>
      <c r="D344">
        <v>5</v>
      </c>
    </row>
    <row r="345" spans="1:4" x14ac:dyDescent="0.25">
      <c r="A345" s="1" t="s">
        <v>714</v>
      </c>
      <c r="B345">
        <v>68</v>
      </c>
      <c r="C345" t="s">
        <v>716</v>
      </c>
      <c r="D345">
        <v>5</v>
      </c>
    </row>
    <row r="346" spans="1:4" x14ac:dyDescent="0.25">
      <c r="A346" s="1" t="s">
        <v>715</v>
      </c>
      <c r="B346">
        <v>68</v>
      </c>
      <c r="C346" t="s">
        <v>716</v>
      </c>
      <c r="D346">
        <v>5</v>
      </c>
    </row>
  </sheetData>
  <pageMargins left="0.7" right="0.7" top="0.75" bottom="0.75" header="0.3" footer="0.3"/>
  <tableParts count="4">
    <tablePart r:id="rId1"/>
    <tablePart r:id="rId2"/>
    <tablePart r:id="rId3"/>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42010-6A2B-4D50-B0CD-854A37DAE0E2}">
  <sheetPr codeName="Hoja5"/>
  <dimension ref="A2:T10"/>
  <sheetViews>
    <sheetView workbookViewId="0">
      <selection activeCell="G17" sqref="G17"/>
    </sheetView>
  </sheetViews>
  <sheetFormatPr baseColWidth="10" defaultColWidth="9.140625" defaultRowHeight="15" x14ac:dyDescent="0.25"/>
  <cols>
    <col min="1" max="1" width="9.42578125" style="54" bestFit="1" customWidth="1"/>
    <col min="2" max="2" width="15.28515625" style="54" customWidth="1"/>
    <col min="3" max="3" width="16.140625" style="54" customWidth="1"/>
    <col min="4" max="4" width="0" style="54" hidden="1" customWidth="1"/>
    <col min="5" max="5" width="39" style="54" customWidth="1"/>
    <col min="6" max="6" width="15" style="54" customWidth="1"/>
    <col min="7" max="7" width="24.28515625" style="54" customWidth="1"/>
    <col min="8" max="8" width="22.42578125" style="54" customWidth="1"/>
    <col min="9" max="9" width="19.7109375" style="54" customWidth="1"/>
    <col min="10" max="10" width="18.28515625" style="54" customWidth="1"/>
    <col min="11" max="11" width="20.28515625" style="54" customWidth="1"/>
    <col min="12" max="12" width="17.85546875" style="54" customWidth="1"/>
    <col min="13" max="13" width="14.42578125" style="54" customWidth="1"/>
    <col min="14" max="14" width="17.140625" style="55" customWidth="1"/>
    <col min="15" max="15" width="15.28515625" style="55" customWidth="1"/>
    <col min="16" max="16" width="6" style="54" hidden="1" customWidth="1"/>
    <col min="17" max="17" width="14.7109375" style="54" customWidth="1"/>
    <col min="18" max="18" width="17.7109375" style="54" customWidth="1"/>
    <col min="19" max="19" width="31.85546875" style="54" customWidth="1"/>
    <col min="20" max="20" width="14.7109375" style="55" customWidth="1"/>
    <col min="21" max="16384" width="9.140625" style="54"/>
  </cols>
  <sheetData>
    <row r="2" spans="1:20" ht="15.75" x14ac:dyDescent="0.25">
      <c r="C2" s="63" t="s">
        <v>583</v>
      </c>
      <c r="D2" s="56"/>
      <c r="E2" s="57" t="s">
        <v>612</v>
      </c>
    </row>
    <row r="4" spans="1:20" ht="45" x14ac:dyDescent="0.25">
      <c r="A4" s="58" t="s">
        <v>373</v>
      </c>
      <c r="B4" s="59" t="s">
        <v>4</v>
      </c>
      <c r="C4" s="59" t="s">
        <v>374</v>
      </c>
      <c r="D4" s="59" t="s">
        <v>375</v>
      </c>
      <c r="E4" s="59" t="s">
        <v>376</v>
      </c>
      <c r="F4" s="59" t="s">
        <v>377</v>
      </c>
      <c r="G4" s="59" t="s">
        <v>378</v>
      </c>
      <c r="H4" s="59" t="s">
        <v>379</v>
      </c>
      <c r="I4" s="60" t="s">
        <v>380</v>
      </c>
      <c r="J4" s="59" t="s">
        <v>381</v>
      </c>
      <c r="K4" s="60" t="s">
        <v>382</v>
      </c>
      <c r="L4" s="59" t="s">
        <v>383</v>
      </c>
      <c r="M4" s="60" t="s">
        <v>384</v>
      </c>
      <c r="N4" s="61" t="s">
        <v>385</v>
      </c>
      <c r="O4" s="61" t="s">
        <v>386</v>
      </c>
      <c r="P4" s="59" t="s">
        <v>387</v>
      </c>
      <c r="Q4" s="59" t="s">
        <v>5</v>
      </c>
      <c r="R4" s="59" t="s">
        <v>388</v>
      </c>
      <c r="S4" s="59" t="s">
        <v>389</v>
      </c>
      <c r="T4" s="62" t="s">
        <v>390</v>
      </c>
    </row>
    <row r="5" spans="1:20" x14ac:dyDescent="0.25">
      <c r="A5" s="54" t="e" cm="1">
        <f t="array" ref="A5:T10" ca="1">_xlfn._xlws.FILTER(DIARIO[],(ISNUMBER(SEARCH(E2,DIARIO[Objeto de Gasto])))+(ISNUMBER(SEARCH(E2,DIARIO[Nombre de Cuenta]))),"No existe")</f>
        <v>#NAME?</v>
      </c>
      <c r="B5" s="54" t="e">
        <f ca="1"/>
        <v>#NAME?</v>
      </c>
      <c r="C5" s="54" t="e">
        <f ca="1"/>
        <v>#NAME?</v>
      </c>
      <c r="D5" s="54" t="e">
        <f ca="1"/>
        <v>#NAME?</v>
      </c>
      <c r="E5" s="54" t="e">
        <f ca="1"/>
        <v>#NAME?</v>
      </c>
      <c r="F5" s="54" t="e">
        <f ca="1"/>
        <v>#NAME?</v>
      </c>
      <c r="G5" s="54" t="e">
        <f ca="1"/>
        <v>#NAME?</v>
      </c>
      <c r="H5" s="54" t="e">
        <f ca="1"/>
        <v>#NAME?</v>
      </c>
      <c r="I5" s="54" t="e">
        <f ca="1"/>
        <v>#NAME?</v>
      </c>
      <c r="J5" s="54" t="e">
        <f ca="1"/>
        <v>#NAME?</v>
      </c>
      <c r="K5" s="54" t="e">
        <f ca="1"/>
        <v>#NAME?</v>
      </c>
      <c r="L5" s="54" t="e">
        <f ca="1"/>
        <v>#NAME?</v>
      </c>
      <c r="M5" s="54" t="e">
        <f ca="1"/>
        <v>#NAME?</v>
      </c>
      <c r="N5" s="55" t="e">
        <f ca="1"/>
        <v>#NAME?</v>
      </c>
      <c r="O5" s="55" t="e">
        <f ca="1"/>
        <v>#NAME?</v>
      </c>
      <c r="P5" s="54" t="e">
        <f ca="1"/>
        <v>#NAME?</v>
      </c>
      <c r="Q5" s="54" t="e">
        <f ca="1"/>
        <v>#NAME?</v>
      </c>
      <c r="R5" s="54" t="e">
        <f ca="1"/>
        <v>#NAME?</v>
      </c>
      <c r="S5" s="54" t="e">
        <f ca="1"/>
        <v>#NAME?</v>
      </c>
      <c r="T5" s="55" t="e">
        <f ca="1"/>
        <v>#NAME?</v>
      </c>
    </row>
    <row r="6" spans="1:20" x14ac:dyDescent="0.25">
      <c r="A6" s="54" t="e">
        <f ca="1"/>
        <v>#NAME?</v>
      </c>
      <c r="B6" s="54" t="e">
        <f ca="1"/>
        <v>#NAME?</v>
      </c>
      <c r="C6" s="54" t="e">
        <f ca="1"/>
        <v>#NAME?</v>
      </c>
      <c r="D6" s="54" t="e">
        <f ca="1"/>
        <v>#NAME?</v>
      </c>
      <c r="E6" s="54" t="e">
        <f ca="1"/>
        <v>#NAME?</v>
      </c>
      <c r="F6" s="54" t="e">
        <f ca="1"/>
        <v>#NAME?</v>
      </c>
      <c r="G6" s="54" t="e">
        <f ca="1"/>
        <v>#NAME?</v>
      </c>
      <c r="H6" s="54" t="e">
        <f ca="1"/>
        <v>#NAME?</v>
      </c>
      <c r="I6" s="54" t="e">
        <f ca="1"/>
        <v>#NAME?</v>
      </c>
      <c r="J6" s="54" t="e">
        <f ca="1"/>
        <v>#NAME?</v>
      </c>
      <c r="K6" s="54" t="e">
        <f ca="1"/>
        <v>#NAME?</v>
      </c>
      <c r="L6" s="54" t="e">
        <f ca="1"/>
        <v>#NAME?</v>
      </c>
      <c r="M6" s="54" t="e">
        <f ca="1"/>
        <v>#NAME?</v>
      </c>
      <c r="N6" s="55" t="e">
        <f ca="1"/>
        <v>#NAME?</v>
      </c>
      <c r="O6" s="55" t="e">
        <f ca="1"/>
        <v>#NAME?</v>
      </c>
      <c r="P6" s="54" t="e">
        <f ca="1"/>
        <v>#NAME?</v>
      </c>
      <c r="Q6" s="54" t="e">
        <f ca="1"/>
        <v>#NAME?</v>
      </c>
      <c r="R6" s="54" t="e">
        <f ca="1"/>
        <v>#NAME?</v>
      </c>
      <c r="S6" s="54" t="e">
        <f ca="1"/>
        <v>#NAME?</v>
      </c>
      <c r="T6" s="55" t="e">
        <f ca="1"/>
        <v>#NAME?</v>
      </c>
    </row>
    <row r="7" spans="1:20" x14ac:dyDescent="0.25">
      <c r="A7" s="54" t="e">
        <f ca="1"/>
        <v>#NAME?</v>
      </c>
      <c r="B7" s="54" t="e">
        <f ca="1"/>
        <v>#NAME?</v>
      </c>
      <c r="C7" s="54" t="e">
        <f ca="1"/>
        <v>#NAME?</v>
      </c>
      <c r="D7" s="54" t="e">
        <f ca="1"/>
        <v>#NAME?</v>
      </c>
      <c r="E7" s="54" t="e">
        <f ca="1"/>
        <v>#NAME?</v>
      </c>
      <c r="F7" s="54" t="e">
        <f ca="1"/>
        <v>#NAME?</v>
      </c>
      <c r="G7" s="54" t="e">
        <f ca="1"/>
        <v>#NAME?</v>
      </c>
      <c r="H7" s="54" t="e">
        <f ca="1"/>
        <v>#NAME?</v>
      </c>
      <c r="I7" s="54" t="e">
        <f ca="1"/>
        <v>#NAME?</v>
      </c>
      <c r="J7" s="54" t="e">
        <f ca="1"/>
        <v>#NAME?</v>
      </c>
      <c r="K7" s="54" t="e">
        <f ca="1"/>
        <v>#NAME?</v>
      </c>
      <c r="L7" s="54" t="e">
        <f ca="1"/>
        <v>#NAME?</v>
      </c>
      <c r="M7" s="54" t="e">
        <f ca="1"/>
        <v>#NAME?</v>
      </c>
      <c r="N7" s="55" t="e">
        <f ca="1"/>
        <v>#NAME?</v>
      </c>
      <c r="O7" s="55" t="e">
        <f ca="1"/>
        <v>#NAME?</v>
      </c>
      <c r="P7" s="54" t="e">
        <f ca="1"/>
        <v>#NAME?</v>
      </c>
      <c r="Q7" s="54" t="e">
        <f ca="1"/>
        <v>#NAME?</v>
      </c>
      <c r="R7" s="54" t="e">
        <f ca="1"/>
        <v>#NAME?</v>
      </c>
      <c r="S7" s="54" t="e">
        <f ca="1"/>
        <v>#NAME?</v>
      </c>
      <c r="T7" s="55" t="e">
        <f ca="1"/>
        <v>#NAME?</v>
      </c>
    </row>
    <row r="8" spans="1:20" x14ac:dyDescent="0.25">
      <c r="A8" s="54" t="e">
        <f ca="1"/>
        <v>#NAME?</v>
      </c>
      <c r="B8" s="54" t="e">
        <f ca="1"/>
        <v>#NAME?</v>
      </c>
      <c r="C8" s="54" t="e">
        <f ca="1"/>
        <v>#NAME?</v>
      </c>
      <c r="D8" s="54" t="e">
        <f ca="1"/>
        <v>#NAME?</v>
      </c>
      <c r="E8" s="54" t="e">
        <f ca="1"/>
        <v>#NAME?</v>
      </c>
      <c r="F8" s="54" t="e">
        <f ca="1"/>
        <v>#NAME?</v>
      </c>
      <c r="G8" s="54" t="e">
        <f ca="1"/>
        <v>#NAME?</v>
      </c>
      <c r="H8" s="54" t="e">
        <f ca="1"/>
        <v>#NAME?</v>
      </c>
      <c r="I8" s="54" t="e">
        <f ca="1"/>
        <v>#NAME?</v>
      </c>
      <c r="J8" s="54" t="e">
        <f ca="1"/>
        <v>#NAME?</v>
      </c>
      <c r="K8" s="54" t="e">
        <f ca="1"/>
        <v>#NAME?</v>
      </c>
      <c r="L8" s="54" t="e">
        <f ca="1"/>
        <v>#NAME?</v>
      </c>
      <c r="M8" s="54" t="e">
        <f ca="1"/>
        <v>#NAME?</v>
      </c>
      <c r="N8" s="55" t="e">
        <f ca="1"/>
        <v>#NAME?</v>
      </c>
      <c r="O8" s="55" t="e">
        <f ca="1"/>
        <v>#NAME?</v>
      </c>
      <c r="P8" s="54" t="e">
        <f ca="1"/>
        <v>#NAME?</v>
      </c>
      <c r="Q8" s="54" t="e">
        <f ca="1"/>
        <v>#NAME?</v>
      </c>
      <c r="R8" s="54" t="e">
        <f ca="1"/>
        <v>#NAME?</v>
      </c>
      <c r="S8" s="54" t="e">
        <f ca="1"/>
        <v>#NAME?</v>
      </c>
      <c r="T8" s="55" t="e">
        <f ca="1"/>
        <v>#NAME?</v>
      </c>
    </row>
    <row r="9" spans="1:20" x14ac:dyDescent="0.25">
      <c r="A9" s="54" t="e">
        <f ca="1"/>
        <v>#NAME?</v>
      </c>
      <c r="B9" s="54" t="e">
        <f ca="1"/>
        <v>#NAME?</v>
      </c>
      <c r="C9" s="54" t="e">
        <f ca="1"/>
        <v>#NAME?</v>
      </c>
      <c r="D9" s="54" t="e">
        <f ca="1"/>
        <v>#NAME?</v>
      </c>
      <c r="E9" s="54" t="e">
        <f ca="1"/>
        <v>#NAME?</v>
      </c>
      <c r="F9" s="54" t="e">
        <f ca="1"/>
        <v>#NAME?</v>
      </c>
      <c r="G9" s="54" t="e">
        <f ca="1"/>
        <v>#NAME?</v>
      </c>
      <c r="H9" s="54" t="e">
        <f ca="1"/>
        <v>#NAME?</v>
      </c>
      <c r="I9" s="54" t="e">
        <f ca="1"/>
        <v>#NAME?</v>
      </c>
      <c r="J9" s="54" t="e">
        <f ca="1"/>
        <v>#NAME?</v>
      </c>
      <c r="K9" s="54" t="e">
        <f ca="1"/>
        <v>#NAME?</v>
      </c>
      <c r="L9" s="54" t="e">
        <f ca="1"/>
        <v>#NAME?</v>
      </c>
      <c r="M9" s="54" t="e">
        <f ca="1"/>
        <v>#NAME?</v>
      </c>
      <c r="N9" s="55" t="e">
        <f ca="1"/>
        <v>#NAME?</v>
      </c>
      <c r="O9" s="55" t="e">
        <f ca="1"/>
        <v>#NAME?</v>
      </c>
      <c r="P9" s="54" t="e">
        <f ca="1"/>
        <v>#NAME?</v>
      </c>
      <c r="Q9" s="54" t="e">
        <f ca="1"/>
        <v>#NAME?</v>
      </c>
      <c r="R9" s="54" t="e">
        <f ca="1"/>
        <v>#NAME?</v>
      </c>
      <c r="S9" s="54" t="e">
        <f ca="1"/>
        <v>#NAME?</v>
      </c>
      <c r="T9" s="55" t="e">
        <f ca="1"/>
        <v>#NAME?</v>
      </c>
    </row>
    <row r="10" spans="1:20" x14ac:dyDescent="0.25">
      <c r="A10" s="54" t="e">
        <f ca="1"/>
        <v>#NAME?</v>
      </c>
      <c r="B10" s="54" t="e">
        <f ca="1"/>
        <v>#NAME?</v>
      </c>
      <c r="C10" s="54" t="e">
        <f ca="1"/>
        <v>#NAME?</v>
      </c>
      <c r="D10" s="54" t="e">
        <f ca="1"/>
        <v>#NAME?</v>
      </c>
      <c r="E10" s="54" t="e">
        <f ca="1"/>
        <v>#NAME?</v>
      </c>
      <c r="F10" s="54" t="e">
        <f ca="1"/>
        <v>#NAME?</v>
      </c>
      <c r="G10" s="54" t="e">
        <f ca="1"/>
        <v>#NAME?</v>
      </c>
      <c r="H10" s="54" t="e">
        <f ca="1"/>
        <v>#NAME?</v>
      </c>
      <c r="I10" s="54" t="e">
        <f ca="1"/>
        <v>#NAME?</v>
      </c>
      <c r="J10" s="54" t="e">
        <f ca="1"/>
        <v>#NAME?</v>
      </c>
      <c r="K10" s="54" t="e">
        <f ca="1"/>
        <v>#NAME?</v>
      </c>
      <c r="L10" s="54" t="e">
        <f ca="1"/>
        <v>#NAME?</v>
      </c>
      <c r="M10" s="54" t="e">
        <f ca="1"/>
        <v>#NAME?</v>
      </c>
      <c r="N10" s="55" t="e">
        <f ca="1"/>
        <v>#NAME?</v>
      </c>
      <c r="O10" s="55" t="e">
        <f ca="1"/>
        <v>#NAME?</v>
      </c>
      <c r="P10" s="54" t="e">
        <f ca="1"/>
        <v>#NAME?</v>
      </c>
      <c r="Q10" s="54" t="e">
        <f ca="1"/>
        <v>#NAME?</v>
      </c>
      <c r="R10" s="54" t="e">
        <f ca="1"/>
        <v>#NAME?</v>
      </c>
      <c r="S10" s="54" t="e">
        <f ca="1"/>
        <v>#NAME?</v>
      </c>
      <c r="T10" s="55" t="e">
        <f ca="1"/>
        <v>#NAME?</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TextBox1">
          <controlPr defaultSize="0" autoLine="0" autoPict="0" linkedCell="E2" r:id="rId5">
            <anchor moveWithCells="1">
              <from>
                <xdr:col>3</xdr:col>
                <xdr:colOff>0</xdr:colOff>
                <xdr:row>0</xdr:row>
                <xdr:rowOff>180975</xdr:rowOff>
              </from>
              <to>
                <xdr:col>5</xdr:col>
                <xdr:colOff>9525</xdr:colOff>
                <xdr:row>2</xdr:row>
                <xdr:rowOff>9525</xdr:rowOff>
              </to>
            </anchor>
          </controlPr>
        </control>
      </mc:Choice>
      <mc:Fallback>
        <control shapeId="6145" r:id="rId4" name="TextBox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2CB20-32A2-4EEE-81AA-26A434F0C555}">
  <dimension ref="B2:M76"/>
  <sheetViews>
    <sheetView zoomScale="136" workbookViewId="0">
      <selection activeCell="E4" sqref="E4"/>
    </sheetView>
  </sheetViews>
  <sheetFormatPr baseColWidth="10" defaultRowHeight="15" x14ac:dyDescent="0.25"/>
  <cols>
    <col min="2" max="2" width="5.42578125" style="5" customWidth="1"/>
    <col min="3" max="3" width="26.140625" bestFit="1" customWidth="1"/>
    <col min="4" max="4" width="46.28515625" style="128" customWidth="1"/>
    <col min="5" max="6" width="11.42578125" style="128" bestFit="1" customWidth="1"/>
    <col min="7" max="7" width="14.85546875" style="5" bestFit="1" customWidth="1"/>
    <col min="8" max="8" width="11.5703125" style="4" bestFit="1" customWidth="1"/>
    <col min="9" max="10" width="11.5703125" bestFit="1" customWidth="1"/>
  </cols>
  <sheetData>
    <row r="2" spans="2:13" ht="42.75" x14ac:dyDescent="0.25">
      <c r="B2" s="119" t="s">
        <v>783</v>
      </c>
      <c r="C2" s="119" t="s">
        <v>784</v>
      </c>
      <c r="D2" s="119" t="s">
        <v>785</v>
      </c>
      <c r="E2" s="119" t="s">
        <v>918</v>
      </c>
      <c r="F2" s="119" t="s">
        <v>919</v>
      </c>
      <c r="G2" s="119" t="s">
        <v>786</v>
      </c>
      <c r="H2" s="120" t="s">
        <v>806</v>
      </c>
      <c r="I2" s="119" t="s">
        <v>858</v>
      </c>
      <c r="J2" s="119" t="s">
        <v>877</v>
      </c>
    </row>
    <row r="3" spans="2:13" ht="28.5" x14ac:dyDescent="0.3">
      <c r="B3" s="119">
        <v>1</v>
      </c>
      <c r="C3" s="121" t="s">
        <v>845</v>
      </c>
      <c r="D3" s="121" t="s">
        <v>870</v>
      </c>
      <c r="E3" s="122">
        <v>10</v>
      </c>
      <c r="F3" s="122">
        <v>10</v>
      </c>
      <c r="G3" s="122">
        <v>20</v>
      </c>
      <c r="H3" s="123">
        <v>300</v>
      </c>
      <c r="I3" s="116">
        <f>Tabla8[[#This Row],[Precio]]*1.15</f>
        <v>345</v>
      </c>
      <c r="J3" s="116">
        <f>Tabla8[[#This Row],[Precio con ISV]]*Tabla8[[#This Row],[Cantidad]]</f>
        <v>6900</v>
      </c>
      <c r="M3" s="117">
        <v>1</v>
      </c>
    </row>
    <row r="4" spans="2:13" ht="28.5" x14ac:dyDescent="0.3">
      <c r="B4" s="119">
        <f>B3+1</f>
        <v>2</v>
      </c>
      <c r="C4" s="121" t="s">
        <v>845</v>
      </c>
      <c r="D4" s="121" t="s">
        <v>871</v>
      </c>
      <c r="E4" s="122">
        <v>5</v>
      </c>
      <c r="F4" s="122">
        <v>5</v>
      </c>
      <c r="G4" s="122">
        <v>10</v>
      </c>
      <c r="H4" s="123">
        <v>500</v>
      </c>
      <c r="I4" s="116">
        <f>Tabla8[[#This Row],[Precio]]*1.15</f>
        <v>575</v>
      </c>
      <c r="J4" s="116">
        <f>Tabla8[[#This Row],[Precio con ISV]]*Tabla8[[#This Row],[Cantidad]]</f>
        <v>5750</v>
      </c>
      <c r="M4" s="118">
        <v>1</v>
      </c>
    </row>
    <row r="5" spans="2:13" ht="15.75" x14ac:dyDescent="0.3">
      <c r="B5" s="119">
        <f t="shared" ref="B5:B69" si="0">B4+1</f>
        <v>3</v>
      </c>
      <c r="C5" s="121" t="s">
        <v>823</v>
      </c>
      <c r="D5" s="121" t="s">
        <v>864</v>
      </c>
      <c r="E5" s="124">
        <v>30</v>
      </c>
      <c r="F5" s="124">
        <v>30</v>
      </c>
      <c r="G5" s="124">
        <v>60</v>
      </c>
      <c r="H5" s="123">
        <v>58.5</v>
      </c>
      <c r="I5" s="116">
        <f>Tabla8[[#This Row],[Precio]]*1.15</f>
        <v>67.274999999999991</v>
      </c>
      <c r="J5" s="116">
        <f>Tabla8[[#This Row],[Precio con ISV]]*Tabla8[[#This Row],[Cantidad]]</f>
        <v>4036.4999999999995</v>
      </c>
    </row>
    <row r="6" spans="2:13" ht="15.75" x14ac:dyDescent="0.3">
      <c r="B6" s="119">
        <f t="shared" si="0"/>
        <v>4</v>
      </c>
      <c r="C6" s="121" t="s">
        <v>905</v>
      </c>
      <c r="D6" s="121" t="s">
        <v>868</v>
      </c>
      <c r="E6" s="122">
        <v>36</v>
      </c>
      <c r="F6" s="122">
        <v>36</v>
      </c>
      <c r="G6" s="122">
        <v>72</v>
      </c>
      <c r="H6" s="123">
        <v>31</v>
      </c>
      <c r="I6" s="116">
        <f>Tabla8[[#This Row],[Precio]]*1.15</f>
        <v>35.65</v>
      </c>
      <c r="J6" s="116">
        <f>Tabla8[[#This Row],[Precio con ISV]]*Tabla8[[#This Row],[Cantidad]]</f>
        <v>2566.7999999999997</v>
      </c>
    </row>
    <row r="7" spans="2:13" ht="15.75" x14ac:dyDescent="0.3">
      <c r="B7" s="119">
        <f t="shared" si="0"/>
        <v>5</v>
      </c>
      <c r="C7" s="121" t="s">
        <v>843</v>
      </c>
      <c r="D7" s="121" t="s">
        <v>867</v>
      </c>
      <c r="E7" s="122">
        <v>5</v>
      </c>
      <c r="F7" s="122">
        <v>5</v>
      </c>
      <c r="G7" s="122">
        <v>10</v>
      </c>
      <c r="H7" s="123">
        <v>259.44</v>
      </c>
      <c r="I7" s="116">
        <f>Tabla8[[#This Row],[Precio]]*1.15</f>
        <v>298.35599999999999</v>
      </c>
      <c r="J7" s="116">
        <f>Tabla8[[#This Row],[Precio con ISV]]*Tabla8[[#This Row],[Cantidad]]</f>
        <v>2983.56</v>
      </c>
    </row>
    <row r="8" spans="2:13" ht="28.5" x14ac:dyDescent="0.3">
      <c r="B8" s="119">
        <f t="shared" si="0"/>
        <v>6</v>
      </c>
      <c r="C8" s="121" t="s">
        <v>844</v>
      </c>
      <c r="D8" s="121" t="s">
        <v>869</v>
      </c>
      <c r="E8" s="122">
        <v>15</v>
      </c>
      <c r="F8" s="122">
        <v>15</v>
      </c>
      <c r="G8" s="122">
        <v>30</v>
      </c>
      <c r="H8" s="123">
        <v>200</v>
      </c>
      <c r="I8" s="116">
        <f>Tabla8[[#This Row],[Precio]]*1.15</f>
        <v>229.99999999999997</v>
      </c>
      <c r="J8" s="116">
        <f>Tabla8[[#This Row],[Precio con ISV]]*Tabla8[[#This Row],[Cantidad]]</f>
        <v>6899.9999999999991</v>
      </c>
    </row>
    <row r="9" spans="2:13" ht="28.5" x14ac:dyDescent="0.3">
      <c r="B9" s="119">
        <f t="shared" si="0"/>
        <v>7</v>
      </c>
      <c r="C9" s="121" t="s">
        <v>846</v>
      </c>
      <c r="D9" s="121" t="s">
        <v>872</v>
      </c>
      <c r="E9" s="122">
        <v>15</v>
      </c>
      <c r="F9" s="122">
        <v>15</v>
      </c>
      <c r="G9" s="122">
        <v>30</v>
      </c>
      <c r="H9" s="123">
        <v>200</v>
      </c>
      <c r="I9" s="116">
        <f>Tabla8[[#This Row],[Precio]]*1.15</f>
        <v>229.99999999999997</v>
      </c>
      <c r="J9" s="116">
        <f>Tabla8[[#This Row],[Precio con ISV]]*Tabla8[[#This Row],[Cantidad]]</f>
        <v>6899.9999999999991</v>
      </c>
    </row>
    <row r="10" spans="2:13" ht="28.5" x14ac:dyDescent="0.3">
      <c r="B10" s="119">
        <f t="shared" si="0"/>
        <v>8</v>
      </c>
      <c r="C10" s="121" t="s">
        <v>846</v>
      </c>
      <c r="D10" s="121" t="s">
        <v>873</v>
      </c>
      <c r="E10" s="122">
        <v>15</v>
      </c>
      <c r="F10" s="122">
        <v>15</v>
      </c>
      <c r="G10" s="122">
        <v>30</v>
      </c>
      <c r="H10" s="123">
        <v>200</v>
      </c>
      <c r="I10" s="116">
        <f>Tabla8[[#This Row],[Precio]]*1.15</f>
        <v>229.99999999999997</v>
      </c>
      <c r="J10" s="116">
        <f>Tabla8[[#This Row],[Precio con ISV]]*Tabla8[[#This Row],[Cantidad]]</f>
        <v>6899.9999999999991</v>
      </c>
    </row>
    <row r="11" spans="2:13" ht="15.75" x14ac:dyDescent="0.3">
      <c r="B11" s="119">
        <f t="shared" si="0"/>
        <v>9</v>
      </c>
      <c r="C11" s="121" t="s">
        <v>850</v>
      </c>
      <c r="D11" s="121" t="s">
        <v>865</v>
      </c>
      <c r="E11" s="122">
        <v>12</v>
      </c>
      <c r="F11" s="122">
        <v>12</v>
      </c>
      <c r="G11" s="122">
        <v>24</v>
      </c>
      <c r="H11" s="123">
        <v>35</v>
      </c>
      <c r="I11" s="116">
        <f>Tabla8[[#This Row],[Precio]]*1.15</f>
        <v>40.25</v>
      </c>
      <c r="J11" s="116">
        <f>Tabla8[[#This Row],[Precio con ISV]]*Tabla8[[#This Row],[Cantidad]]</f>
        <v>966</v>
      </c>
    </row>
    <row r="12" spans="2:13" ht="28.5" x14ac:dyDescent="0.3">
      <c r="B12" s="119">
        <f t="shared" si="0"/>
        <v>10</v>
      </c>
      <c r="C12" s="121" t="s">
        <v>825</v>
      </c>
      <c r="D12" s="121" t="s">
        <v>874</v>
      </c>
      <c r="E12" s="122">
        <v>12</v>
      </c>
      <c r="F12" s="122">
        <v>12</v>
      </c>
      <c r="G12" s="122">
        <v>24</v>
      </c>
      <c r="H12" s="123">
        <v>31.1</v>
      </c>
      <c r="I12" s="116">
        <f>Tabla8[[#This Row],[Precio]]*1.15</f>
        <v>35.765000000000001</v>
      </c>
      <c r="J12" s="116">
        <f>Tabla8[[#This Row],[Precio con ISV]]*Tabla8[[#This Row],[Cantidad]]</f>
        <v>858.36</v>
      </c>
    </row>
    <row r="13" spans="2:13" ht="28.5" x14ac:dyDescent="0.3">
      <c r="B13" s="119">
        <f t="shared" si="0"/>
        <v>11</v>
      </c>
      <c r="C13" s="121" t="s">
        <v>790</v>
      </c>
      <c r="D13" s="121" t="s">
        <v>878</v>
      </c>
      <c r="E13" s="125">
        <v>50</v>
      </c>
      <c r="F13" s="125">
        <v>50</v>
      </c>
      <c r="G13" s="125">
        <v>100</v>
      </c>
      <c r="H13" s="123">
        <v>10</v>
      </c>
      <c r="I13" s="116">
        <f>Tabla8[[#This Row],[Precio]]*1.15</f>
        <v>11.5</v>
      </c>
      <c r="J13" s="116">
        <f>Tabla8[[#This Row],[Precio con ISV]]*Tabla8[[#This Row],[Cantidad]]</f>
        <v>1150</v>
      </c>
    </row>
    <row r="14" spans="2:13" ht="15.75" x14ac:dyDescent="0.3">
      <c r="B14" s="119">
        <f t="shared" si="0"/>
        <v>12</v>
      </c>
      <c r="C14" s="121" t="s">
        <v>791</v>
      </c>
      <c r="D14" s="121" t="s">
        <v>879</v>
      </c>
      <c r="E14" s="125">
        <v>50</v>
      </c>
      <c r="F14" s="125">
        <v>50</v>
      </c>
      <c r="G14" s="125">
        <v>100</v>
      </c>
      <c r="H14" s="123">
        <v>21</v>
      </c>
      <c r="I14" s="116">
        <f>Tabla8[[#This Row],[Precio]]*1.15</f>
        <v>24.15</v>
      </c>
      <c r="J14" s="116">
        <f>Tabla8[[#This Row],[Precio con ISV]]*Tabla8[[#This Row],[Cantidad]]</f>
        <v>2415</v>
      </c>
    </row>
    <row r="15" spans="2:13" ht="28.5" x14ac:dyDescent="0.3">
      <c r="B15" s="119">
        <f t="shared" si="0"/>
        <v>13</v>
      </c>
      <c r="C15" s="121" t="s">
        <v>904</v>
      </c>
      <c r="D15" s="121" t="s">
        <v>906</v>
      </c>
      <c r="E15" s="122">
        <v>20</v>
      </c>
      <c r="F15" s="122">
        <v>20</v>
      </c>
      <c r="G15" s="122">
        <v>40</v>
      </c>
      <c r="H15" s="127">
        <v>21</v>
      </c>
      <c r="I15" s="116">
        <f>Tabla8[[#This Row],[Precio]]*1.15</f>
        <v>24.15</v>
      </c>
      <c r="J15" s="116">
        <f>Tabla8[[#This Row],[Precio con ISV]]*Tabla8[[#This Row],[Cantidad]]</f>
        <v>966</v>
      </c>
    </row>
    <row r="16" spans="2:13" ht="28.5" x14ac:dyDescent="0.3">
      <c r="B16" s="119">
        <f t="shared" si="0"/>
        <v>14</v>
      </c>
      <c r="C16" s="121" t="s">
        <v>792</v>
      </c>
      <c r="D16" s="121" t="s">
        <v>907</v>
      </c>
      <c r="E16" s="125">
        <v>6</v>
      </c>
      <c r="F16" s="125">
        <v>6</v>
      </c>
      <c r="G16" s="125">
        <v>12</v>
      </c>
      <c r="H16" s="123">
        <v>9.44</v>
      </c>
      <c r="I16" s="116">
        <f>Tabla8[[#This Row],[Precio]]*1.15</f>
        <v>10.855999999999998</v>
      </c>
      <c r="J16" s="116">
        <f>Tabla8[[#This Row],[Precio con ISV]]*Tabla8[[#This Row],[Cantidad]]</f>
        <v>130.27199999999999</v>
      </c>
    </row>
    <row r="17" spans="2:12" ht="15.75" x14ac:dyDescent="0.3">
      <c r="B17" s="119">
        <f t="shared" si="0"/>
        <v>15</v>
      </c>
      <c r="C17" s="121" t="s">
        <v>847</v>
      </c>
      <c r="D17" s="121" t="s">
        <v>880</v>
      </c>
      <c r="E17" s="122">
        <v>50</v>
      </c>
      <c r="F17" s="122">
        <v>50</v>
      </c>
      <c r="G17" s="122">
        <v>100</v>
      </c>
      <c r="H17" s="123">
        <v>80</v>
      </c>
      <c r="I17" s="116">
        <f>Tabla8[[#This Row],[Precio]]*1.15</f>
        <v>92</v>
      </c>
      <c r="J17" s="116">
        <f>Tabla8[[#This Row],[Precio con ISV]]*Tabla8[[#This Row],[Cantidad]]</f>
        <v>9200</v>
      </c>
    </row>
    <row r="18" spans="2:12" ht="28.5" x14ac:dyDescent="0.3">
      <c r="B18" s="119">
        <f t="shared" si="0"/>
        <v>16</v>
      </c>
      <c r="C18" s="121" t="s">
        <v>903</v>
      </c>
      <c r="D18" s="121" t="s">
        <v>916</v>
      </c>
      <c r="E18" s="122">
        <v>20</v>
      </c>
      <c r="F18" s="122">
        <v>20</v>
      </c>
      <c r="G18" s="122">
        <v>40</v>
      </c>
      <c r="H18" s="127">
        <v>150</v>
      </c>
      <c r="I18" s="116">
        <f>Tabla8[[#This Row],[Precio]]*1.15</f>
        <v>172.5</v>
      </c>
      <c r="J18" s="116">
        <f>Tabla8[[#This Row],[Precio con ISV]]*Tabla8[[#This Row],[Cantidad]]</f>
        <v>6900</v>
      </c>
    </row>
    <row r="19" spans="2:12" ht="28.5" x14ac:dyDescent="0.3">
      <c r="B19" s="119">
        <f>ROWS(Tabla8[[#This Row],[Producto]])</f>
        <v>1</v>
      </c>
      <c r="C19" s="121" t="s">
        <v>903</v>
      </c>
      <c r="D19" s="121" t="s">
        <v>917</v>
      </c>
      <c r="E19" s="122">
        <v>5</v>
      </c>
      <c r="F19" s="122">
        <v>5</v>
      </c>
      <c r="G19" s="122">
        <v>10</v>
      </c>
      <c r="H19" s="127">
        <v>220</v>
      </c>
      <c r="I19" s="116">
        <f>Tabla8[[#This Row],[Precio]]*1.15</f>
        <v>252.99999999999997</v>
      </c>
      <c r="J19" s="116">
        <f>Tabla8[[#This Row],[Precio con ISV]]*Tabla8[[#This Row],[Cantidad]]</f>
        <v>2529.9999999999995</v>
      </c>
    </row>
    <row r="20" spans="2:12" ht="15.75" x14ac:dyDescent="0.3">
      <c r="B20" s="119">
        <f>B18+1</f>
        <v>17</v>
      </c>
      <c r="C20" s="121" t="s">
        <v>795</v>
      </c>
      <c r="D20" s="121" t="s">
        <v>796</v>
      </c>
      <c r="E20" s="125">
        <v>30</v>
      </c>
      <c r="F20" s="125">
        <v>30</v>
      </c>
      <c r="G20" s="125">
        <v>60</v>
      </c>
      <c r="H20" s="123">
        <v>24.45</v>
      </c>
      <c r="I20" s="116">
        <f>Tabla8[[#This Row],[Precio]]*1.15</f>
        <v>28.117499999999996</v>
      </c>
      <c r="J20" s="116">
        <f>Tabla8[[#This Row],[Precio con ISV]]*Tabla8[[#This Row],[Cantidad]]</f>
        <v>1687.0499999999997</v>
      </c>
    </row>
    <row r="21" spans="2:12" ht="15.75" x14ac:dyDescent="0.3">
      <c r="B21" s="119">
        <f t="shared" si="0"/>
        <v>18</v>
      </c>
      <c r="C21" s="121" t="s">
        <v>793</v>
      </c>
      <c r="D21" s="121" t="s">
        <v>794</v>
      </c>
      <c r="E21" s="125">
        <v>50</v>
      </c>
      <c r="F21" s="125">
        <v>50</v>
      </c>
      <c r="G21" s="125">
        <v>100</v>
      </c>
      <c r="H21" s="123">
        <v>15.03</v>
      </c>
      <c r="I21" s="116">
        <f>Tabla8[[#This Row],[Precio]]*1.15</f>
        <v>17.284499999999998</v>
      </c>
      <c r="J21" s="116">
        <f>Tabla8[[#This Row],[Precio con ISV]]*Tabla8[[#This Row],[Cantidad]]</f>
        <v>1728.4499999999998</v>
      </c>
    </row>
    <row r="22" spans="2:12" ht="15.75" x14ac:dyDescent="0.3">
      <c r="B22" s="119">
        <f t="shared" si="0"/>
        <v>19</v>
      </c>
      <c r="C22" s="121" t="s">
        <v>797</v>
      </c>
      <c r="D22" s="121" t="s">
        <v>798</v>
      </c>
      <c r="E22" s="125">
        <v>25</v>
      </c>
      <c r="F22" s="125">
        <v>25</v>
      </c>
      <c r="G22" s="125">
        <v>50</v>
      </c>
      <c r="H22" s="123">
        <v>20</v>
      </c>
      <c r="I22" s="116">
        <f>Tabla8[[#This Row],[Precio]]*1.15</f>
        <v>23</v>
      </c>
      <c r="J22" s="116">
        <f>Tabla8[[#This Row],[Precio con ISV]]*Tabla8[[#This Row],[Cantidad]]</f>
        <v>1150</v>
      </c>
    </row>
    <row r="23" spans="2:12" ht="15.75" x14ac:dyDescent="0.3">
      <c r="B23" s="119">
        <f t="shared" si="0"/>
        <v>20</v>
      </c>
      <c r="C23" s="121" t="s">
        <v>797</v>
      </c>
      <c r="D23" s="121" t="s">
        <v>799</v>
      </c>
      <c r="E23" s="125">
        <v>25</v>
      </c>
      <c r="F23" s="125">
        <v>25</v>
      </c>
      <c r="G23" s="125">
        <v>50</v>
      </c>
      <c r="H23" s="123">
        <v>26.75</v>
      </c>
      <c r="I23" s="116">
        <f>Tabla8[[#This Row],[Precio]]*1.15</f>
        <v>30.762499999999999</v>
      </c>
      <c r="J23" s="116">
        <f>Tabla8[[#This Row],[Precio con ISV]]*Tabla8[[#This Row],[Cantidad]]</f>
        <v>1538.125</v>
      </c>
    </row>
    <row r="24" spans="2:12" ht="28.5" x14ac:dyDescent="0.3">
      <c r="B24" s="119">
        <f t="shared" si="0"/>
        <v>21</v>
      </c>
      <c r="C24" s="121" t="s">
        <v>832</v>
      </c>
      <c r="D24" s="121" t="s">
        <v>866</v>
      </c>
      <c r="E24" s="122">
        <v>6</v>
      </c>
      <c r="F24" s="122">
        <v>6</v>
      </c>
      <c r="G24" s="122">
        <v>12</v>
      </c>
      <c r="H24" s="123">
        <v>510</v>
      </c>
      <c r="I24" s="116">
        <f>Tabla8[[#This Row],[Precio]]*1.15</f>
        <v>586.5</v>
      </c>
      <c r="J24" s="116">
        <f>Tabla8[[#This Row],[Precio con ISV]]*Tabla8[[#This Row],[Cantidad]]</f>
        <v>7038</v>
      </c>
    </row>
    <row r="25" spans="2:12" ht="28.5" x14ac:dyDescent="0.3">
      <c r="B25" s="119">
        <f t="shared" si="0"/>
        <v>22</v>
      </c>
      <c r="C25" s="121" t="s">
        <v>828</v>
      </c>
      <c r="D25" s="121" t="s">
        <v>837</v>
      </c>
      <c r="E25" s="122">
        <v>25</v>
      </c>
      <c r="F25" s="122">
        <v>25</v>
      </c>
      <c r="G25" s="122">
        <v>50</v>
      </c>
      <c r="H25" s="123">
        <v>54.44</v>
      </c>
      <c r="I25" s="116">
        <f>Tabla8[[#This Row],[Precio]]*1.15</f>
        <v>62.605999999999995</v>
      </c>
      <c r="J25" s="116">
        <f>Tabla8[[#This Row],[Precio con ISV]]*Tabla8[[#This Row],[Cantidad]]</f>
        <v>3130.2999999999997</v>
      </c>
    </row>
    <row r="26" spans="2:12" ht="15.75" x14ac:dyDescent="0.3">
      <c r="B26" s="119">
        <f t="shared" si="0"/>
        <v>23</v>
      </c>
      <c r="C26" s="121" t="s">
        <v>838</v>
      </c>
      <c r="D26" s="121" t="s">
        <v>859</v>
      </c>
      <c r="E26" s="122">
        <v>5</v>
      </c>
      <c r="F26" s="122">
        <v>5</v>
      </c>
      <c r="G26" s="122">
        <v>10</v>
      </c>
      <c r="H26" s="123">
        <v>350</v>
      </c>
      <c r="I26" s="116">
        <f>Tabla8[[#This Row],[Precio]]*1.15</f>
        <v>402.49999999999994</v>
      </c>
      <c r="J26" s="116">
        <f>Tabla8[[#This Row],[Precio con ISV]]*Tabla8[[#This Row],[Cantidad]]</f>
        <v>4024.9999999999995</v>
      </c>
      <c r="L26" t="str">
        <f>LOWER(Tabla8[[#This Row],[Descripción]])</f>
        <v>grapadora manual para pared, alta calidad, unidad</v>
      </c>
    </row>
    <row r="27" spans="2:12" ht="15.75" x14ac:dyDescent="0.3">
      <c r="B27" s="119">
        <f t="shared" si="0"/>
        <v>24</v>
      </c>
      <c r="C27" s="121" t="s">
        <v>827</v>
      </c>
      <c r="D27" s="121" t="s">
        <v>915</v>
      </c>
      <c r="E27" s="125">
        <v>5</v>
      </c>
      <c r="F27" s="125">
        <v>5</v>
      </c>
      <c r="G27" s="125">
        <v>10</v>
      </c>
      <c r="H27" s="123">
        <v>312</v>
      </c>
      <c r="I27" s="116">
        <f>Tabla8[[#This Row],[Precio]]*1.15</f>
        <v>358.79999999999995</v>
      </c>
      <c r="J27" s="116">
        <f>Tabla8[[#This Row],[Precio con ISV]]*Tabla8[[#This Row],[Cantidad]]</f>
        <v>3587.9999999999995</v>
      </c>
    </row>
    <row r="28" spans="2:12" ht="28.5" x14ac:dyDescent="0.3">
      <c r="B28" s="119">
        <f t="shared" si="0"/>
        <v>25</v>
      </c>
      <c r="C28" s="121" t="s">
        <v>849</v>
      </c>
      <c r="D28" s="121" t="s">
        <v>875</v>
      </c>
      <c r="E28" s="122">
        <v>60</v>
      </c>
      <c r="F28" s="122">
        <v>60</v>
      </c>
      <c r="G28" s="122">
        <v>120</v>
      </c>
      <c r="H28" s="123">
        <v>30</v>
      </c>
      <c r="I28" s="116">
        <f>Tabla8[[#This Row],[Precio]]*1.15</f>
        <v>34.5</v>
      </c>
      <c r="J28" s="116">
        <f>Tabla8[[#This Row],[Precio con ISV]]*Tabla8[[#This Row],[Cantidad]]</f>
        <v>4140</v>
      </c>
    </row>
    <row r="29" spans="2:12" ht="28.5" x14ac:dyDescent="0.3">
      <c r="B29" s="119">
        <f t="shared" si="0"/>
        <v>26</v>
      </c>
      <c r="C29" s="121" t="s">
        <v>849</v>
      </c>
      <c r="D29" s="121" t="s">
        <v>896</v>
      </c>
      <c r="E29" s="122">
        <v>60</v>
      </c>
      <c r="F29" s="122">
        <v>60</v>
      </c>
      <c r="G29" s="122">
        <v>120</v>
      </c>
      <c r="H29" s="123">
        <v>50</v>
      </c>
      <c r="I29" s="116">
        <f>Tabla8[[#This Row],[Precio]]*1.15</f>
        <v>57.499999999999993</v>
      </c>
      <c r="J29" s="116">
        <f>Tabla8[[#This Row],[Precio con ISV]]*Tabla8[[#This Row],[Cantidad]]</f>
        <v>6899.9999999999991</v>
      </c>
    </row>
    <row r="30" spans="2:12" ht="28.5" x14ac:dyDescent="0.3">
      <c r="B30" s="119">
        <f t="shared" si="0"/>
        <v>27</v>
      </c>
      <c r="C30" s="121" t="s">
        <v>848</v>
      </c>
      <c r="D30" s="121" t="s">
        <v>876</v>
      </c>
      <c r="E30" s="122">
        <v>60</v>
      </c>
      <c r="F30" s="122">
        <v>60</v>
      </c>
      <c r="G30" s="122">
        <v>120</v>
      </c>
      <c r="H30" s="123">
        <v>30</v>
      </c>
      <c r="I30" s="116">
        <f>Tabla8[[#This Row],[Precio]]*1.15</f>
        <v>34.5</v>
      </c>
      <c r="J30" s="116">
        <f>Tabla8[[#This Row],[Precio con ISV]]*Tabla8[[#This Row],[Cantidad]]</f>
        <v>4140</v>
      </c>
    </row>
    <row r="31" spans="2:12" ht="28.5" x14ac:dyDescent="0.3">
      <c r="B31" s="119">
        <f t="shared" si="0"/>
        <v>28</v>
      </c>
      <c r="C31" s="121" t="s">
        <v>789</v>
      </c>
      <c r="D31" s="121" t="s">
        <v>881</v>
      </c>
      <c r="E31" s="125">
        <v>75</v>
      </c>
      <c r="F31" s="125">
        <v>75</v>
      </c>
      <c r="G31" s="125">
        <v>150</v>
      </c>
      <c r="H31" s="123">
        <v>64</v>
      </c>
      <c r="I31" s="116">
        <f>Tabla8[[#This Row],[Precio]]*1.15</f>
        <v>73.599999999999994</v>
      </c>
      <c r="J31" s="116">
        <f>Tabla8[[#This Row],[Precio con ISV]]*Tabla8[[#This Row],[Cantidad]]</f>
        <v>11040</v>
      </c>
    </row>
    <row r="32" spans="2:12" ht="28.5" x14ac:dyDescent="0.3">
      <c r="B32" s="119">
        <f t="shared" si="0"/>
        <v>29</v>
      </c>
      <c r="C32" s="121" t="s">
        <v>787</v>
      </c>
      <c r="D32" s="121" t="s">
        <v>882</v>
      </c>
      <c r="E32" s="125">
        <v>75</v>
      </c>
      <c r="F32" s="125">
        <v>75</v>
      </c>
      <c r="G32" s="125">
        <v>150</v>
      </c>
      <c r="H32" s="123">
        <v>64</v>
      </c>
      <c r="I32" s="116">
        <f>Tabla8[[#This Row],[Precio]]*1.15</f>
        <v>73.599999999999994</v>
      </c>
      <c r="J32" s="116">
        <f>Tabla8[[#This Row],[Precio con ISV]]*Tabla8[[#This Row],[Cantidad]]</f>
        <v>11040</v>
      </c>
      <c r="L32" t="str">
        <f>LOWER(Tabla8[[#This Row],[Descripción]])</f>
        <v xml:space="preserve">caja de 12 unidades 1,0 mm punto mediano alta calidad </v>
      </c>
    </row>
    <row r="33" spans="2:10" ht="28.5" x14ac:dyDescent="0.3">
      <c r="B33" s="119">
        <f t="shared" si="0"/>
        <v>30</v>
      </c>
      <c r="C33" s="121" t="s">
        <v>908</v>
      </c>
      <c r="D33" s="121" t="s">
        <v>909</v>
      </c>
      <c r="E33" s="125">
        <v>25</v>
      </c>
      <c r="F33" s="125">
        <v>25</v>
      </c>
      <c r="G33" s="125">
        <v>50</v>
      </c>
      <c r="H33" s="123">
        <v>80</v>
      </c>
      <c r="I33" s="116">
        <f>Tabla8[[#This Row],[Precio]]*1.15</f>
        <v>92</v>
      </c>
      <c r="J33" s="116">
        <f>Tabla8[[#This Row],[Precio con ISV]]*Tabla8[[#This Row],[Cantidad]]</f>
        <v>4600</v>
      </c>
    </row>
    <row r="34" spans="2:10" ht="28.5" x14ac:dyDescent="0.3">
      <c r="B34" s="119">
        <f t="shared" si="0"/>
        <v>31</v>
      </c>
      <c r="C34" s="121" t="s">
        <v>788</v>
      </c>
      <c r="D34" s="121" t="s">
        <v>882</v>
      </c>
      <c r="E34" s="125">
        <v>75</v>
      </c>
      <c r="F34" s="125">
        <v>75</v>
      </c>
      <c r="G34" s="125">
        <v>150</v>
      </c>
      <c r="H34" s="123">
        <v>64</v>
      </c>
      <c r="I34" s="116">
        <f>Tabla8[[#This Row],[Precio]]*1.15</f>
        <v>73.599999999999994</v>
      </c>
      <c r="J34" s="116">
        <f>Tabla8[[#This Row],[Precio con ISV]]*Tabla8[[#This Row],[Cantidad]]</f>
        <v>11040</v>
      </c>
    </row>
    <row r="35" spans="2:10" ht="28.5" x14ac:dyDescent="0.3">
      <c r="B35" s="119">
        <f t="shared" si="0"/>
        <v>32</v>
      </c>
      <c r="C35" s="121" t="s">
        <v>851</v>
      </c>
      <c r="D35" s="121" t="s">
        <v>883</v>
      </c>
      <c r="E35" s="125">
        <v>5</v>
      </c>
      <c r="F35" s="125">
        <v>5</v>
      </c>
      <c r="G35" s="125">
        <v>10</v>
      </c>
      <c r="H35" s="123">
        <v>90</v>
      </c>
      <c r="I35" s="116">
        <f>Tabla8[[#This Row],[Precio]]*1.15</f>
        <v>103.49999999999999</v>
      </c>
      <c r="J35" s="116">
        <f>Tabla8[[#This Row],[Precio con ISV]]*Tabla8[[#This Row],[Cantidad]]</f>
        <v>1034.9999999999998</v>
      </c>
    </row>
    <row r="36" spans="2:10" ht="28.5" x14ac:dyDescent="0.3">
      <c r="B36" s="119">
        <f t="shared" si="0"/>
        <v>33</v>
      </c>
      <c r="C36" s="121" t="s">
        <v>851</v>
      </c>
      <c r="D36" s="121" t="s">
        <v>884</v>
      </c>
      <c r="E36" s="125">
        <v>5</v>
      </c>
      <c r="F36" s="125">
        <v>5</v>
      </c>
      <c r="G36" s="125">
        <v>10</v>
      </c>
      <c r="H36" s="123">
        <v>90</v>
      </c>
      <c r="I36" s="116">
        <f>Tabla8[[#This Row],[Precio]]*1.15</f>
        <v>103.49999999999999</v>
      </c>
      <c r="J36" s="116">
        <f>Tabla8[[#This Row],[Precio con ISV]]*Tabla8[[#This Row],[Cantidad]]</f>
        <v>1034.9999999999998</v>
      </c>
    </row>
    <row r="37" spans="2:10" ht="28.5" x14ac:dyDescent="0.3">
      <c r="B37" s="119">
        <f t="shared" si="0"/>
        <v>34</v>
      </c>
      <c r="C37" s="121" t="s">
        <v>803</v>
      </c>
      <c r="D37" s="121" t="s">
        <v>885</v>
      </c>
      <c r="E37" s="125">
        <v>5</v>
      </c>
      <c r="F37" s="125">
        <v>5</v>
      </c>
      <c r="G37" s="125">
        <v>10</v>
      </c>
      <c r="H37" s="123">
        <v>72.72</v>
      </c>
      <c r="I37" s="116">
        <f>Tabla8[[#This Row],[Precio]]*1.15</f>
        <v>83.627999999999986</v>
      </c>
      <c r="J37" s="116">
        <f>Tabla8[[#This Row],[Precio con ISV]]*Tabla8[[#This Row],[Cantidad]]</f>
        <v>836.27999999999986</v>
      </c>
    </row>
    <row r="38" spans="2:10" ht="28.5" x14ac:dyDescent="0.3">
      <c r="B38" s="119">
        <f t="shared" si="0"/>
        <v>35</v>
      </c>
      <c r="C38" s="121" t="s">
        <v>824</v>
      </c>
      <c r="D38" s="121" t="s">
        <v>886</v>
      </c>
      <c r="E38" s="125">
        <v>5</v>
      </c>
      <c r="F38" s="125">
        <v>5</v>
      </c>
      <c r="G38" s="125">
        <v>10</v>
      </c>
      <c r="H38" s="123">
        <v>72.72</v>
      </c>
      <c r="I38" s="116">
        <f>Tabla8[[#This Row],[Precio]]*1.15</f>
        <v>83.627999999999986</v>
      </c>
      <c r="J38" s="116">
        <f>Tabla8[[#This Row],[Precio con ISV]]*Tabla8[[#This Row],[Cantidad]]</f>
        <v>836.27999999999986</v>
      </c>
    </row>
    <row r="39" spans="2:10" ht="28.5" x14ac:dyDescent="0.3">
      <c r="B39" s="119">
        <f t="shared" si="0"/>
        <v>36</v>
      </c>
      <c r="C39" s="121" t="s">
        <v>840</v>
      </c>
      <c r="D39" s="121" t="s">
        <v>841</v>
      </c>
      <c r="E39" s="125">
        <v>5</v>
      </c>
      <c r="F39" s="125">
        <v>5</v>
      </c>
      <c r="G39" s="125">
        <v>10</v>
      </c>
      <c r="H39" s="123">
        <v>72.72</v>
      </c>
      <c r="I39" s="116">
        <f>Tabla8[[#This Row],[Precio]]*1.15</f>
        <v>83.627999999999986</v>
      </c>
      <c r="J39" s="116">
        <f>Tabla8[[#This Row],[Precio con ISV]]*Tabla8[[#This Row],[Cantidad]]</f>
        <v>836.27999999999986</v>
      </c>
    </row>
    <row r="40" spans="2:10" ht="28.5" x14ac:dyDescent="0.3">
      <c r="B40" s="119">
        <f t="shared" si="0"/>
        <v>37</v>
      </c>
      <c r="C40" s="121" t="s">
        <v>840</v>
      </c>
      <c r="D40" s="121" t="s">
        <v>842</v>
      </c>
      <c r="E40" s="125">
        <v>5</v>
      </c>
      <c r="F40" s="125">
        <v>5</v>
      </c>
      <c r="G40" s="125">
        <v>10</v>
      </c>
      <c r="H40" s="123">
        <v>72.72</v>
      </c>
      <c r="I40" s="116">
        <f>Tabla8[[#This Row],[Precio]]*1.15</f>
        <v>83.627999999999986</v>
      </c>
      <c r="J40" s="116">
        <f>Tabla8[[#This Row],[Precio con ISV]]*Tabla8[[#This Row],[Cantidad]]</f>
        <v>836.27999999999986</v>
      </c>
    </row>
    <row r="41" spans="2:10" ht="28.5" x14ac:dyDescent="0.3">
      <c r="B41" s="119">
        <f t="shared" si="0"/>
        <v>38</v>
      </c>
      <c r="C41" s="121" t="s">
        <v>802</v>
      </c>
      <c r="D41" s="121" t="s">
        <v>888</v>
      </c>
      <c r="E41" s="125">
        <v>5</v>
      </c>
      <c r="F41" s="125">
        <v>5</v>
      </c>
      <c r="G41" s="125">
        <v>10</v>
      </c>
      <c r="H41" s="123">
        <v>81.78</v>
      </c>
      <c r="I41" s="116">
        <f>Tabla8[[#This Row],[Precio]]*1.15</f>
        <v>94.046999999999997</v>
      </c>
      <c r="J41" s="116">
        <f>Tabla8[[#This Row],[Precio con ISV]]*Tabla8[[#This Row],[Cantidad]]</f>
        <v>940.47</v>
      </c>
    </row>
    <row r="42" spans="2:10" ht="28.5" x14ac:dyDescent="0.3">
      <c r="B42" s="119">
        <f t="shared" si="0"/>
        <v>39</v>
      </c>
      <c r="C42" s="121" t="s">
        <v>800</v>
      </c>
      <c r="D42" s="121" t="s">
        <v>887</v>
      </c>
      <c r="E42" s="125">
        <v>5</v>
      </c>
      <c r="F42" s="125">
        <v>5</v>
      </c>
      <c r="G42" s="125">
        <v>10</v>
      </c>
      <c r="H42" s="123">
        <v>81.78</v>
      </c>
      <c r="I42" s="116">
        <f>Tabla8[[#This Row],[Precio]]*1.15</f>
        <v>94.046999999999997</v>
      </c>
      <c r="J42" s="116">
        <f>Tabla8[[#This Row],[Precio con ISV]]*Tabla8[[#This Row],[Cantidad]]</f>
        <v>940.47</v>
      </c>
    </row>
    <row r="43" spans="2:10" ht="28.5" x14ac:dyDescent="0.3">
      <c r="B43" s="119">
        <f t="shared" si="0"/>
        <v>40</v>
      </c>
      <c r="C43" s="121" t="s">
        <v>801</v>
      </c>
      <c r="D43" s="121" t="s">
        <v>889</v>
      </c>
      <c r="E43" s="125">
        <v>5</v>
      </c>
      <c r="F43" s="125">
        <v>5</v>
      </c>
      <c r="G43" s="125">
        <v>10</v>
      </c>
      <c r="H43" s="123">
        <v>81.78</v>
      </c>
      <c r="I43" s="116">
        <f>Tabla8[[#This Row],[Precio]]*1.15</f>
        <v>94.046999999999997</v>
      </c>
      <c r="J43" s="116">
        <f>Tabla8[[#This Row],[Precio con ISV]]*Tabla8[[#This Row],[Cantidad]]</f>
        <v>940.47</v>
      </c>
    </row>
    <row r="44" spans="2:10" ht="15.75" x14ac:dyDescent="0.3">
      <c r="B44" s="119">
        <f t="shared" si="0"/>
        <v>41</v>
      </c>
      <c r="C44" s="121" t="s">
        <v>804</v>
      </c>
      <c r="D44" s="121" t="s">
        <v>805</v>
      </c>
      <c r="E44" s="122">
        <v>9</v>
      </c>
      <c r="F44" s="122">
        <v>9</v>
      </c>
      <c r="G44" s="122">
        <v>18</v>
      </c>
      <c r="H44" s="123">
        <v>42</v>
      </c>
      <c r="I44" s="116">
        <f>Tabla8[[#This Row],[Precio]]*1.15</f>
        <v>48.3</v>
      </c>
      <c r="J44" s="116">
        <f>Tabla8[[#This Row],[Precio con ISV]]*Tabla8[[#This Row],[Cantidad]]</f>
        <v>869.4</v>
      </c>
    </row>
    <row r="45" spans="2:10" ht="15.75" x14ac:dyDescent="0.3">
      <c r="B45" s="119">
        <f t="shared" si="0"/>
        <v>42</v>
      </c>
      <c r="C45" s="121" t="s">
        <v>821</v>
      </c>
      <c r="D45" s="121" t="s">
        <v>822</v>
      </c>
      <c r="E45" s="122">
        <v>9</v>
      </c>
      <c r="F45" s="122">
        <v>9</v>
      </c>
      <c r="G45" s="122">
        <v>18</v>
      </c>
      <c r="H45" s="123">
        <v>7.3</v>
      </c>
      <c r="I45" s="116">
        <f>Tabla8[[#This Row],[Precio]]*1.15</f>
        <v>8.3949999999999996</v>
      </c>
      <c r="J45" s="116">
        <f>Tabla8[[#This Row],[Precio con ISV]]*Tabla8[[#This Row],[Cantidad]]</f>
        <v>151.10999999999999</v>
      </c>
    </row>
    <row r="46" spans="2:10" ht="28.5" x14ac:dyDescent="0.3">
      <c r="B46" s="119">
        <f t="shared" si="0"/>
        <v>43</v>
      </c>
      <c r="C46" s="121" t="s">
        <v>898</v>
      </c>
      <c r="D46" s="121" t="s">
        <v>901</v>
      </c>
      <c r="E46" s="122">
        <v>30</v>
      </c>
      <c r="F46" s="122">
        <v>30</v>
      </c>
      <c r="G46" s="122">
        <v>60</v>
      </c>
      <c r="H46" s="123">
        <v>100</v>
      </c>
      <c r="I46" s="116">
        <f>Tabla8[[#This Row],[Precio]]*1.15</f>
        <v>114.99999999999999</v>
      </c>
      <c r="J46" s="116">
        <f>Tabla8[[#This Row],[Precio con ISV]]*Tabla8[[#This Row],[Cantidad]]</f>
        <v>6899.9999999999991</v>
      </c>
    </row>
    <row r="47" spans="2:10" ht="28.5" x14ac:dyDescent="0.3">
      <c r="B47" s="119">
        <f t="shared" si="0"/>
        <v>44</v>
      </c>
      <c r="C47" s="121" t="s">
        <v>807</v>
      </c>
      <c r="D47" s="121" t="s">
        <v>910</v>
      </c>
      <c r="E47" s="122">
        <v>6</v>
      </c>
      <c r="F47" s="122">
        <v>6</v>
      </c>
      <c r="G47" s="122">
        <v>12</v>
      </c>
      <c r="H47" s="123">
        <v>32</v>
      </c>
      <c r="I47" s="116">
        <f>Tabla8[[#This Row],[Precio]]*1.15</f>
        <v>36.799999999999997</v>
      </c>
      <c r="J47" s="116">
        <f>Tabla8[[#This Row],[Precio con ISV]]*Tabla8[[#This Row],[Cantidad]]</f>
        <v>441.59999999999997</v>
      </c>
    </row>
    <row r="48" spans="2:10" ht="28.5" x14ac:dyDescent="0.3">
      <c r="B48" s="119">
        <f t="shared" si="0"/>
        <v>45</v>
      </c>
      <c r="C48" s="121" t="s">
        <v>808</v>
      </c>
      <c r="D48" s="121" t="s">
        <v>839</v>
      </c>
      <c r="E48" s="122">
        <v>5</v>
      </c>
      <c r="F48" s="122">
        <v>5</v>
      </c>
      <c r="G48" s="122">
        <v>10</v>
      </c>
      <c r="H48" s="119">
        <v>700</v>
      </c>
      <c r="I48" s="116">
        <f>Tabla8[[#This Row],[Precio]]*1.15</f>
        <v>804.99999999999989</v>
      </c>
      <c r="J48" s="116">
        <f>Tabla8[[#This Row],[Precio con ISV]]*Tabla8[[#This Row],[Cantidad]]</f>
        <v>8049.9999999999991</v>
      </c>
    </row>
    <row r="49" spans="2:10" ht="28.5" x14ac:dyDescent="0.3">
      <c r="B49" s="119">
        <f t="shared" si="0"/>
        <v>46</v>
      </c>
      <c r="C49" s="121" t="s">
        <v>808</v>
      </c>
      <c r="D49" s="121" t="s">
        <v>860</v>
      </c>
      <c r="E49" s="122">
        <v>20</v>
      </c>
      <c r="F49" s="122">
        <v>20</v>
      </c>
      <c r="G49" s="122">
        <v>40</v>
      </c>
      <c r="H49" s="119">
        <v>100</v>
      </c>
      <c r="I49" s="116">
        <f>Tabla8[[#This Row],[Precio]]*1.15</f>
        <v>114.99999999999999</v>
      </c>
      <c r="J49" s="116">
        <f>Tabla8[[#This Row],[Precio con ISV]]*Tabla8[[#This Row],[Cantidad]]</f>
        <v>4599.9999999999991</v>
      </c>
    </row>
    <row r="50" spans="2:10" ht="28.5" x14ac:dyDescent="0.3">
      <c r="B50" s="119">
        <f t="shared" si="0"/>
        <v>47</v>
      </c>
      <c r="C50" s="121" t="s">
        <v>808</v>
      </c>
      <c r="D50" s="121" t="s">
        <v>861</v>
      </c>
      <c r="E50" s="122">
        <v>5</v>
      </c>
      <c r="F50" s="122">
        <v>5</v>
      </c>
      <c r="G50" s="122">
        <v>10</v>
      </c>
      <c r="H50" s="119">
        <v>280</v>
      </c>
      <c r="I50" s="116">
        <f>Tabla8[[#This Row],[Precio]]*1.15</f>
        <v>322</v>
      </c>
      <c r="J50" s="116">
        <f>Tabla8[[#This Row],[Precio con ISV]]*Tabla8[[#This Row],[Cantidad]]</f>
        <v>3220</v>
      </c>
    </row>
    <row r="51" spans="2:10" ht="15.75" x14ac:dyDescent="0.3">
      <c r="B51" s="119">
        <f t="shared" si="0"/>
        <v>48</v>
      </c>
      <c r="C51" s="121" t="s">
        <v>833</v>
      </c>
      <c r="D51" s="121" t="s">
        <v>834</v>
      </c>
      <c r="E51" s="125">
        <v>25</v>
      </c>
      <c r="F51" s="125">
        <v>25</v>
      </c>
      <c r="G51" s="125">
        <v>50</v>
      </c>
      <c r="H51" s="123">
        <v>23</v>
      </c>
      <c r="I51" s="116">
        <f>Tabla8[[#This Row],[Precio]]*1.15</f>
        <v>26.45</v>
      </c>
      <c r="J51" s="116">
        <f>Tabla8[[#This Row],[Precio con ISV]]*Tabla8[[#This Row],[Cantidad]]</f>
        <v>1322.5</v>
      </c>
    </row>
    <row r="52" spans="2:10" ht="15.75" x14ac:dyDescent="0.3">
      <c r="B52" s="119">
        <f t="shared" si="0"/>
        <v>49</v>
      </c>
      <c r="C52" s="121" t="s">
        <v>833</v>
      </c>
      <c r="D52" s="121" t="s">
        <v>835</v>
      </c>
      <c r="E52" s="125">
        <v>25</v>
      </c>
      <c r="F52" s="125">
        <v>25</v>
      </c>
      <c r="G52" s="125">
        <v>50</v>
      </c>
      <c r="H52" s="123">
        <v>23</v>
      </c>
      <c r="I52" s="116">
        <f>Tabla8[[#This Row],[Precio]]*1.15</f>
        <v>26.45</v>
      </c>
      <c r="J52" s="116">
        <f>Tabla8[[#This Row],[Precio con ISV]]*Tabla8[[#This Row],[Cantidad]]</f>
        <v>1322.5</v>
      </c>
    </row>
    <row r="53" spans="2:10" ht="15.75" x14ac:dyDescent="0.3">
      <c r="B53" s="119">
        <f t="shared" si="0"/>
        <v>50</v>
      </c>
      <c r="C53" s="121" t="s">
        <v>833</v>
      </c>
      <c r="D53" s="121" t="s">
        <v>852</v>
      </c>
      <c r="E53" s="125">
        <v>25</v>
      </c>
      <c r="F53" s="125">
        <v>25</v>
      </c>
      <c r="G53" s="125">
        <v>50</v>
      </c>
      <c r="H53" s="123">
        <v>30</v>
      </c>
      <c r="I53" s="116">
        <f>Tabla8[[#This Row],[Precio]]*1.15</f>
        <v>34.5</v>
      </c>
      <c r="J53" s="116">
        <f>Tabla8[[#This Row],[Precio con ISV]]*Tabla8[[#This Row],[Cantidad]]</f>
        <v>1725</v>
      </c>
    </row>
    <row r="54" spans="2:10" ht="15.75" x14ac:dyDescent="0.3">
      <c r="B54" s="119">
        <f t="shared" si="0"/>
        <v>51</v>
      </c>
      <c r="C54" s="121" t="s">
        <v>911</v>
      </c>
      <c r="D54" s="121" t="s">
        <v>902</v>
      </c>
      <c r="E54" s="122">
        <v>30</v>
      </c>
      <c r="F54" s="122">
        <v>30</v>
      </c>
      <c r="G54" s="122">
        <v>60</v>
      </c>
      <c r="H54" s="127">
        <v>28</v>
      </c>
      <c r="I54" s="116">
        <f>Tabla8[[#This Row],[Precio]]*1.15</f>
        <v>32.199999999999996</v>
      </c>
      <c r="J54" s="116">
        <f>Tabla8[[#This Row],[Precio con ISV]]*Tabla8[[#This Row],[Cantidad]]</f>
        <v>1931.9999999999998</v>
      </c>
    </row>
    <row r="55" spans="2:10" ht="28.5" x14ac:dyDescent="0.3">
      <c r="B55" s="119">
        <f t="shared" si="0"/>
        <v>52</v>
      </c>
      <c r="C55" s="121" t="s">
        <v>900</v>
      </c>
      <c r="D55" s="121" t="s">
        <v>899</v>
      </c>
      <c r="E55" s="122">
        <v>30</v>
      </c>
      <c r="F55" s="122">
        <v>30</v>
      </c>
      <c r="G55" s="122">
        <v>60</v>
      </c>
      <c r="H55" s="123">
        <v>91</v>
      </c>
      <c r="I55" s="116">
        <f>Tabla8[[#This Row],[Precio]]*1.15</f>
        <v>104.64999999999999</v>
      </c>
      <c r="J55" s="116">
        <f>Tabla8[[#This Row],[Precio con ISV]]*Tabla8[[#This Row],[Cantidad]]</f>
        <v>6278.9999999999991</v>
      </c>
    </row>
    <row r="56" spans="2:10" ht="15.75" x14ac:dyDescent="0.3">
      <c r="B56" s="119">
        <f t="shared" si="0"/>
        <v>53</v>
      </c>
      <c r="C56" s="121" t="s">
        <v>809</v>
      </c>
      <c r="D56" s="121" t="s">
        <v>890</v>
      </c>
      <c r="E56" s="122">
        <v>30</v>
      </c>
      <c r="F56" s="122">
        <v>30</v>
      </c>
      <c r="G56" s="122">
        <v>60</v>
      </c>
      <c r="H56" s="123">
        <v>8.4</v>
      </c>
      <c r="I56" s="116">
        <f>Tabla8[[#This Row],[Precio]]*1.15</f>
        <v>9.66</v>
      </c>
      <c r="J56" s="116">
        <f>Tabla8[[#This Row],[Precio con ISV]]*Tabla8[[#This Row],[Cantidad]]</f>
        <v>579.6</v>
      </c>
    </row>
    <row r="57" spans="2:10" ht="15.75" x14ac:dyDescent="0.3">
      <c r="B57" s="119">
        <f t="shared" si="0"/>
        <v>54</v>
      </c>
      <c r="C57" s="121" t="s">
        <v>810</v>
      </c>
      <c r="D57" s="121" t="s">
        <v>811</v>
      </c>
      <c r="E57" s="122">
        <v>30</v>
      </c>
      <c r="F57" s="122">
        <v>30</v>
      </c>
      <c r="G57" s="122">
        <v>60</v>
      </c>
      <c r="H57" s="123">
        <v>2.65</v>
      </c>
      <c r="I57" s="116">
        <f>Tabla8[[#This Row],[Precio]]*1.15</f>
        <v>3.0474999999999999</v>
      </c>
      <c r="J57" s="116">
        <f>Tabla8[[#This Row],[Precio con ISV]]*Tabla8[[#This Row],[Cantidad]]</f>
        <v>182.85</v>
      </c>
    </row>
    <row r="58" spans="2:10" ht="15.75" x14ac:dyDescent="0.3">
      <c r="B58" s="119">
        <f t="shared" si="0"/>
        <v>55</v>
      </c>
      <c r="C58" s="121" t="s">
        <v>810</v>
      </c>
      <c r="D58" s="121" t="s">
        <v>891</v>
      </c>
      <c r="E58" s="122">
        <v>25</v>
      </c>
      <c r="F58" s="122">
        <v>25</v>
      </c>
      <c r="G58" s="122">
        <v>50</v>
      </c>
      <c r="H58" s="123">
        <v>10</v>
      </c>
      <c r="I58" s="116">
        <f>Tabla8[[#This Row],[Precio]]*1.15</f>
        <v>11.5</v>
      </c>
      <c r="J58" s="116">
        <f>Tabla8[[#This Row],[Precio con ISV]]*Tabla8[[#This Row],[Cantidad]]</f>
        <v>575</v>
      </c>
    </row>
    <row r="59" spans="2:10" ht="15.75" x14ac:dyDescent="0.3">
      <c r="B59" s="119">
        <f t="shared" si="0"/>
        <v>56</v>
      </c>
      <c r="C59" s="121" t="s">
        <v>863</v>
      </c>
      <c r="D59" s="121" t="s">
        <v>912</v>
      </c>
      <c r="E59" s="122">
        <v>60</v>
      </c>
      <c r="F59" s="122">
        <v>60</v>
      </c>
      <c r="G59" s="122">
        <v>120</v>
      </c>
      <c r="H59" s="123">
        <v>26</v>
      </c>
      <c r="I59" s="116">
        <f>Tabla8[[#This Row],[Precio]]*1.15</f>
        <v>29.9</v>
      </c>
      <c r="J59" s="116">
        <f>Tabla8[[#This Row],[Precio con ISV]]*Tabla8[[#This Row],[Cantidad]]</f>
        <v>3588</v>
      </c>
    </row>
    <row r="60" spans="2:10" ht="28.5" x14ac:dyDescent="0.3">
      <c r="B60" s="119">
        <f t="shared" si="0"/>
        <v>57</v>
      </c>
      <c r="C60" s="121" t="s">
        <v>853</v>
      </c>
      <c r="D60" s="121" t="s">
        <v>854</v>
      </c>
      <c r="E60" s="122">
        <v>75</v>
      </c>
      <c r="F60" s="122">
        <v>75</v>
      </c>
      <c r="G60" s="122">
        <v>150</v>
      </c>
      <c r="H60" s="123">
        <v>15</v>
      </c>
      <c r="I60" s="116">
        <f>Tabla8[[#This Row],[Precio]]*1.15</f>
        <v>17.25</v>
      </c>
      <c r="J60" s="116">
        <f>Tabla8[[#This Row],[Precio con ISV]]*Tabla8[[#This Row],[Cantidad]]</f>
        <v>2587.5</v>
      </c>
    </row>
    <row r="61" spans="2:10" ht="28.5" x14ac:dyDescent="0.3">
      <c r="B61" s="119">
        <f t="shared" si="0"/>
        <v>58</v>
      </c>
      <c r="C61" s="121" t="s">
        <v>853</v>
      </c>
      <c r="D61" s="121" t="s">
        <v>855</v>
      </c>
      <c r="E61" s="122">
        <v>75</v>
      </c>
      <c r="F61" s="122">
        <v>75</v>
      </c>
      <c r="G61" s="122">
        <v>150</v>
      </c>
      <c r="H61" s="123">
        <v>15</v>
      </c>
      <c r="I61" s="116">
        <f>Tabla8[[#This Row],[Precio]]*1.15</f>
        <v>17.25</v>
      </c>
      <c r="J61" s="116">
        <f>Tabla8[[#This Row],[Precio con ISV]]*Tabla8[[#This Row],[Cantidad]]</f>
        <v>2587.5</v>
      </c>
    </row>
    <row r="62" spans="2:10" ht="28.5" x14ac:dyDescent="0.3">
      <c r="B62" s="119">
        <f t="shared" si="0"/>
        <v>59</v>
      </c>
      <c r="C62" s="121" t="s">
        <v>812</v>
      </c>
      <c r="D62" s="121" t="s">
        <v>831</v>
      </c>
      <c r="E62" s="125">
        <v>30</v>
      </c>
      <c r="F62" s="125">
        <v>30</v>
      </c>
      <c r="G62" s="125">
        <v>60</v>
      </c>
      <c r="H62" s="123">
        <v>78.58</v>
      </c>
      <c r="I62" s="116">
        <f>Tabla8[[#This Row],[Precio]]*1.15</f>
        <v>90.36699999999999</v>
      </c>
      <c r="J62" s="116">
        <f>Tabla8[[#This Row],[Precio con ISV]]*Tabla8[[#This Row],[Cantidad]]</f>
        <v>5422.0199999999995</v>
      </c>
    </row>
    <row r="63" spans="2:10" ht="28.5" x14ac:dyDescent="0.3">
      <c r="B63" s="119">
        <f t="shared" si="0"/>
        <v>60</v>
      </c>
      <c r="C63" s="121" t="s">
        <v>812</v>
      </c>
      <c r="D63" s="121" t="s">
        <v>893</v>
      </c>
      <c r="E63" s="125">
        <v>30</v>
      </c>
      <c r="F63" s="125">
        <v>30</v>
      </c>
      <c r="G63" s="125">
        <v>60</v>
      </c>
      <c r="H63" s="123">
        <v>78.58</v>
      </c>
      <c r="I63" s="116">
        <f>Tabla8[[#This Row],[Precio]]*1.15</f>
        <v>90.36699999999999</v>
      </c>
      <c r="J63" s="116">
        <f>Tabla8[[#This Row],[Precio con ISV]]*Tabla8[[#This Row],[Cantidad]]</f>
        <v>5422.0199999999995</v>
      </c>
    </row>
    <row r="64" spans="2:10" ht="28.5" x14ac:dyDescent="0.3">
      <c r="B64" s="119">
        <f t="shared" si="0"/>
        <v>61</v>
      </c>
      <c r="C64" s="121" t="s">
        <v>812</v>
      </c>
      <c r="D64" s="121" t="s">
        <v>894</v>
      </c>
      <c r="E64" s="125">
        <v>30</v>
      </c>
      <c r="F64" s="125">
        <v>30</v>
      </c>
      <c r="G64" s="125">
        <v>60</v>
      </c>
      <c r="H64" s="123">
        <v>78.58</v>
      </c>
      <c r="I64" s="116">
        <f>Tabla8[[#This Row],[Precio]]*1.15</f>
        <v>90.36699999999999</v>
      </c>
      <c r="J64" s="116">
        <f>Tabla8[[#This Row],[Precio con ISV]]*Tabla8[[#This Row],[Cantidad]]</f>
        <v>5422.0199999999995</v>
      </c>
    </row>
    <row r="65" spans="2:12" ht="28.5" x14ac:dyDescent="0.3">
      <c r="B65" s="119">
        <f t="shared" si="0"/>
        <v>62</v>
      </c>
      <c r="C65" s="121" t="s">
        <v>812</v>
      </c>
      <c r="D65" s="121" t="s">
        <v>892</v>
      </c>
      <c r="E65" s="125">
        <v>30</v>
      </c>
      <c r="F65" s="125">
        <v>30</v>
      </c>
      <c r="G65" s="125">
        <v>60</v>
      </c>
      <c r="H65" s="123">
        <v>78.58</v>
      </c>
      <c r="I65" s="116">
        <f>Tabla8[[#This Row],[Precio]]*1.15</f>
        <v>90.36699999999999</v>
      </c>
      <c r="J65" s="116">
        <f>Tabla8[[#This Row],[Precio con ISV]]*Tabla8[[#This Row],[Cantidad]]</f>
        <v>5422.0199999999995</v>
      </c>
    </row>
    <row r="66" spans="2:12" ht="28.5" x14ac:dyDescent="0.3">
      <c r="B66" s="119">
        <f t="shared" si="0"/>
        <v>63</v>
      </c>
      <c r="C66" s="121" t="s">
        <v>813</v>
      </c>
      <c r="D66" s="121" t="s">
        <v>897</v>
      </c>
      <c r="E66" s="122">
        <v>30</v>
      </c>
      <c r="F66" s="122">
        <v>30</v>
      </c>
      <c r="G66" s="122">
        <v>60</v>
      </c>
      <c r="H66" s="123">
        <v>1.85</v>
      </c>
      <c r="I66" s="116">
        <f>Tabla8[[#This Row],[Precio]]*1.15</f>
        <v>2.1274999999999999</v>
      </c>
      <c r="J66" s="116">
        <f>Tabla8[[#This Row],[Precio con ISV]]*Tabla8[[#This Row],[Cantidad]]</f>
        <v>127.64999999999999</v>
      </c>
    </row>
    <row r="67" spans="2:12" ht="15.75" x14ac:dyDescent="0.3">
      <c r="B67" s="119">
        <f t="shared" si="0"/>
        <v>64</v>
      </c>
      <c r="C67" s="121" t="s">
        <v>826</v>
      </c>
      <c r="D67" s="121" t="s">
        <v>895</v>
      </c>
      <c r="E67" s="124">
        <v>30</v>
      </c>
      <c r="F67" s="124">
        <v>30</v>
      </c>
      <c r="G67" s="124">
        <v>60</v>
      </c>
      <c r="H67" s="123">
        <v>21.81</v>
      </c>
      <c r="I67" s="116">
        <f>Tabla8[[#This Row],[Precio]]*1.15</f>
        <v>25.081499999999998</v>
      </c>
      <c r="J67" s="116">
        <f>Tabla8[[#This Row],[Precio con ISV]]*Tabla8[[#This Row],[Cantidad]]</f>
        <v>1504.8899999999999</v>
      </c>
    </row>
    <row r="68" spans="2:12" ht="15.75" x14ac:dyDescent="0.3">
      <c r="B68" s="119">
        <f t="shared" si="0"/>
        <v>65</v>
      </c>
      <c r="C68" s="121" t="s">
        <v>829</v>
      </c>
      <c r="D68" s="121" t="s">
        <v>830</v>
      </c>
      <c r="E68" s="124">
        <v>25</v>
      </c>
      <c r="F68" s="124">
        <v>25</v>
      </c>
      <c r="G68" s="124">
        <v>50</v>
      </c>
      <c r="H68" s="123">
        <v>13.22</v>
      </c>
      <c r="I68" s="116">
        <f>Tabla8[[#This Row],[Precio]]*1.15</f>
        <v>15.202999999999999</v>
      </c>
      <c r="J68" s="116">
        <f>Tabla8[[#This Row],[Precio con ISV]]*Tabla8[[#This Row],[Cantidad]]</f>
        <v>760.15</v>
      </c>
    </row>
    <row r="69" spans="2:12" ht="28.5" x14ac:dyDescent="0.3">
      <c r="B69" s="119">
        <f t="shared" si="0"/>
        <v>66</v>
      </c>
      <c r="C69" s="121" t="s">
        <v>856</v>
      </c>
      <c r="D69" s="121" t="s">
        <v>857</v>
      </c>
      <c r="E69" s="122">
        <v>20</v>
      </c>
      <c r="F69" s="122">
        <v>5</v>
      </c>
      <c r="G69" s="122">
        <v>25</v>
      </c>
      <c r="H69" s="123">
        <v>24</v>
      </c>
      <c r="I69" s="116">
        <f>Tabla8[[#This Row],[Precio]]*1.15</f>
        <v>27.599999999999998</v>
      </c>
      <c r="J69" s="116">
        <f>Tabla8[[#This Row],[Precio con ISV]]*Tabla8[[#This Row],[Cantidad]]</f>
        <v>690</v>
      </c>
    </row>
    <row r="70" spans="2:12" ht="15.75" x14ac:dyDescent="0.3">
      <c r="B70" s="119">
        <f t="shared" ref="B70:B75" si="1">B69+1</f>
        <v>67</v>
      </c>
      <c r="C70" s="121" t="s">
        <v>836</v>
      </c>
      <c r="D70" s="121" t="s">
        <v>862</v>
      </c>
      <c r="E70" s="125">
        <v>15</v>
      </c>
      <c r="F70" s="125">
        <v>15</v>
      </c>
      <c r="G70" s="125">
        <v>30</v>
      </c>
      <c r="H70" s="123">
        <v>33</v>
      </c>
      <c r="I70" s="116">
        <f>Tabla8[[#This Row],[Precio]]*1.15</f>
        <v>37.949999999999996</v>
      </c>
      <c r="J70" s="116">
        <f>Tabla8[[#This Row],[Precio con ISV]]*Tabla8[[#This Row],[Cantidad]]</f>
        <v>1138.4999999999998</v>
      </c>
      <c r="L70" t="str">
        <f>LOWER(Tabla8[[#This Row],[Descripción]])</f>
        <v>caja de tacuelas de colores, alta calidad caja</v>
      </c>
    </row>
    <row r="71" spans="2:12" ht="28.5" x14ac:dyDescent="0.3">
      <c r="B71" s="119">
        <f t="shared" si="1"/>
        <v>68</v>
      </c>
      <c r="C71" s="121" t="s">
        <v>814</v>
      </c>
      <c r="D71" s="121" t="s">
        <v>913</v>
      </c>
      <c r="E71" s="122">
        <v>12</v>
      </c>
      <c r="F71" s="122">
        <v>12</v>
      </c>
      <c r="G71" s="122">
        <v>24</v>
      </c>
      <c r="H71" s="123">
        <v>40</v>
      </c>
      <c r="I71" s="116">
        <f>Tabla8[[#This Row],[Precio]]*1.15</f>
        <v>46</v>
      </c>
      <c r="J71" s="116">
        <f>Tabla8[[#This Row],[Precio con ISV]]*Tabla8[[#This Row],[Cantidad]]</f>
        <v>1104</v>
      </c>
    </row>
    <row r="72" spans="2:12" ht="28.5" x14ac:dyDescent="0.3">
      <c r="B72" s="119">
        <f t="shared" si="1"/>
        <v>69</v>
      </c>
      <c r="C72" s="121" t="s">
        <v>814</v>
      </c>
      <c r="D72" s="121" t="s">
        <v>914</v>
      </c>
      <c r="E72" s="122">
        <v>12</v>
      </c>
      <c r="F72" s="122">
        <v>12</v>
      </c>
      <c r="G72" s="122">
        <v>24</v>
      </c>
      <c r="H72" s="123">
        <v>40</v>
      </c>
      <c r="I72" s="116">
        <f>Tabla8[[#This Row],[Precio]]*1.15</f>
        <v>46</v>
      </c>
      <c r="J72" s="116">
        <f>Tabla8[[#This Row],[Precio con ISV]]*Tabla8[[#This Row],[Cantidad]]</f>
        <v>1104</v>
      </c>
      <c r="L72" t="str">
        <f>LOWER(Tabla8[[#This Row],[Descripción]])</f>
        <v>tape trasparente de 3/4" pulgada entre 40 yardas o mas de largo c/u</v>
      </c>
    </row>
    <row r="73" spans="2:12" ht="15.75" x14ac:dyDescent="0.3">
      <c r="B73" s="119">
        <f t="shared" si="1"/>
        <v>70</v>
      </c>
      <c r="C73" s="121" t="s">
        <v>815</v>
      </c>
      <c r="D73" s="121" t="s">
        <v>816</v>
      </c>
      <c r="E73" s="122">
        <v>20</v>
      </c>
      <c r="F73" s="122">
        <v>20</v>
      </c>
      <c r="G73" s="122">
        <v>40</v>
      </c>
      <c r="H73" s="123">
        <v>22.78</v>
      </c>
      <c r="I73" s="116">
        <f>Tabla8[[#This Row],[Precio]]*1.15</f>
        <v>26.196999999999999</v>
      </c>
      <c r="J73" s="116">
        <f>Tabla8[[#This Row],[Precio con ISV]]*Tabla8[[#This Row],[Cantidad]]</f>
        <v>1047.8799999999999</v>
      </c>
      <c r="L73" t="str">
        <f>LOWER(Tabla8[[#This Row],[Descripción]])</f>
        <v>tijera de acero inoxidable de 8" de largo c/u</v>
      </c>
    </row>
    <row r="74" spans="2:12" ht="15.75" x14ac:dyDescent="0.3">
      <c r="B74" s="119">
        <f t="shared" si="1"/>
        <v>71</v>
      </c>
      <c r="C74" s="121" t="s">
        <v>817</v>
      </c>
      <c r="D74" s="121" t="s">
        <v>818</v>
      </c>
      <c r="E74" s="122">
        <v>5</v>
      </c>
      <c r="F74" s="122">
        <v>5</v>
      </c>
      <c r="G74" s="122">
        <v>10</v>
      </c>
      <c r="H74" s="123">
        <v>20.52</v>
      </c>
      <c r="I74" s="116">
        <f>Tabla8[[#This Row],[Precio]]*1.15</f>
        <v>23.597999999999999</v>
      </c>
      <c r="J74" s="116">
        <f>Tabla8[[#This Row],[Precio con ISV]]*Tabla8[[#This Row],[Cantidad]]</f>
        <v>235.98</v>
      </c>
      <c r="L74" t="str">
        <f>LOWER(Tabla8[[#This Row],[Descripción]])</f>
        <v>tinta para sellos en bote roll-on negro 60cc c/u</v>
      </c>
    </row>
    <row r="75" spans="2:12" ht="15.75" x14ac:dyDescent="0.3">
      <c r="B75" s="119">
        <f t="shared" si="1"/>
        <v>72</v>
      </c>
      <c r="C75" s="121" t="s">
        <v>819</v>
      </c>
      <c r="D75" s="121" t="s">
        <v>820</v>
      </c>
      <c r="E75" s="122">
        <v>5</v>
      </c>
      <c r="F75" s="122">
        <v>5</v>
      </c>
      <c r="G75" s="122">
        <v>10</v>
      </c>
      <c r="H75" s="123">
        <v>20.52</v>
      </c>
      <c r="I75" s="116">
        <f>Tabla8[[#This Row],[Precio]]*1.15</f>
        <v>23.597999999999999</v>
      </c>
      <c r="J75" s="116">
        <f>Tabla8[[#This Row],[Precio con ISV]]*Tabla8[[#This Row],[Cantidad]]</f>
        <v>235.98</v>
      </c>
      <c r="L75" t="str">
        <f>LOWER(Tabla8[[#This Row],[Descripción]])</f>
        <v>tinta para sellos en bote roll-on azul 60cc c/u</v>
      </c>
    </row>
    <row r="76" spans="2:12" ht="15.75" x14ac:dyDescent="0.3">
      <c r="B76" s="119" t="s">
        <v>581</v>
      </c>
      <c r="C76" s="121"/>
      <c r="D76" s="121"/>
      <c r="E76" s="121"/>
      <c r="F76" s="121"/>
      <c r="G76" s="119"/>
      <c r="H76" s="126"/>
      <c r="I76" s="121"/>
      <c r="J76" s="116">
        <f>SUBTOTAL(109,Tabla8[Costo total])</f>
        <v>229624.617</v>
      </c>
    </row>
  </sheetData>
  <pageMargins left="0.7" right="0.7" top="0.75" bottom="0.75" header="0.3" footer="0.3"/>
  <pageSetup paperSize="9" orientation="portrait" r:id="rId1"/>
  <ignoredErrors>
    <ignoredError sqref="B20:B75 B2:B18" calculatedColumn="1"/>
  </ignoredErrors>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DEE0E-3138-4D53-90A9-1E78FC7F5874}">
  <sheetPr codeName="Hoja6"/>
  <dimension ref="B2:H93"/>
  <sheetViews>
    <sheetView topLeftCell="A10" zoomScaleNormal="100" zoomScaleSheetLayoutView="115" workbookViewId="0">
      <selection activeCell="B44" sqref="B44"/>
    </sheetView>
  </sheetViews>
  <sheetFormatPr baseColWidth="10" defaultColWidth="11.42578125" defaultRowHeight="15" x14ac:dyDescent="0.25"/>
  <cols>
    <col min="1" max="1" width="3.5703125" style="20" customWidth="1"/>
    <col min="2" max="2" width="53" style="20" bestFit="1" customWidth="1"/>
    <col min="3" max="3" width="22.140625" style="20" bestFit="1" customWidth="1"/>
    <col min="4" max="4" width="15.5703125" style="20" bestFit="1" customWidth="1"/>
    <col min="5" max="5" width="14.5703125" style="20" bestFit="1" customWidth="1"/>
    <col min="6" max="6" width="21.7109375" style="20" bestFit="1" customWidth="1"/>
    <col min="7" max="7" width="20.42578125" style="20" bestFit="1" customWidth="1"/>
    <col min="8" max="8" width="17.28515625" style="20" bestFit="1" customWidth="1"/>
    <col min="9" max="9" width="12.5703125" style="20" bestFit="1" customWidth="1"/>
    <col min="10" max="10" width="13.5703125" style="20" bestFit="1" customWidth="1"/>
    <col min="11" max="11" width="10" style="20" bestFit="1" customWidth="1"/>
    <col min="12" max="13" width="11" style="20" bestFit="1" customWidth="1"/>
    <col min="14" max="14" width="12" style="20" bestFit="1" customWidth="1"/>
    <col min="15" max="15" width="11" style="20" bestFit="1" customWidth="1"/>
    <col min="16" max="16" width="12.5703125" style="20" bestFit="1" customWidth="1"/>
    <col min="17" max="16384" width="11.42578125" style="20"/>
  </cols>
  <sheetData>
    <row r="2" spans="2:8" ht="16.5" x14ac:dyDescent="0.3">
      <c r="B2" s="139"/>
      <c r="C2" s="140" t="s">
        <v>559</v>
      </c>
      <c r="D2" s="139"/>
      <c r="E2" s="139"/>
      <c r="F2"/>
      <c r="G2"/>
      <c r="H2"/>
    </row>
    <row r="3" spans="2:8" ht="16.5" x14ac:dyDescent="0.3">
      <c r="B3" s="139"/>
      <c r="C3" s="146" t="s">
        <v>18</v>
      </c>
      <c r="D3" s="146"/>
      <c r="E3" s="146"/>
      <c r="F3"/>
      <c r="G3"/>
      <c r="H3"/>
    </row>
    <row r="4" spans="2:8" ht="16.5" x14ac:dyDescent="0.3">
      <c r="B4" s="141" t="s">
        <v>374</v>
      </c>
      <c r="C4" s="142" t="s">
        <v>651</v>
      </c>
      <c r="D4" s="142" t="s">
        <v>622</v>
      </c>
      <c r="E4" s="142" t="s">
        <v>582</v>
      </c>
      <c r="F4"/>
      <c r="G4"/>
      <c r="H4"/>
    </row>
    <row r="5" spans="2:8" ht="16.5" x14ac:dyDescent="0.3">
      <c r="B5" s="143" t="s">
        <v>762</v>
      </c>
      <c r="C5" s="144"/>
      <c r="D5" s="144"/>
      <c r="E5" s="144"/>
      <c r="F5"/>
      <c r="G5"/>
      <c r="H5"/>
    </row>
    <row r="6" spans="2:8" ht="16.5" x14ac:dyDescent="0.3">
      <c r="B6" s="145" t="s">
        <v>29</v>
      </c>
      <c r="C6" s="144">
        <v>-44545640.859999999</v>
      </c>
      <c r="D6" s="144">
        <v>44545640.859999999</v>
      </c>
      <c r="E6" s="144">
        <v>0</v>
      </c>
      <c r="F6"/>
      <c r="G6"/>
      <c r="H6"/>
    </row>
    <row r="7" spans="2:8" ht="16.5" x14ac:dyDescent="0.3">
      <c r="B7" s="145" t="s">
        <v>37</v>
      </c>
      <c r="C7" s="144">
        <v>-294066.33</v>
      </c>
      <c r="D7" s="144">
        <v>294066.33</v>
      </c>
      <c r="E7" s="144">
        <v>0</v>
      </c>
      <c r="F7"/>
      <c r="G7"/>
      <c r="H7"/>
    </row>
    <row r="8" spans="2:8" ht="16.5" x14ac:dyDescent="0.3">
      <c r="B8" s="145" t="s">
        <v>47</v>
      </c>
      <c r="C8" s="144">
        <v>-8895921.4499999993</v>
      </c>
      <c r="D8" s="144">
        <v>8895921.4499999993</v>
      </c>
      <c r="E8" s="144">
        <v>0</v>
      </c>
      <c r="F8"/>
      <c r="G8"/>
      <c r="H8"/>
    </row>
    <row r="9" spans="2:8" ht="16.5" x14ac:dyDescent="0.3">
      <c r="B9" s="145" t="s">
        <v>52</v>
      </c>
      <c r="C9" s="144">
        <v>-3855900.66</v>
      </c>
      <c r="D9" s="144">
        <v>3855900.66</v>
      </c>
      <c r="E9" s="144">
        <v>0</v>
      </c>
      <c r="F9"/>
      <c r="G9"/>
      <c r="H9"/>
    </row>
    <row r="10" spans="2:8" ht="16.5" x14ac:dyDescent="0.3">
      <c r="B10" s="145" t="s">
        <v>57</v>
      </c>
      <c r="C10" s="144">
        <v>-6343709.8899999997</v>
      </c>
      <c r="D10" s="144">
        <v>0</v>
      </c>
      <c r="E10" s="144">
        <v>-6343709.8899999997</v>
      </c>
      <c r="F10"/>
      <c r="G10"/>
      <c r="H10"/>
    </row>
    <row r="11" spans="2:8" ht="16.5" x14ac:dyDescent="0.3">
      <c r="B11" s="145" t="s">
        <v>62</v>
      </c>
      <c r="C11" s="144">
        <v>-660822.77</v>
      </c>
      <c r="D11" s="144">
        <v>660822.77</v>
      </c>
      <c r="E11" s="144">
        <v>0</v>
      </c>
      <c r="F11"/>
      <c r="G11"/>
      <c r="H11"/>
    </row>
    <row r="12" spans="2:8" ht="16.5" x14ac:dyDescent="0.3">
      <c r="B12" s="145" t="s">
        <v>67</v>
      </c>
      <c r="C12" s="144">
        <v>-32169246.390000001</v>
      </c>
      <c r="D12" s="144">
        <v>32169246.390000001</v>
      </c>
      <c r="E12" s="144">
        <v>0</v>
      </c>
      <c r="F12"/>
      <c r="G12"/>
      <c r="H12"/>
    </row>
    <row r="13" spans="2:8" ht="16.5" x14ac:dyDescent="0.3">
      <c r="B13" s="145" t="s">
        <v>77</v>
      </c>
      <c r="C13" s="144">
        <v>-6414022.6899999995</v>
      </c>
      <c r="D13" s="144">
        <v>6414022.6899999995</v>
      </c>
      <c r="E13" s="144">
        <v>0</v>
      </c>
      <c r="F13"/>
      <c r="G13"/>
      <c r="H13"/>
    </row>
    <row r="14" spans="2:8" ht="16.5" x14ac:dyDescent="0.3">
      <c r="B14" s="145" t="s">
        <v>82</v>
      </c>
      <c r="C14" s="144">
        <v>-421962.45</v>
      </c>
      <c r="D14" s="144">
        <v>190785.45999999996</v>
      </c>
      <c r="E14" s="144">
        <v>-231176.99000000005</v>
      </c>
      <c r="F14"/>
      <c r="G14"/>
      <c r="H14"/>
    </row>
    <row r="15" spans="2:8" ht="16.5" x14ac:dyDescent="0.3">
      <c r="B15" s="145" t="s">
        <v>348</v>
      </c>
      <c r="C15" s="144">
        <v>-293085.44</v>
      </c>
      <c r="D15" s="144">
        <v>293085.44</v>
      </c>
      <c r="E15" s="144">
        <v>0</v>
      </c>
      <c r="F15"/>
      <c r="G15"/>
      <c r="H15"/>
    </row>
    <row r="16" spans="2:8" ht="16.5" x14ac:dyDescent="0.3">
      <c r="B16" s="143" t="s">
        <v>945</v>
      </c>
      <c r="C16" s="144">
        <v>-103894378.92999999</v>
      </c>
      <c r="D16" s="144">
        <v>97319492.049999997</v>
      </c>
      <c r="E16" s="144">
        <v>-6574886.8799999952</v>
      </c>
      <c r="F16"/>
      <c r="G16"/>
      <c r="H16"/>
    </row>
    <row r="17" spans="2:8" ht="16.5" x14ac:dyDescent="0.3">
      <c r="B17" s="143" t="s">
        <v>761</v>
      </c>
      <c r="C17" s="144"/>
      <c r="D17" s="144"/>
      <c r="E17" s="144"/>
      <c r="F17"/>
      <c r="G17"/>
      <c r="H17"/>
    </row>
    <row r="18" spans="2:8" ht="16.5" x14ac:dyDescent="0.3">
      <c r="B18" s="145" t="s">
        <v>143</v>
      </c>
      <c r="C18" s="144">
        <v>-57934</v>
      </c>
      <c r="D18" s="144">
        <v>0</v>
      </c>
      <c r="E18" s="144">
        <v>-57934</v>
      </c>
      <c r="F18"/>
      <c r="G18"/>
      <c r="H18"/>
    </row>
    <row r="19" spans="2:8" ht="16.5" x14ac:dyDescent="0.3">
      <c r="B19" s="145" t="s">
        <v>148</v>
      </c>
      <c r="C19" s="144">
        <v>-159343.76999999999</v>
      </c>
      <c r="D19" s="144">
        <v>159343.76999999999</v>
      </c>
      <c r="E19" s="144">
        <v>0</v>
      </c>
      <c r="F19"/>
      <c r="G19"/>
      <c r="H19"/>
    </row>
    <row r="20" spans="2:8" ht="16.5" x14ac:dyDescent="0.3">
      <c r="B20" s="145" t="s">
        <v>358</v>
      </c>
      <c r="C20" s="144">
        <v>-37554.769999999997</v>
      </c>
      <c r="D20" s="144">
        <v>37554.769999999997</v>
      </c>
      <c r="E20" s="144">
        <v>0</v>
      </c>
    </row>
    <row r="21" spans="2:8" ht="16.5" x14ac:dyDescent="0.3">
      <c r="B21" s="145" t="s">
        <v>153</v>
      </c>
      <c r="C21" s="144">
        <v>-293235.38</v>
      </c>
      <c r="D21" s="144">
        <v>293235.38</v>
      </c>
      <c r="E21" s="144">
        <v>0</v>
      </c>
    </row>
    <row r="22" spans="2:8" ht="16.5" x14ac:dyDescent="0.3">
      <c r="B22" s="145" t="s">
        <v>158</v>
      </c>
      <c r="C22" s="144">
        <v>-118910</v>
      </c>
      <c r="D22" s="144">
        <v>118910</v>
      </c>
      <c r="E22" s="144">
        <v>0</v>
      </c>
    </row>
    <row r="23" spans="2:8" ht="16.5" x14ac:dyDescent="0.3">
      <c r="B23" s="143" t="s">
        <v>946</v>
      </c>
      <c r="C23" s="144">
        <v>-666977.91999999993</v>
      </c>
      <c r="D23" s="144">
        <v>609043.91999999993</v>
      </c>
      <c r="E23" s="144">
        <v>-57934</v>
      </c>
    </row>
    <row r="24" spans="2:8" ht="16.5" x14ac:dyDescent="0.3">
      <c r="B24" s="143" t="s">
        <v>763</v>
      </c>
      <c r="C24" s="144"/>
      <c r="D24" s="144"/>
      <c r="E24" s="144"/>
    </row>
    <row r="25" spans="2:8" ht="16.5" x14ac:dyDescent="0.3">
      <c r="B25" s="145" t="s">
        <v>189</v>
      </c>
      <c r="C25" s="144">
        <v>-95847.049999999988</v>
      </c>
      <c r="D25" s="144">
        <v>95847.049999999988</v>
      </c>
      <c r="E25" s="144">
        <v>0</v>
      </c>
    </row>
    <row r="26" spans="2:8" ht="16.5" x14ac:dyDescent="0.3">
      <c r="B26" s="145" t="s">
        <v>219</v>
      </c>
      <c r="C26" s="144">
        <v>-2122104.0700000003</v>
      </c>
      <c r="D26" s="144">
        <v>2122104.0700000003</v>
      </c>
      <c r="E26" s="144">
        <v>0</v>
      </c>
    </row>
    <row r="27" spans="2:8" ht="16.5" x14ac:dyDescent="0.3">
      <c r="B27" s="145" t="s">
        <v>209</v>
      </c>
      <c r="C27" s="144">
        <v>-9395871.5300000012</v>
      </c>
      <c r="D27" s="144">
        <v>9006341.5300000012</v>
      </c>
      <c r="E27" s="144">
        <v>-389530</v>
      </c>
    </row>
    <row r="28" spans="2:8" ht="16.5" x14ac:dyDescent="0.3">
      <c r="B28" s="145" t="s">
        <v>224</v>
      </c>
      <c r="C28" s="144">
        <v>-23605072.5</v>
      </c>
      <c r="D28" s="144">
        <v>23605072.5</v>
      </c>
      <c r="E28" s="144">
        <v>0</v>
      </c>
    </row>
    <row r="29" spans="2:8" ht="16.5" x14ac:dyDescent="0.3">
      <c r="B29" s="145" t="s">
        <v>229</v>
      </c>
      <c r="C29" s="144">
        <v>-11200000</v>
      </c>
      <c r="D29" s="144">
        <v>0</v>
      </c>
      <c r="E29" s="144">
        <v>-11200000</v>
      </c>
      <c r="G29" s="109"/>
      <c r="H29" s="109"/>
    </row>
    <row r="30" spans="2:8" ht="16.5" x14ac:dyDescent="0.3">
      <c r="B30" s="145" t="s">
        <v>259</v>
      </c>
      <c r="C30" s="144">
        <v>-3999.3</v>
      </c>
      <c r="D30" s="144">
        <v>3999.3</v>
      </c>
      <c r="E30" s="144">
        <v>0</v>
      </c>
    </row>
    <row r="31" spans="2:8" ht="16.5" x14ac:dyDescent="0.3">
      <c r="B31" s="145" t="s">
        <v>264</v>
      </c>
      <c r="C31" s="144">
        <v>-261343.76</v>
      </c>
      <c r="D31" s="144">
        <v>259372.69</v>
      </c>
      <c r="E31" s="144">
        <v>-1971.070000000007</v>
      </c>
    </row>
    <row r="32" spans="2:8" ht="16.5" x14ac:dyDescent="0.3">
      <c r="B32" s="145" t="s">
        <v>269</v>
      </c>
      <c r="C32" s="144">
        <v>-2346796.0800000005</v>
      </c>
      <c r="D32" s="144">
        <v>2267543.8300000005</v>
      </c>
      <c r="E32" s="144">
        <v>-79252.25</v>
      </c>
    </row>
    <row r="33" spans="2:5" ht="16.5" x14ac:dyDescent="0.3">
      <c r="B33" s="145" t="s">
        <v>279</v>
      </c>
      <c r="C33" s="144">
        <v>-240473.85999999972</v>
      </c>
      <c r="D33" s="144">
        <v>141310</v>
      </c>
      <c r="E33" s="144">
        <v>-99163.859999999724</v>
      </c>
    </row>
    <row r="34" spans="2:5" ht="16.5" x14ac:dyDescent="0.3">
      <c r="B34" s="145" t="s">
        <v>284</v>
      </c>
      <c r="C34" s="144">
        <v>-45410</v>
      </c>
      <c r="D34" s="144">
        <v>22942.5</v>
      </c>
      <c r="E34" s="144">
        <v>-22467.5</v>
      </c>
    </row>
    <row r="35" spans="2:5" ht="16.5" x14ac:dyDescent="0.3">
      <c r="B35" s="143" t="s">
        <v>943</v>
      </c>
      <c r="C35" s="144">
        <v>-49316918.149999999</v>
      </c>
      <c r="D35" s="144">
        <v>37524533.469999999</v>
      </c>
      <c r="E35" s="144">
        <v>-11792384.679999985</v>
      </c>
    </row>
    <row r="36" spans="2:5" ht="16.5" x14ac:dyDescent="0.3">
      <c r="B36" s="143" t="s">
        <v>764</v>
      </c>
      <c r="C36" s="144"/>
      <c r="D36" s="144"/>
      <c r="E36" s="144"/>
    </row>
    <row r="37" spans="2:5" ht="16.5" x14ac:dyDescent="0.3">
      <c r="B37" s="145" t="s">
        <v>315</v>
      </c>
      <c r="C37" s="144">
        <v>-18850014.610000003</v>
      </c>
      <c r="D37" s="144">
        <v>2401200</v>
      </c>
      <c r="E37" s="144">
        <v>-16448814.610000003</v>
      </c>
    </row>
    <row r="38" spans="2:5" ht="16.5" x14ac:dyDescent="0.3">
      <c r="B38" s="145" t="s">
        <v>320</v>
      </c>
      <c r="C38" s="144">
        <v>-3218639.01</v>
      </c>
      <c r="D38" s="144">
        <v>0</v>
      </c>
      <c r="E38" s="144">
        <v>-3218639.01</v>
      </c>
    </row>
    <row r="39" spans="2:5" ht="16.5" x14ac:dyDescent="0.3">
      <c r="B39" s="143" t="s">
        <v>944</v>
      </c>
      <c r="C39" s="144">
        <v>-22068653.620000005</v>
      </c>
      <c r="D39" s="144">
        <v>2401200</v>
      </c>
      <c r="E39" s="144">
        <v>-19667453.620000001</v>
      </c>
    </row>
    <row r="40" spans="2:5" ht="16.5" x14ac:dyDescent="0.3">
      <c r="B40" s="143" t="s">
        <v>621</v>
      </c>
      <c r="C40" s="144">
        <v>-175946928.62</v>
      </c>
      <c r="D40" s="144">
        <v>137854269.43999997</v>
      </c>
      <c r="E40" s="144">
        <v>-38092659.180000037</v>
      </c>
    </row>
    <row r="41" spans="2:5" x14ac:dyDescent="0.25">
      <c r="B41"/>
      <c r="C41"/>
      <c r="D41"/>
      <c r="E41"/>
    </row>
    <row r="42" spans="2:5" x14ac:dyDescent="0.25">
      <c r="B42"/>
      <c r="C42"/>
      <c r="D42"/>
      <c r="E42"/>
    </row>
    <row r="43" spans="2:5" x14ac:dyDescent="0.25">
      <c r="B43"/>
      <c r="C43"/>
      <c r="D43"/>
      <c r="E43"/>
    </row>
    <row r="44" spans="2:5" x14ac:dyDescent="0.25">
      <c r="B44"/>
      <c r="C44"/>
      <c r="D44"/>
      <c r="E44"/>
    </row>
    <row r="45" spans="2:5" x14ac:dyDescent="0.25">
      <c r="B45"/>
      <c r="C45"/>
      <c r="D45"/>
      <c r="E45"/>
    </row>
    <row r="46" spans="2:5" x14ac:dyDescent="0.25">
      <c r="B46"/>
      <c r="C46"/>
      <c r="D46"/>
      <c r="E46"/>
    </row>
    <row r="47" spans="2:5" x14ac:dyDescent="0.25">
      <c r="B47"/>
      <c r="C47"/>
      <c r="D47"/>
      <c r="E47"/>
    </row>
    <row r="48" spans="2:5" x14ac:dyDescent="0.25">
      <c r="B48"/>
      <c r="C48"/>
      <c r="D48"/>
      <c r="E48"/>
    </row>
    <row r="49" spans="2:5" x14ac:dyDescent="0.25">
      <c r="B49"/>
      <c r="C49"/>
      <c r="D49"/>
      <c r="E49"/>
    </row>
    <row r="50" spans="2:5" x14ac:dyDescent="0.25">
      <c r="B50"/>
      <c r="C50"/>
      <c r="D50"/>
      <c r="E50"/>
    </row>
    <row r="51" spans="2:5" x14ac:dyDescent="0.25">
      <c r="B51"/>
      <c r="C51"/>
      <c r="D51"/>
      <c r="E51"/>
    </row>
    <row r="52" spans="2:5" x14ac:dyDescent="0.25">
      <c r="B52"/>
      <c r="C52"/>
      <c r="D52"/>
      <c r="E52"/>
    </row>
    <row r="53" spans="2:5" x14ac:dyDescent="0.25">
      <c r="B53"/>
      <c r="C53"/>
      <c r="D53"/>
      <c r="E53"/>
    </row>
    <row r="54" spans="2:5" x14ac:dyDescent="0.25">
      <c r="B54"/>
      <c r="C54"/>
      <c r="D54"/>
      <c r="E54"/>
    </row>
    <row r="55" spans="2:5" x14ac:dyDescent="0.25">
      <c r="B55"/>
      <c r="C55"/>
      <c r="D55"/>
      <c r="E55"/>
    </row>
    <row r="56" spans="2:5" x14ac:dyDescent="0.25">
      <c r="B56"/>
      <c r="C56"/>
      <c r="D56"/>
      <c r="E56"/>
    </row>
    <row r="57" spans="2:5" x14ac:dyDescent="0.25">
      <c r="B57"/>
      <c r="C57"/>
      <c r="D57"/>
      <c r="E57"/>
    </row>
    <row r="58" spans="2:5" x14ac:dyDescent="0.25">
      <c r="B58"/>
      <c r="C58"/>
      <c r="D58"/>
      <c r="E58"/>
    </row>
    <row r="59" spans="2:5" x14ac:dyDescent="0.25">
      <c r="B59"/>
      <c r="C59"/>
      <c r="D59"/>
      <c r="E59"/>
    </row>
    <row r="60" spans="2:5" x14ac:dyDescent="0.25">
      <c r="B60"/>
      <c r="C60"/>
      <c r="D60"/>
      <c r="E60"/>
    </row>
    <row r="61" spans="2:5" x14ac:dyDescent="0.25">
      <c r="B61"/>
      <c r="C61"/>
      <c r="D61"/>
      <c r="E61"/>
    </row>
    <row r="62" spans="2:5" x14ac:dyDescent="0.25">
      <c r="B62"/>
      <c r="C62"/>
      <c r="D62"/>
      <c r="E62"/>
    </row>
    <row r="63" spans="2:5" x14ac:dyDescent="0.25">
      <c r="B63"/>
      <c r="C63"/>
      <c r="D63"/>
      <c r="E63"/>
    </row>
    <row r="64" spans="2:5" x14ac:dyDescent="0.25">
      <c r="B64"/>
      <c r="C64"/>
      <c r="D64"/>
      <c r="E64"/>
    </row>
    <row r="65" spans="2:5" x14ac:dyDescent="0.25">
      <c r="B65"/>
      <c r="C65"/>
      <c r="D65"/>
      <c r="E65"/>
    </row>
    <row r="66" spans="2:5" x14ac:dyDescent="0.25">
      <c r="B66"/>
      <c r="C66"/>
      <c r="D66"/>
      <c r="E66"/>
    </row>
    <row r="67" spans="2:5" x14ac:dyDescent="0.25">
      <c r="B67"/>
      <c r="C67"/>
      <c r="D67"/>
      <c r="E67"/>
    </row>
    <row r="68" spans="2:5" x14ac:dyDescent="0.25">
      <c r="B68"/>
      <c r="C68"/>
      <c r="D68"/>
      <c r="E68"/>
    </row>
    <row r="69" spans="2:5" x14ac:dyDescent="0.25">
      <c r="B69"/>
      <c r="C69"/>
      <c r="D69"/>
      <c r="E69"/>
    </row>
    <row r="70" spans="2:5" x14ac:dyDescent="0.25">
      <c r="B70"/>
      <c r="C70"/>
      <c r="D70"/>
      <c r="E70"/>
    </row>
    <row r="71" spans="2:5" x14ac:dyDescent="0.25">
      <c r="B71"/>
      <c r="C71"/>
      <c r="D71"/>
      <c r="E71"/>
    </row>
    <row r="72" spans="2:5" x14ac:dyDescent="0.25">
      <c r="B72"/>
      <c r="C72"/>
      <c r="D72"/>
      <c r="E72"/>
    </row>
    <row r="73" spans="2:5" x14ac:dyDescent="0.25">
      <c r="B73"/>
      <c r="C73"/>
      <c r="D73"/>
      <c r="E73"/>
    </row>
    <row r="74" spans="2:5" x14ac:dyDescent="0.25">
      <c r="B74"/>
      <c r="C74"/>
      <c r="D74"/>
      <c r="E74"/>
    </row>
    <row r="75" spans="2:5" x14ac:dyDescent="0.25">
      <c r="B75"/>
      <c r="C75"/>
      <c r="D75"/>
      <c r="E75"/>
    </row>
    <row r="76" spans="2:5" x14ac:dyDescent="0.25">
      <c r="B76"/>
      <c r="C76"/>
      <c r="D76"/>
      <c r="E76"/>
    </row>
    <row r="77" spans="2:5" x14ac:dyDescent="0.25">
      <c r="B77"/>
      <c r="C77"/>
      <c r="D77"/>
      <c r="E77"/>
    </row>
    <row r="78" spans="2:5" x14ac:dyDescent="0.25">
      <c r="B78"/>
      <c r="C78"/>
      <c r="D78"/>
      <c r="E78"/>
    </row>
    <row r="79" spans="2:5" x14ac:dyDescent="0.25">
      <c r="B79"/>
      <c r="C79"/>
      <c r="D79"/>
      <c r="E79"/>
    </row>
    <row r="80" spans="2:5" x14ac:dyDescent="0.25">
      <c r="B80"/>
      <c r="C80"/>
      <c r="D80"/>
      <c r="E80"/>
    </row>
    <row r="81" spans="2:5" x14ac:dyDescent="0.25">
      <c r="B81"/>
      <c r="C81"/>
      <c r="D81"/>
      <c r="E81"/>
    </row>
    <row r="82" spans="2:5" x14ac:dyDescent="0.25">
      <c r="B82"/>
      <c r="C82"/>
      <c r="D82"/>
      <c r="E82"/>
    </row>
    <row r="83" spans="2:5" x14ac:dyDescent="0.25">
      <c r="B83"/>
      <c r="C83"/>
      <c r="D83"/>
      <c r="E83"/>
    </row>
    <row r="84" spans="2:5" x14ac:dyDescent="0.25">
      <c r="B84"/>
      <c r="C84"/>
      <c r="D84"/>
      <c r="E84"/>
    </row>
    <row r="85" spans="2:5" x14ac:dyDescent="0.25">
      <c r="B85"/>
      <c r="C85"/>
      <c r="D85"/>
      <c r="E85"/>
    </row>
    <row r="86" spans="2:5" x14ac:dyDescent="0.25">
      <c r="B86"/>
      <c r="C86"/>
      <c r="D86"/>
      <c r="E86"/>
    </row>
    <row r="87" spans="2:5" x14ac:dyDescent="0.25">
      <c r="B87"/>
      <c r="C87"/>
      <c r="D87"/>
      <c r="E87"/>
    </row>
    <row r="88" spans="2:5" x14ac:dyDescent="0.25">
      <c r="B88"/>
      <c r="C88"/>
      <c r="D88"/>
      <c r="E88"/>
    </row>
    <row r="89" spans="2:5" x14ac:dyDescent="0.25">
      <c r="B89"/>
      <c r="C89"/>
      <c r="D89"/>
      <c r="E89"/>
    </row>
    <row r="90" spans="2:5" x14ac:dyDescent="0.25">
      <c r="B90"/>
      <c r="C90"/>
      <c r="D90"/>
      <c r="E90"/>
    </row>
    <row r="91" spans="2:5" x14ac:dyDescent="0.25">
      <c r="B91"/>
      <c r="C91"/>
      <c r="D91"/>
      <c r="E91"/>
    </row>
    <row r="92" spans="2:5" x14ac:dyDescent="0.25">
      <c r="B92"/>
      <c r="C92"/>
      <c r="D92"/>
      <c r="E92"/>
    </row>
    <row r="93" spans="2:5" x14ac:dyDescent="0.25">
      <c r="B93"/>
      <c r="C93"/>
      <c r="D93"/>
      <c r="E93"/>
    </row>
  </sheetData>
  <printOptions horizontalCentered="1"/>
  <pageMargins left="0.70866141732283472" right="0.70866141732283472" top="0.74803149606299213" bottom="0.74803149606299213" header="0.31496062992125984" footer="0.31496062992125984"/>
  <pageSetup paperSize="9" scale="82"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49FF8-76C9-465C-85E4-74976B31C441}">
  <sheetPr codeName="Hoja2"/>
  <dimension ref="A1:Y286"/>
  <sheetViews>
    <sheetView tabSelected="1" topLeftCell="L1" zoomScale="104" zoomScaleNormal="100" workbookViewId="0">
      <selection activeCell="Q286" sqref="Q286"/>
    </sheetView>
  </sheetViews>
  <sheetFormatPr baseColWidth="10" defaultColWidth="10.7109375" defaultRowHeight="15" outlineLevelRow="1" x14ac:dyDescent="0.25"/>
  <cols>
    <col min="1" max="1" width="6.28515625" customWidth="1"/>
    <col min="2" max="2" width="20.42578125" bestFit="1" customWidth="1"/>
    <col min="3" max="3" width="15.85546875" style="1" customWidth="1"/>
    <col min="4" max="4" width="11" hidden="1" customWidth="1"/>
    <col min="5" max="5" width="43.85546875" style="6" customWidth="1"/>
    <col min="6" max="6" width="16.85546875" customWidth="1"/>
    <col min="7" max="7" width="30.85546875" style="6" customWidth="1"/>
    <col min="8" max="8" width="21.7109375" bestFit="1" customWidth="1"/>
    <col min="9" max="9" width="18" style="10" customWidth="1"/>
    <col min="10" max="10" width="22.85546875" customWidth="1"/>
    <col min="11" max="11" width="18" style="10" customWidth="1"/>
    <col min="12" max="12" width="22.85546875" customWidth="1"/>
    <col min="13" max="13" width="18" style="10" customWidth="1"/>
    <col min="14" max="14" width="15.42578125" style="4" customWidth="1"/>
    <col min="15" max="15" width="16.28515625" style="4" bestFit="1" customWidth="1"/>
    <col min="16" max="16" width="10.7109375" hidden="1" customWidth="1"/>
    <col min="17" max="17" width="14" customWidth="1"/>
    <col min="18" max="18" width="24.7109375" bestFit="1" customWidth="1"/>
    <col min="19" max="19" width="51.140625" style="1" customWidth="1"/>
    <col min="20" max="20" width="15" style="4" bestFit="1" customWidth="1"/>
    <col min="22" max="22" width="11.85546875" bestFit="1" customWidth="1"/>
    <col min="25" max="25" width="13.42578125" bestFit="1" customWidth="1"/>
    <col min="26" max="26" width="12" bestFit="1" customWidth="1"/>
  </cols>
  <sheetData>
    <row r="1" spans="1:25" s="3" customFormat="1" ht="30" x14ac:dyDescent="0.25">
      <c r="A1" s="2" t="s">
        <v>373</v>
      </c>
      <c r="B1" s="2" t="s">
        <v>4</v>
      </c>
      <c r="C1" s="2" t="s">
        <v>374</v>
      </c>
      <c r="D1" s="2" t="s">
        <v>375</v>
      </c>
      <c r="E1" s="2" t="s">
        <v>376</v>
      </c>
      <c r="F1" s="2" t="s">
        <v>377</v>
      </c>
      <c r="G1" s="2" t="s">
        <v>378</v>
      </c>
      <c r="H1" s="2" t="s">
        <v>379</v>
      </c>
      <c r="I1" s="8" t="s">
        <v>661</v>
      </c>
      <c r="J1" s="2" t="s">
        <v>662</v>
      </c>
      <c r="K1" s="8" t="s">
        <v>382</v>
      </c>
      <c r="L1" s="2" t="s">
        <v>383</v>
      </c>
      <c r="M1" s="8" t="s">
        <v>384</v>
      </c>
      <c r="N1" s="13" t="s">
        <v>385</v>
      </c>
      <c r="O1" s="13" t="s">
        <v>386</v>
      </c>
      <c r="P1" s="2" t="s">
        <v>387</v>
      </c>
      <c r="Q1" s="2" t="s">
        <v>5</v>
      </c>
      <c r="R1" s="2" t="s">
        <v>388</v>
      </c>
      <c r="S1" s="2" t="s">
        <v>389</v>
      </c>
      <c r="T1" s="13" t="s">
        <v>390</v>
      </c>
      <c r="Y1" s="136"/>
    </row>
    <row r="2" spans="1:25" s="3" customFormat="1" hidden="1" outlineLevel="1" x14ac:dyDescent="0.25">
      <c r="A2" s="2">
        <f>ROW(DIARIO[[#This Row],[Nombre de Cuenta]])-1</f>
        <v>1</v>
      </c>
      <c r="B2" s="2"/>
      <c r="C2" s="12" t="s">
        <v>28</v>
      </c>
      <c r="D2" s="2">
        <f>VLOOKUP(C2,CATALOGO[],2,FALSE)</f>
        <v>2</v>
      </c>
      <c r="E2" s="12" t="str">
        <f>VLOOKUP(DIARIO[[#This Row],[Objeto de Gasto]],CATALOGO[],3,FALSE)</f>
        <v>11100 Sueldos Basicos</v>
      </c>
      <c r="F2" s="12"/>
      <c r="G2" s="12" t="s">
        <v>31</v>
      </c>
      <c r="H2" s="2"/>
      <c r="I2" s="8"/>
      <c r="J2" s="2"/>
      <c r="K2" s="8"/>
      <c r="L2" s="2"/>
      <c r="M2" s="8"/>
      <c r="N2" s="13">
        <v>111754498</v>
      </c>
      <c r="O2" s="13"/>
      <c r="P2" s="2">
        <f t="shared" ref="P2:P12" si="0">N2-O2</f>
        <v>111754498</v>
      </c>
      <c r="Q2" s="2" t="s">
        <v>31</v>
      </c>
      <c r="R2" s="38"/>
      <c r="S2" s="12"/>
      <c r="T2" s="13"/>
    </row>
    <row r="3" spans="1:25" s="3" customFormat="1" hidden="1" outlineLevel="1" x14ac:dyDescent="0.25">
      <c r="A3" s="2">
        <f>ROW(DIARIO[[#This Row],[Nombre de Cuenta]])-1</f>
        <v>2</v>
      </c>
      <c r="B3" s="2"/>
      <c r="C3" s="12" t="s">
        <v>36</v>
      </c>
      <c r="D3" s="2">
        <f>VLOOKUP(C3,CATALOGO[],2,FALSE)</f>
        <v>3</v>
      </c>
      <c r="E3" s="12" t="str">
        <f>VLOOKUP(DIARIO[[#This Row],[Objeto de Gasto]],CATALOGO[],3,FALSE)</f>
        <v>11400 Adicionales</v>
      </c>
      <c r="F3" s="12"/>
      <c r="G3" s="12" t="s">
        <v>31</v>
      </c>
      <c r="H3" s="2"/>
      <c r="I3" s="8"/>
      <c r="J3" s="2"/>
      <c r="K3" s="8"/>
      <c r="L3" s="2"/>
      <c r="M3" s="8"/>
      <c r="N3" s="13">
        <v>6586922</v>
      </c>
      <c r="O3" s="13"/>
      <c r="P3" s="2">
        <f t="shared" si="0"/>
        <v>6586922</v>
      </c>
      <c r="Q3" s="2" t="s">
        <v>31</v>
      </c>
      <c r="R3" s="38"/>
      <c r="S3" s="12"/>
      <c r="T3" s="13"/>
    </row>
    <row r="4" spans="1:25" s="3" customFormat="1" hidden="1" outlineLevel="1" x14ac:dyDescent="0.25">
      <c r="A4" s="2">
        <f>ROW(DIARIO[[#This Row],[Nombre de Cuenta]])-1</f>
        <v>3</v>
      </c>
      <c r="B4" s="2"/>
      <c r="C4" s="12" t="s">
        <v>39</v>
      </c>
      <c r="D4" s="2">
        <f>VLOOKUP(C4,CATALOGO[],2,FALSE)</f>
        <v>3</v>
      </c>
      <c r="E4" s="12" t="str">
        <f>VLOOKUP(DIARIO[[#This Row],[Objeto de Gasto]],CATALOGO[],3,FALSE)</f>
        <v>11400 Adicionales</v>
      </c>
      <c r="F4" s="12"/>
      <c r="G4" s="12" t="s">
        <v>31</v>
      </c>
      <c r="H4" s="2"/>
      <c r="I4" s="8"/>
      <c r="J4" s="2"/>
      <c r="K4" s="8"/>
      <c r="L4" s="2"/>
      <c r="M4" s="8"/>
      <c r="N4" s="13">
        <v>1415947</v>
      </c>
      <c r="O4" s="13"/>
      <c r="P4" s="2">
        <f t="shared" si="0"/>
        <v>1415947</v>
      </c>
      <c r="Q4" s="2" t="s">
        <v>31</v>
      </c>
      <c r="R4" s="38"/>
      <c r="S4" s="12"/>
      <c r="T4" s="13"/>
    </row>
    <row r="5" spans="1:25" s="3" customFormat="1" hidden="1" outlineLevel="1" x14ac:dyDescent="0.25">
      <c r="A5" s="2">
        <f>ROW(DIARIO[[#This Row],[Nombre de Cuenta]])-1</f>
        <v>4</v>
      </c>
      <c r="B5" s="2"/>
      <c r="C5" s="12" t="s">
        <v>391</v>
      </c>
      <c r="D5" s="2">
        <f>VLOOKUP(C5,CATALOGO[],2,FALSE)</f>
        <v>3</v>
      </c>
      <c r="E5" s="12" t="str">
        <f>VLOOKUP(DIARIO[[#This Row],[Objeto de Gasto]],CATALOGO[],3,FALSE)</f>
        <v>11400 Adicionales</v>
      </c>
      <c r="F5" s="12"/>
      <c r="G5" s="12" t="s">
        <v>31</v>
      </c>
      <c r="H5" s="2"/>
      <c r="I5" s="8"/>
      <c r="J5" s="2"/>
      <c r="K5" s="8"/>
      <c r="L5" s="2"/>
      <c r="M5" s="8"/>
      <c r="N5" s="13">
        <v>2401701</v>
      </c>
      <c r="O5" s="13"/>
      <c r="P5" s="2">
        <f t="shared" si="0"/>
        <v>2401701</v>
      </c>
      <c r="Q5" s="2" t="s">
        <v>31</v>
      </c>
      <c r="R5" s="38"/>
      <c r="S5" s="12"/>
      <c r="T5" s="13"/>
    </row>
    <row r="6" spans="1:25" s="3" customFormat="1" hidden="1" outlineLevel="1" x14ac:dyDescent="0.25">
      <c r="A6" s="2">
        <f>ROW(DIARIO[[#This Row],[Nombre de Cuenta]])-1</f>
        <v>5</v>
      </c>
      <c r="B6" s="2"/>
      <c r="C6" s="12" t="s">
        <v>41</v>
      </c>
      <c r="D6" s="2">
        <f>VLOOKUP(C6,CATALOGO[],2,FALSE)</f>
        <v>4</v>
      </c>
      <c r="E6" s="12" t="str">
        <f>VLOOKUP(DIARIO[[#This Row],[Objeto de Gasto]],CATALOGO[],3,FALSE)</f>
        <v>11510 Decimotercer Mes</v>
      </c>
      <c r="F6" s="12"/>
      <c r="G6" s="12" t="s">
        <v>31</v>
      </c>
      <c r="H6" s="2"/>
      <c r="I6" s="8"/>
      <c r="J6" s="2"/>
      <c r="K6" s="8"/>
      <c r="L6" s="2"/>
      <c r="M6" s="8"/>
      <c r="N6" s="13">
        <v>9312952</v>
      </c>
      <c r="O6" s="13"/>
      <c r="P6" s="2">
        <f t="shared" si="0"/>
        <v>9312952</v>
      </c>
      <c r="Q6" s="2" t="s">
        <v>31</v>
      </c>
      <c r="R6" s="38"/>
      <c r="S6" s="12"/>
      <c r="T6" s="13"/>
    </row>
    <row r="7" spans="1:25" s="3" customFormat="1" hidden="1" outlineLevel="1" x14ac:dyDescent="0.25">
      <c r="A7" s="2">
        <f>ROW(DIARIO[[#This Row],[Nombre de Cuenta]])-1</f>
        <v>6</v>
      </c>
      <c r="B7" s="2"/>
      <c r="C7" s="12" t="s">
        <v>46</v>
      </c>
      <c r="D7" s="2">
        <f>VLOOKUP(C7,CATALOGO[],2,FALSE)</f>
        <v>5</v>
      </c>
      <c r="E7" s="12" t="str">
        <f>VLOOKUP(DIARIO[[#This Row],[Objeto de Gasto]],CATALOGO[],3,FALSE)</f>
        <v>11520 Decimocuarto Mes</v>
      </c>
      <c r="F7" s="12"/>
      <c r="G7" s="12" t="s">
        <v>31</v>
      </c>
      <c r="H7" s="2"/>
      <c r="I7" s="8"/>
      <c r="J7" s="2"/>
      <c r="K7" s="8"/>
      <c r="L7" s="2"/>
      <c r="M7" s="8"/>
      <c r="N7" s="13">
        <v>9312952</v>
      </c>
      <c r="O7" s="13"/>
      <c r="P7" s="2">
        <f t="shared" si="0"/>
        <v>9312952</v>
      </c>
      <c r="Q7" s="2" t="s">
        <v>31</v>
      </c>
      <c r="R7" s="38"/>
      <c r="S7" s="12"/>
      <c r="T7" s="13"/>
    </row>
    <row r="8" spans="1:25" s="3" customFormat="1" hidden="1" outlineLevel="1" x14ac:dyDescent="0.25">
      <c r="A8" s="2">
        <f>ROW(DIARIO[[#This Row],[Nombre de Cuenta]])-1</f>
        <v>7</v>
      </c>
      <c r="B8" s="2"/>
      <c r="C8" s="12" t="s">
        <v>51</v>
      </c>
      <c r="D8" s="2">
        <f>VLOOKUP(C8,CATALOGO[],2,FALSE)</f>
        <v>6</v>
      </c>
      <c r="E8" s="12" t="str">
        <f>VLOOKUP(DIARIO[[#This Row],[Objeto de Gasto]],CATALOGO[],3,FALSE)</f>
        <v>11600 Complementos</v>
      </c>
      <c r="F8" s="12"/>
      <c r="G8" s="12" t="s">
        <v>31</v>
      </c>
      <c r="H8" s="2"/>
      <c r="I8" s="8"/>
      <c r="J8" s="2"/>
      <c r="K8" s="8"/>
      <c r="L8" s="2"/>
      <c r="M8" s="8"/>
      <c r="N8" s="13">
        <v>9312952</v>
      </c>
      <c r="O8" s="13"/>
      <c r="P8" s="2">
        <f t="shared" si="0"/>
        <v>9312952</v>
      </c>
      <c r="Q8" s="2" t="s">
        <v>31</v>
      </c>
      <c r="R8" s="38"/>
      <c r="S8" s="12"/>
      <c r="T8" s="13"/>
    </row>
    <row r="9" spans="1:25" s="3" customFormat="1" hidden="1" outlineLevel="1" x14ac:dyDescent="0.25">
      <c r="A9" s="2">
        <f>ROW(DIARIO[[#This Row],[Nombre de Cuenta]])-1</f>
        <v>8</v>
      </c>
      <c r="B9" s="2"/>
      <c r="C9" s="12" t="s">
        <v>56</v>
      </c>
      <c r="D9" s="2">
        <f>VLOOKUP(C9,CATALOGO[],2,FALSE)</f>
        <v>7</v>
      </c>
      <c r="E9" s="12" t="str">
        <f>VLOOKUP(DIARIO[[#This Row],[Objeto de Gasto]],CATALOGO[],3,FALSE)</f>
        <v>11710 Contribuciones Al Injupemp</v>
      </c>
      <c r="F9" s="12"/>
      <c r="G9" s="12" t="s">
        <v>31</v>
      </c>
      <c r="H9" s="2"/>
      <c r="I9" s="8"/>
      <c r="J9" s="2"/>
      <c r="K9" s="8"/>
      <c r="L9" s="2"/>
      <c r="M9" s="8"/>
      <c r="N9" s="13">
        <v>16204493</v>
      </c>
      <c r="O9" s="13"/>
      <c r="P9" s="2">
        <f t="shared" si="0"/>
        <v>16204493</v>
      </c>
      <c r="Q9" s="2" t="s">
        <v>31</v>
      </c>
      <c r="R9" s="38"/>
      <c r="S9" s="12"/>
      <c r="T9" s="13"/>
    </row>
    <row r="10" spans="1:25" s="3" customFormat="1" hidden="1" outlineLevel="1" x14ac:dyDescent="0.25">
      <c r="A10" s="2">
        <f>ROW(DIARIO[[#This Row],[Nombre de Cuenta]])-1</f>
        <v>9</v>
      </c>
      <c r="B10" s="2"/>
      <c r="C10" s="12" t="s">
        <v>61</v>
      </c>
      <c r="D10" s="2">
        <f>VLOOKUP(C10,CATALOGO[],2,FALSE)</f>
        <v>8</v>
      </c>
      <c r="E10" s="12" t="str">
        <f>VLOOKUP(DIARIO[[#This Row],[Objeto de Gasto]],CATALOGO[],3,FALSE)</f>
        <v>11750 Contribuciones Para El Seguro Social</v>
      </c>
      <c r="F10" s="12"/>
      <c r="G10" s="12" t="s">
        <v>31</v>
      </c>
      <c r="H10" s="2"/>
      <c r="I10" s="8"/>
      <c r="J10" s="2"/>
      <c r="K10" s="8"/>
      <c r="L10" s="2"/>
      <c r="M10" s="8"/>
      <c r="N10" s="13">
        <v>2526467</v>
      </c>
      <c r="O10" s="13"/>
      <c r="P10" s="2">
        <f t="shared" si="0"/>
        <v>2526467</v>
      </c>
      <c r="Q10" s="2" t="s">
        <v>31</v>
      </c>
      <c r="R10" s="38"/>
      <c r="S10" s="12"/>
      <c r="T10" s="13"/>
    </row>
    <row r="11" spans="1:25" s="3" customFormat="1" hidden="1" outlineLevel="1" x14ac:dyDescent="0.25">
      <c r="A11" s="2">
        <f>ROW(DIARIO[[#This Row],[Nombre de Cuenta]])-1</f>
        <v>10</v>
      </c>
      <c r="B11" s="2"/>
      <c r="C11" s="12" t="s">
        <v>66</v>
      </c>
      <c r="D11" s="2">
        <f>VLOOKUP(C11,CATALOGO[],2,FALSE)</f>
        <v>9</v>
      </c>
      <c r="E11" s="12" t="str">
        <f>VLOOKUP(DIARIO[[#This Row],[Objeto de Gasto]],CATALOGO[],3,FALSE)</f>
        <v>12100 Sueldos Basicos</v>
      </c>
      <c r="F11" s="12"/>
      <c r="G11" s="12" t="s">
        <v>31</v>
      </c>
      <c r="H11" s="2"/>
      <c r="I11" s="8"/>
      <c r="J11" s="2"/>
      <c r="K11" s="8"/>
      <c r="L11" s="2"/>
      <c r="M11" s="8"/>
      <c r="N11" s="13">
        <v>22643465.449999999</v>
      </c>
      <c r="O11" s="13"/>
      <c r="P11" s="2">
        <f t="shared" si="0"/>
        <v>22643465.449999999</v>
      </c>
      <c r="Q11" s="2" t="s">
        <v>31</v>
      </c>
      <c r="R11" s="38"/>
      <c r="S11" s="12"/>
      <c r="T11" s="13"/>
    </row>
    <row r="12" spans="1:25" s="3" customFormat="1" hidden="1" outlineLevel="1" x14ac:dyDescent="0.25">
      <c r="A12" s="2">
        <f>ROW(DIARIO[[#This Row],[Nombre de Cuenta]])-1</f>
        <v>11</v>
      </c>
      <c r="B12" s="2"/>
      <c r="C12" s="12" t="s">
        <v>69</v>
      </c>
      <c r="D12" s="2">
        <f>VLOOKUP(C12,CATALOGO[],2,FALSE)</f>
        <v>9</v>
      </c>
      <c r="E12" s="12" t="str">
        <f>VLOOKUP(DIARIO[[#This Row],[Objeto de Gasto]],CATALOGO[],3,FALSE)</f>
        <v>12100 Sueldos Basicos</v>
      </c>
      <c r="F12" s="12"/>
      <c r="G12" s="12" t="s">
        <v>31</v>
      </c>
      <c r="H12" s="2"/>
      <c r="I12" s="8"/>
      <c r="J12" s="2"/>
      <c r="K12" s="8"/>
      <c r="L12" s="2"/>
      <c r="M12" s="8"/>
      <c r="N12" s="13">
        <v>33492707.07</v>
      </c>
      <c r="O12" s="13"/>
      <c r="P12" s="2">
        <f t="shared" si="0"/>
        <v>33492707.07</v>
      </c>
      <c r="Q12" s="2" t="s">
        <v>31</v>
      </c>
      <c r="R12" s="38"/>
      <c r="S12" s="12"/>
      <c r="T12" s="13"/>
    </row>
    <row r="13" spans="1:25" s="3" customFormat="1" hidden="1" outlineLevel="1" x14ac:dyDescent="0.25">
      <c r="A13" s="2">
        <f>ROW(DIARIO[[#This Row],[Nombre de Cuenta]])-1</f>
        <v>12</v>
      </c>
      <c r="B13" s="2"/>
      <c r="C13" s="12" t="s">
        <v>392</v>
      </c>
      <c r="D13" s="2">
        <f>VLOOKUP(C13,CATALOGO[],2,FALSE)</f>
        <v>9</v>
      </c>
      <c r="E13" s="12" t="str">
        <f>VLOOKUP(DIARIO[[#This Row],[Objeto de Gasto]],CATALOGO[],3,FALSE)</f>
        <v>12100 Sueldos Basicos</v>
      </c>
      <c r="F13" s="12"/>
      <c r="G13" s="12" t="s">
        <v>31</v>
      </c>
      <c r="H13" s="2"/>
      <c r="I13" s="8"/>
      <c r="J13" s="2"/>
      <c r="K13" s="8"/>
      <c r="L13" s="2"/>
      <c r="M13" s="8"/>
      <c r="N13" s="13">
        <v>22525775.140000001</v>
      </c>
      <c r="O13" s="13"/>
      <c r="P13" s="2">
        <f t="shared" ref="P13:P23" si="1">N13-O13</f>
        <v>22525775.140000001</v>
      </c>
      <c r="Q13" s="2" t="s">
        <v>31</v>
      </c>
      <c r="R13" s="38"/>
      <c r="S13" s="12"/>
      <c r="T13" s="13"/>
    </row>
    <row r="14" spans="1:25" s="3" customFormat="1" hidden="1" outlineLevel="1" x14ac:dyDescent="0.25">
      <c r="A14" s="2">
        <f>ROW(DIARIO[[#This Row],[Nombre de Cuenta]])-1</f>
        <v>13</v>
      </c>
      <c r="B14" s="2"/>
      <c r="C14" s="12" t="s">
        <v>70</v>
      </c>
      <c r="D14" s="2">
        <f>VLOOKUP(C14,CATALOGO[],2,FALSE)</f>
        <v>9</v>
      </c>
      <c r="E14" s="12" t="str">
        <f>VLOOKUP(DIARIO[[#This Row],[Objeto de Gasto]],CATALOGO[],3,FALSE)</f>
        <v>12100 Sueldos Basicos</v>
      </c>
      <c r="F14" s="12"/>
      <c r="G14" s="12" t="s">
        <v>31</v>
      </c>
      <c r="H14" s="2"/>
      <c r="I14" s="8"/>
      <c r="J14" s="2"/>
      <c r="K14" s="8"/>
      <c r="L14" s="2"/>
      <c r="M14" s="8"/>
      <c r="N14" s="13">
        <v>22419428.34</v>
      </c>
      <c r="O14" s="13"/>
      <c r="P14" s="2">
        <f t="shared" si="1"/>
        <v>22419428.34</v>
      </c>
      <c r="Q14" s="2" t="s">
        <v>31</v>
      </c>
      <c r="R14" s="38"/>
      <c r="S14" s="12"/>
      <c r="T14" s="13"/>
    </row>
    <row r="15" spans="1:25" s="3" customFormat="1" hidden="1" outlineLevel="1" x14ac:dyDescent="0.25">
      <c r="A15" s="2">
        <f>ROW(DIARIO[[#This Row],[Nombre de Cuenta]])-1</f>
        <v>14</v>
      </c>
      <c r="B15" s="2"/>
      <c r="C15" s="12" t="s">
        <v>71</v>
      </c>
      <c r="D15" s="2">
        <f>VLOOKUP(C15,CATALOGO[],2,FALSE)</f>
        <v>10</v>
      </c>
      <c r="E15" s="12" t="str">
        <f>VLOOKUP(DIARIO[[#This Row],[Objeto de Gasto]],CATALOGO[],3,FALSE)</f>
        <v>12410 Decimotercer Mes</v>
      </c>
      <c r="F15" s="12"/>
      <c r="G15" s="12" t="s">
        <v>31</v>
      </c>
      <c r="H15" s="2"/>
      <c r="I15" s="8"/>
      <c r="J15" s="2"/>
      <c r="K15" s="8"/>
      <c r="L15" s="2"/>
      <c r="M15" s="8"/>
      <c r="N15" s="13">
        <v>685218.46</v>
      </c>
      <c r="O15" s="13"/>
      <c r="P15" s="2">
        <f t="shared" si="1"/>
        <v>685218.46</v>
      </c>
      <c r="Q15" s="2" t="s">
        <v>31</v>
      </c>
      <c r="R15" s="38"/>
      <c r="S15" s="12"/>
      <c r="T15" s="13"/>
    </row>
    <row r="16" spans="1:25" s="3" customFormat="1" hidden="1" outlineLevel="1" x14ac:dyDescent="0.25">
      <c r="A16" s="2">
        <f>ROW(DIARIO[[#This Row],[Nombre de Cuenta]])-1</f>
        <v>15</v>
      </c>
      <c r="B16" s="2"/>
      <c r="C16" s="12" t="s">
        <v>74</v>
      </c>
      <c r="D16" s="2">
        <f>VLOOKUP(C16,CATALOGO[],2,FALSE)</f>
        <v>10</v>
      </c>
      <c r="E16" s="12" t="str">
        <f>VLOOKUP(DIARIO[[#This Row],[Objeto de Gasto]],CATALOGO[],3,FALSE)</f>
        <v>12410 Decimotercer Mes</v>
      </c>
      <c r="F16" s="12"/>
      <c r="G16" s="12" t="s">
        <v>31</v>
      </c>
      <c r="H16" s="2"/>
      <c r="I16" s="8"/>
      <c r="J16" s="2"/>
      <c r="K16" s="8"/>
      <c r="L16" s="2"/>
      <c r="M16" s="8"/>
      <c r="N16" s="13">
        <v>3920756.92</v>
      </c>
      <c r="O16" s="13"/>
      <c r="P16" s="2">
        <f t="shared" si="1"/>
        <v>3920756.92</v>
      </c>
      <c r="Q16" s="2" t="s">
        <v>31</v>
      </c>
      <c r="R16" s="38"/>
      <c r="S16" s="12"/>
      <c r="T16" s="13"/>
    </row>
    <row r="17" spans="1:20" s="3" customFormat="1" hidden="1" outlineLevel="1" x14ac:dyDescent="0.25">
      <c r="A17" s="2">
        <f>ROW(DIARIO[[#This Row],[Nombre de Cuenta]])-1</f>
        <v>16</v>
      </c>
      <c r="B17" s="2"/>
      <c r="C17" s="12" t="s">
        <v>393</v>
      </c>
      <c r="D17" s="2">
        <f>VLOOKUP(C17,CATALOGO[],2,FALSE)</f>
        <v>10</v>
      </c>
      <c r="E17" s="12" t="str">
        <f>VLOOKUP(DIARIO[[#This Row],[Objeto de Gasto]],CATALOGO[],3,FALSE)</f>
        <v>12410 Decimotercer Mes</v>
      </c>
      <c r="F17" s="12"/>
      <c r="G17" s="12" t="s">
        <v>31</v>
      </c>
      <c r="H17" s="2"/>
      <c r="I17" s="8"/>
      <c r="J17" s="2"/>
      <c r="K17" s="8"/>
      <c r="L17" s="2"/>
      <c r="M17" s="8"/>
      <c r="N17" s="13">
        <v>2177469.39</v>
      </c>
      <c r="O17" s="13"/>
      <c r="P17" s="2">
        <f t="shared" si="1"/>
        <v>2177469.39</v>
      </c>
      <c r="Q17" s="2" t="s">
        <v>31</v>
      </c>
      <c r="R17" s="38"/>
      <c r="S17" s="12"/>
      <c r="T17" s="13"/>
    </row>
    <row r="18" spans="1:20" s="3" customFormat="1" hidden="1" outlineLevel="1" x14ac:dyDescent="0.25">
      <c r="A18" s="2">
        <f>ROW(DIARIO[[#This Row],[Nombre de Cuenta]])-1</f>
        <v>17</v>
      </c>
      <c r="B18" s="2"/>
      <c r="C18" s="12" t="s">
        <v>75</v>
      </c>
      <c r="D18" s="2">
        <f>VLOOKUP(C18,CATALOGO[],2,FALSE)</f>
        <v>10</v>
      </c>
      <c r="E18" s="12" t="str">
        <f>VLOOKUP(DIARIO[[#This Row],[Objeto de Gasto]],CATALOGO[],3,FALSE)</f>
        <v>12410 Decimotercer Mes</v>
      </c>
      <c r="F18" s="12"/>
      <c r="G18" s="12" t="s">
        <v>31</v>
      </c>
      <c r="H18" s="2"/>
      <c r="I18" s="8"/>
      <c r="J18" s="2"/>
      <c r="K18" s="8"/>
      <c r="L18" s="2"/>
      <c r="M18" s="8"/>
      <c r="N18" s="13">
        <v>1640003.23</v>
      </c>
      <c r="O18" s="13"/>
      <c r="P18" s="2">
        <f t="shared" si="1"/>
        <v>1640003.23</v>
      </c>
      <c r="Q18" s="2" t="s">
        <v>31</v>
      </c>
      <c r="R18" s="38"/>
      <c r="S18" s="12"/>
      <c r="T18" s="13"/>
    </row>
    <row r="19" spans="1:20" s="3" customFormat="1" hidden="1" outlineLevel="1" x14ac:dyDescent="0.25">
      <c r="A19" s="2">
        <f>ROW(DIARIO[[#This Row],[Nombre de Cuenta]])-1</f>
        <v>18</v>
      </c>
      <c r="B19" s="2"/>
      <c r="C19" s="12" t="s">
        <v>76</v>
      </c>
      <c r="D19" s="2">
        <f>VLOOKUP(C19,CATALOGO[],2,FALSE)</f>
        <v>11</v>
      </c>
      <c r="E19" s="12" t="str">
        <f>VLOOKUP(DIARIO[[#This Row],[Objeto de Gasto]],CATALOGO[],3,FALSE)</f>
        <v>12420 Decimocuarto Mes</v>
      </c>
      <c r="F19" s="12"/>
      <c r="G19" s="12" t="s">
        <v>31</v>
      </c>
      <c r="H19" s="2"/>
      <c r="I19" s="8"/>
      <c r="J19" s="2"/>
      <c r="K19" s="8"/>
      <c r="L19" s="2"/>
      <c r="M19" s="8"/>
      <c r="N19" s="13">
        <v>685218.46</v>
      </c>
      <c r="O19" s="13"/>
      <c r="P19" s="2">
        <f t="shared" si="1"/>
        <v>685218.46</v>
      </c>
      <c r="Q19" s="2" t="s">
        <v>31</v>
      </c>
      <c r="R19" s="38"/>
      <c r="S19" s="12"/>
      <c r="T19" s="13"/>
    </row>
    <row r="20" spans="1:20" s="3" customFormat="1" hidden="1" outlineLevel="1" x14ac:dyDescent="0.25">
      <c r="A20" s="2">
        <f>ROW(DIARIO[[#This Row],[Nombre de Cuenta]])-1</f>
        <v>19</v>
      </c>
      <c r="B20" s="2"/>
      <c r="C20" s="12" t="s">
        <v>79</v>
      </c>
      <c r="D20" s="2">
        <f>VLOOKUP(C20,CATALOGO[],2,FALSE)</f>
        <v>11</v>
      </c>
      <c r="E20" s="12" t="str">
        <f>VLOOKUP(DIARIO[[#This Row],[Objeto de Gasto]],CATALOGO[],3,FALSE)</f>
        <v>12420 Decimocuarto Mes</v>
      </c>
      <c r="F20" s="12"/>
      <c r="G20" s="12" t="s">
        <v>31</v>
      </c>
      <c r="H20" s="2"/>
      <c r="I20" s="8"/>
      <c r="J20" s="2"/>
      <c r="K20" s="8"/>
      <c r="L20" s="2"/>
      <c r="M20" s="8"/>
      <c r="N20" s="13">
        <v>3920756.92</v>
      </c>
      <c r="O20" s="13"/>
      <c r="P20" s="2">
        <f t="shared" si="1"/>
        <v>3920756.92</v>
      </c>
      <c r="Q20" s="2" t="s">
        <v>31</v>
      </c>
      <c r="R20" s="38"/>
      <c r="S20" s="12"/>
      <c r="T20" s="13"/>
    </row>
    <row r="21" spans="1:20" s="3" customFormat="1" hidden="1" outlineLevel="1" x14ac:dyDescent="0.25">
      <c r="A21" s="2">
        <f>ROW(DIARIO[[#This Row],[Nombre de Cuenta]])-1</f>
        <v>20</v>
      </c>
      <c r="B21" s="2"/>
      <c r="C21" s="12" t="s">
        <v>394</v>
      </c>
      <c r="D21" s="2">
        <f>VLOOKUP(C21,CATALOGO[],2,FALSE)</f>
        <v>11</v>
      </c>
      <c r="E21" s="12" t="str">
        <f>VLOOKUP(DIARIO[[#This Row],[Objeto de Gasto]],CATALOGO[],3,FALSE)</f>
        <v>12420 Decimocuarto Mes</v>
      </c>
      <c r="F21" s="12"/>
      <c r="G21" s="12" t="s">
        <v>31</v>
      </c>
      <c r="H21" s="2"/>
      <c r="I21" s="8"/>
      <c r="J21" s="2"/>
      <c r="K21" s="8"/>
      <c r="L21" s="2"/>
      <c r="M21" s="8"/>
      <c r="N21" s="13">
        <v>2177469.39</v>
      </c>
      <c r="O21" s="13"/>
      <c r="P21" s="2">
        <f t="shared" si="1"/>
        <v>2177469.39</v>
      </c>
      <c r="Q21" s="2" t="s">
        <v>31</v>
      </c>
      <c r="R21" s="38"/>
      <c r="S21" s="12"/>
      <c r="T21" s="13"/>
    </row>
    <row r="22" spans="1:20" s="3" customFormat="1" hidden="1" outlineLevel="1" x14ac:dyDescent="0.25">
      <c r="A22" s="2">
        <f>ROW(DIARIO[[#This Row],[Nombre de Cuenta]])-1</f>
        <v>21</v>
      </c>
      <c r="B22" s="2"/>
      <c r="C22" s="12" t="s">
        <v>80</v>
      </c>
      <c r="D22" s="2">
        <f>VLOOKUP(C22,CATALOGO[],2,FALSE)</f>
        <v>11</v>
      </c>
      <c r="E22" s="12" t="str">
        <f>VLOOKUP(DIARIO[[#This Row],[Objeto de Gasto]],CATALOGO[],3,FALSE)</f>
        <v>12420 Decimocuarto Mes</v>
      </c>
      <c r="F22" s="12"/>
      <c r="G22" s="12" t="s">
        <v>31</v>
      </c>
      <c r="H22" s="2"/>
      <c r="I22" s="8"/>
      <c r="J22" s="2"/>
      <c r="K22" s="8"/>
      <c r="L22" s="2"/>
      <c r="M22" s="8"/>
      <c r="N22" s="13">
        <v>1640003.23</v>
      </c>
      <c r="O22" s="13"/>
      <c r="P22" s="2">
        <f t="shared" si="1"/>
        <v>1640003.23</v>
      </c>
      <c r="Q22" s="2" t="s">
        <v>31</v>
      </c>
      <c r="R22" s="38"/>
      <c r="S22" s="12"/>
      <c r="T22" s="13"/>
    </row>
    <row r="23" spans="1:20" s="3" customFormat="1" hidden="1" outlineLevel="1" x14ac:dyDescent="0.25">
      <c r="A23" s="2">
        <f>ROW(DIARIO[[#This Row],[Nombre de Cuenta]])-1</f>
        <v>22</v>
      </c>
      <c r="B23" s="2"/>
      <c r="C23" s="12" t="s">
        <v>81</v>
      </c>
      <c r="D23" s="2">
        <f>VLOOKUP(C23,CATALOGO[],2,FALSE)</f>
        <v>12</v>
      </c>
      <c r="E23" s="12" t="str">
        <f>VLOOKUP(DIARIO[[#This Row],[Objeto de Gasto]],CATALOGO[],3,FALSE)</f>
        <v>12550 Contribuciones Para El Seguro Social</v>
      </c>
      <c r="F23" s="12"/>
      <c r="G23" s="12" t="s">
        <v>31</v>
      </c>
      <c r="H23" s="2"/>
      <c r="I23" s="8"/>
      <c r="J23" s="2"/>
      <c r="K23" s="8"/>
      <c r="L23" s="2"/>
      <c r="M23" s="8"/>
      <c r="N23" s="13">
        <v>628804.94999999995</v>
      </c>
      <c r="O23" s="13"/>
      <c r="P23" s="2">
        <f t="shared" si="1"/>
        <v>628804.94999999995</v>
      </c>
      <c r="Q23" s="2" t="s">
        <v>31</v>
      </c>
      <c r="R23" s="38"/>
      <c r="S23" s="12"/>
      <c r="T23" s="13"/>
    </row>
    <row r="24" spans="1:20" s="3" customFormat="1" hidden="1" outlineLevel="1" x14ac:dyDescent="0.25">
      <c r="A24" s="2">
        <f>ROW(DIARIO[[#This Row],[Nombre de Cuenta]])-1</f>
        <v>23</v>
      </c>
      <c r="B24" s="2"/>
      <c r="C24" s="12" t="s">
        <v>84</v>
      </c>
      <c r="D24" s="2">
        <f>VLOOKUP(C24,CATALOGO[],2,FALSE)</f>
        <v>12</v>
      </c>
      <c r="E24" s="12" t="str">
        <f>VLOOKUP(DIARIO[[#This Row],[Objeto de Gasto]],CATALOGO[],3,FALSE)</f>
        <v>12550 Contribuciones Para El Seguro Social</v>
      </c>
      <c r="F24" s="12"/>
      <c r="G24" s="12" t="s">
        <v>31</v>
      </c>
      <c r="H24" s="2"/>
      <c r="I24" s="8"/>
      <c r="J24" s="2"/>
      <c r="K24" s="8"/>
      <c r="L24" s="2"/>
      <c r="M24" s="8"/>
      <c r="N24" s="13">
        <v>1344618.4</v>
      </c>
      <c r="O24" s="13"/>
      <c r="P24" s="2">
        <f t="shared" ref="P24:P34" si="2">N24-O24</f>
        <v>1344618.4</v>
      </c>
      <c r="Q24" s="2" t="s">
        <v>31</v>
      </c>
      <c r="R24" s="38"/>
      <c r="S24" s="12"/>
      <c r="T24" s="13"/>
    </row>
    <row r="25" spans="1:20" s="3" customFormat="1" hidden="1" outlineLevel="1" x14ac:dyDescent="0.25">
      <c r="A25" s="2">
        <f>ROW(DIARIO[[#This Row],[Nombre de Cuenta]])-1</f>
        <v>24</v>
      </c>
      <c r="B25" s="2"/>
      <c r="C25" s="12" t="s">
        <v>395</v>
      </c>
      <c r="D25" s="2">
        <f>VLOOKUP(C25,CATALOGO[],2,FALSE)</f>
        <v>12</v>
      </c>
      <c r="E25" s="12" t="str">
        <f>VLOOKUP(DIARIO[[#This Row],[Objeto de Gasto]],CATALOGO[],3,FALSE)</f>
        <v>12550 Contribuciones Para El Seguro Social</v>
      </c>
      <c r="F25" s="12"/>
      <c r="G25" s="12" t="s">
        <v>31</v>
      </c>
      <c r="H25" s="2"/>
      <c r="I25" s="8"/>
      <c r="J25" s="2"/>
      <c r="K25" s="8"/>
      <c r="L25" s="2"/>
      <c r="M25" s="8"/>
      <c r="N25" s="13">
        <v>2636506.65</v>
      </c>
      <c r="O25" s="13"/>
      <c r="P25" s="2">
        <f t="shared" si="2"/>
        <v>2636506.65</v>
      </c>
      <c r="Q25" s="2" t="s">
        <v>31</v>
      </c>
      <c r="R25" s="38"/>
      <c r="S25" s="12"/>
      <c r="T25" s="13"/>
    </row>
    <row r="26" spans="1:20" s="3" customFormat="1" hidden="1" outlineLevel="1" x14ac:dyDescent="0.25">
      <c r="A26" s="2">
        <f>ROW(DIARIO[[#This Row],[Nombre de Cuenta]])-1</f>
        <v>25</v>
      </c>
      <c r="B26" s="2"/>
      <c r="C26" s="12" t="s">
        <v>352</v>
      </c>
      <c r="D26" s="2">
        <f>VLOOKUP(C26,CATALOGO[],2,FALSE)</f>
        <v>63</v>
      </c>
      <c r="E26" s="12" t="str">
        <f>VLOOKUP(DIARIO[[#This Row],[Objeto de Gasto]],CATALOGO[],3,FALSE)</f>
        <v>14100 Horas Extraordinarias</v>
      </c>
      <c r="F26" s="12"/>
      <c r="G26" s="12" t="s">
        <v>31</v>
      </c>
      <c r="H26" s="2"/>
      <c r="I26" s="8"/>
      <c r="J26" s="2"/>
      <c r="K26" s="8"/>
      <c r="L26" s="2"/>
      <c r="M26" s="8"/>
      <c r="N26" s="13">
        <v>261508</v>
      </c>
      <c r="O26" s="13"/>
      <c r="P26" s="2">
        <f t="shared" si="2"/>
        <v>261508</v>
      </c>
      <c r="Q26" s="2" t="s">
        <v>31</v>
      </c>
      <c r="R26" s="38"/>
      <c r="S26" s="12"/>
      <c r="T26" s="13"/>
    </row>
    <row r="27" spans="1:20" s="3" customFormat="1" ht="30" hidden="1" outlineLevel="1" x14ac:dyDescent="0.25">
      <c r="A27" s="2">
        <f>ROW(DIARIO[[#This Row],[Nombre de Cuenta]])-1</f>
        <v>26</v>
      </c>
      <c r="B27" s="2"/>
      <c r="C27" s="12" t="s">
        <v>95</v>
      </c>
      <c r="D27" s="2">
        <f>VLOOKUP(C27,CATALOGO[],2,FALSE)</f>
        <v>14</v>
      </c>
      <c r="E27" s="12" t="str">
        <f>VLOOKUP(DIARIO[[#This Row],[Objeto de Gasto]],CATALOGO[],3,FALSE)</f>
        <v>23100 Mantenimiento Y Reparacion De Edificios Y Locales</v>
      </c>
      <c r="F27" s="12"/>
      <c r="G27" s="12" t="s">
        <v>31</v>
      </c>
      <c r="H27" s="2"/>
      <c r="I27" s="8"/>
      <c r="J27" s="2"/>
      <c r="K27" s="8"/>
      <c r="L27" s="2"/>
      <c r="M27" s="8"/>
      <c r="N27" s="13">
        <v>3498345</v>
      </c>
      <c r="O27" s="13"/>
      <c r="P27" s="2">
        <f t="shared" si="2"/>
        <v>3498345</v>
      </c>
      <c r="Q27" s="2" t="s">
        <v>31</v>
      </c>
      <c r="R27" s="38"/>
      <c r="S27" s="12"/>
      <c r="T27" s="13"/>
    </row>
    <row r="28" spans="1:20" s="3" customFormat="1" ht="30" hidden="1" outlineLevel="1" x14ac:dyDescent="0.25">
      <c r="A28" s="2">
        <f>ROW(DIARIO[[#This Row],[Nombre de Cuenta]])-1</f>
        <v>27</v>
      </c>
      <c r="B28" s="2"/>
      <c r="C28" s="12" t="s">
        <v>396</v>
      </c>
      <c r="D28" s="2">
        <f>VLOOKUP(C28,CATALOGO[],2,FALSE)</f>
        <v>14</v>
      </c>
      <c r="E28" s="12" t="str">
        <f>VLOOKUP(DIARIO[[#This Row],[Objeto de Gasto]],CATALOGO[],3,FALSE)</f>
        <v>23100 Mantenimiento Y Reparacion De Edificios Y Locales</v>
      </c>
      <c r="F28" s="12"/>
      <c r="G28" s="12" t="s">
        <v>31</v>
      </c>
      <c r="H28" s="2"/>
      <c r="I28" s="8"/>
      <c r="J28" s="2"/>
      <c r="K28" s="8"/>
      <c r="L28" s="2"/>
      <c r="M28" s="8"/>
      <c r="N28" s="13">
        <v>569656</v>
      </c>
      <c r="O28" s="13"/>
      <c r="P28" s="2">
        <f t="shared" si="2"/>
        <v>569656</v>
      </c>
      <c r="Q28" s="2" t="s">
        <v>31</v>
      </c>
      <c r="R28" s="38"/>
      <c r="S28" s="12"/>
      <c r="T28" s="13"/>
    </row>
    <row r="29" spans="1:20" s="3" customFormat="1" ht="30" hidden="1" outlineLevel="1" x14ac:dyDescent="0.25">
      <c r="A29" s="2">
        <f>ROW(DIARIO[[#This Row],[Nombre de Cuenta]])-1</f>
        <v>28</v>
      </c>
      <c r="B29" s="2"/>
      <c r="C29" s="12" t="s">
        <v>96</v>
      </c>
      <c r="D29" s="2">
        <f>VLOOKUP(C29,CATALOGO[],2,FALSE)</f>
        <v>14</v>
      </c>
      <c r="E29" s="12" t="str">
        <f>VLOOKUP(DIARIO[[#This Row],[Objeto de Gasto]],CATALOGO[],3,FALSE)</f>
        <v>23100 Mantenimiento Y Reparacion De Edificios Y Locales</v>
      </c>
      <c r="F29" s="12"/>
      <c r="G29" s="12" t="s">
        <v>31</v>
      </c>
      <c r="H29" s="2"/>
      <c r="I29" s="8"/>
      <c r="J29" s="2"/>
      <c r="K29" s="8"/>
      <c r="L29" s="2"/>
      <c r="M29" s="8"/>
      <c r="N29" s="13">
        <v>400000</v>
      </c>
      <c r="O29" s="13"/>
      <c r="P29" s="2">
        <f t="shared" si="2"/>
        <v>400000</v>
      </c>
      <c r="Q29" s="2" t="s">
        <v>31</v>
      </c>
      <c r="R29" s="38"/>
      <c r="S29" s="12"/>
      <c r="T29" s="13"/>
    </row>
    <row r="30" spans="1:20" s="3" customFormat="1" ht="30" hidden="1" outlineLevel="1" x14ac:dyDescent="0.25">
      <c r="A30" s="2">
        <f>ROW(DIARIO[[#This Row],[Nombre de Cuenta]])-1</f>
        <v>29</v>
      </c>
      <c r="B30" s="2"/>
      <c r="C30" s="12" t="s">
        <v>97</v>
      </c>
      <c r="D30" s="2">
        <f>VLOOKUP(C30,CATALOGO[],2,FALSE)</f>
        <v>15</v>
      </c>
      <c r="E30" s="12" t="str">
        <f>VLOOKUP(DIARIO[[#This Row],[Objeto de Gasto]],CATALOGO[],3,FALSE)</f>
        <v>23200 Mantenimiento Y Reparacion De Equipos Y Medios De Transporte Terrestre</v>
      </c>
      <c r="F30" s="12"/>
      <c r="G30" s="12" t="s">
        <v>31</v>
      </c>
      <c r="H30" s="2"/>
      <c r="I30" s="8"/>
      <c r="J30" s="2"/>
      <c r="K30" s="8"/>
      <c r="L30" s="2"/>
      <c r="M30" s="8"/>
      <c r="N30" s="13">
        <v>100000</v>
      </c>
      <c r="O30" s="13"/>
      <c r="P30" s="2">
        <f t="shared" si="2"/>
        <v>100000</v>
      </c>
      <c r="Q30" s="2" t="s">
        <v>31</v>
      </c>
      <c r="R30" s="38"/>
      <c r="S30" s="12"/>
      <c r="T30" s="13"/>
    </row>
    <row r="31" spans="1:20" s="3" customFormat="1" ht="30" hidden="1" outlineLevel="1" x14ac:dyDescent="0.25">
      <c r="A31" s="2">
        <f>ROW(DIARIO[[#This Row],[Nombre de Cuenta]])-1</f>
        <v>30</v>
      </c>
      <c r="B31" s="2"/>
      <c r="C31" s="12" t="s">
        <v>100</v>
      </c>
      <c r="D31" s="2">
        <f>VLOOKUP(C31,CATALOGO[],2,FALSE)</f>
        <v>15</v>
      </c>
      <c r="E31" s="12" t="str">
        <f>VLOOKUP(DIARIO[[#This Row],[Objeto de Gasto]],CATALOGO[],3,FALSE)</f>
        <v>23200 Mantenimiento Y Reparacion De Equipos Y Medios De Transporte Terrestre</v>
      </c>
      <c r="F31" s="12"/>
      <c r="G31" s="12" t="s">
        <v>31</v>
      </c>
      <c r="H31" s="2"/>
      <c r="I31" s="8"/>
      <c r="J31" s="2"/>
      <c r="K31" s="8"/>
      <c r="L31" s="2"/>
      <c r="M31" s="8"/>
      <c r="N31" s="13">
        <v>398000</v>
      </c>
      <c r="O31" s="13"/>
      <c r="P31" s="2">
        <f t="shared" si="2"/>
        <v>398000</v>
      </c>
      <c r="Q31" s="2" t="s">
        <v>31</v>
      </c>
      <c r="R31" s="38"/>
      <c r="S31" s="12"/>
      <c r="T31" s="13"/>
    </row>
    <row r="32" spans="1:20" s="3" customFormat="1" ht="30" hidden="1" outlineLevel="1" x14ac:dyDescent="0.25">
      <c r="A32" s="2">
        <f>ROW(DIARIO[[#This Row],[Nombre de Cuenta]])-1</f>
        <v>31</v>
      </c>
      <c r="B32" s="2"/>
      <c r="C32" s="12" t="s">
        <v>397</v>
      </c>
      <c r="D32" s="2">
        <f>VLOOKUP(C32,CATALOGO[],2,FALSE)</f>
        <v>15</v>
      </c>
      <c r="E32" s="12" t="str">
        <f>VLOOKUP(DIARIO[[#This Row],[Objeto de Gasto]],CATALOGO[],3,FALSE)</f>
        <v>23200 Mantenimiento Y Reparacion De Equipos Y Medios De Transporte Terrestre</v>
      </c>
      <c r="F32" s="12"/>
      <c r="G32" s="12" t="s">
        <v>31</v>
      </c>
      <c r="H32" s="2"/>
      <c r="I32" s="8"/>
      <c r="J32" s="2"/>
      <c r="K32" s="8"/>
      <c r="L32" s="2"/>
      <c r="M32" s="8"/>
      <c r="N32" s="13">
        <v>709780</v>
      </c>
      <c r="O32" s="13"/>
      <c r="P32" s="2">
        <f t="shared" si="2"/>
        <v>709780</v>
      </c>
      <c r="Q32" s="2" t="s">
        <v>31</v>
      </c>
      <c r="R32" s="38"/>
      <c r="S32" s="12"/>
      <c r="T32" s="13"/>
    </row>
    <row r="33" spans="1:20" s="3" customFormat="1" ht="30" hidden="1" outlineLevel="1" x14ac:dyDescent="0.25">
      <c r="A33" s="2">
        <f>ROW(DIARIO[[#This Row],[Nombre de Cuenta]])-1</f>
        <v>32</v>
      </c>
      <c r="B33" s="2"/>
      <c r="C33" s="12" t="s">
        <v>101</v>
      </c>
      <c r="D33" s="2">
        <f>VLOOKUP(C33,CATALOGO[],2,FALSE)</f>
        <v>15</v>
      </c>
      <c r="E33" s="12" t="str">
        <f>VLOOKUP(DIARIO[[#This Row],[Objeto de Gasto]],CATALOGO[],3,FALSE)</f>
        <v>23200 Mantenimiento Y Reparacion De Equipos Y Medios De Transporte Terrestre</v>
      </c>
      <c r="F33" s="12"/>
      <c r="G33" s="12" t="s">
        <v>31</v>
      </c>
      <c r="H33" s="2"/>
      <c r="I33" s="8"/>
      <c r="J33" s="2"/>
      <c r="K33" s="8"/>
      <c r="L33" s="2"/>
      <c r="M33" s="8"/>
      <c r="N33" s="13">
        <v>300000</v>
      </c>
      <c r="O33" s="13"/>
      <c r="P33" s="2">
        <f t="shared" si="2"/>
        <v>300000</v>
      </c>
      <c r="Q33" s="2" t="s">
        <v>31</v>
      </c>
      <c r="R33" s="38"/>
      <c r="S33" s="12"/>
      <c r="T33" s="13"/>
    </row>
    <row r="34" spans="1:20" s="3" customFormat="1" ht="30" hidden="1" outlineLevel="1" x14ac:dyDescent="0.25">
      <c r="A34" s="2">
        <f>ROW(DIARIO[[#This Row],[Nombre de Cuenta]])-1</f>
        <v>33</v>
      </c>
      <c r="B34" s="2"/>
      <c r="C34" s="12" t="s">
        <v>105</v>
      </c>
      <c r="D34" s="2">
        <f>VLOOKUP(C34,CATALOGO[],2,FALSE)</f>
        <v>16</v>
      </c>
      <c r="E34" s="12" t="str">
        <f>VLOOKUP(DIARIO[[#This Row],[Objeto de Gasto]],CATALOGO[],3,FALSE)</f>
        <v xml:space="preserve">23330 Mantenimiento Y Reparacion De Equipos Sanitarios Y Laboratorio </v>
      </c>
      <c r="F34" s="12"/>
      <c r="G34" s="12" t="s">
        <v>31</v>
      </c>
      <c r="H34" s="2"/>
      <c r="I34" s="8"/>
      <c r="J34" s="2"/>
      <c r="K34" s="8"/>
      <c r="L34" s="2"/>
      <c r="M34" s="8"/>
      <c r="N34" s="13">
        <v>306000</v>
      </c>
      <c r="O34" s="13"/>
      <c r="P34" s="2">
        <f t="shared" si="2"/>
        <v>306000</v>
      </c>
      <c r="Q34" s="2" t="s">
        <v>31</v>
      </c>
      <c r="R34" s="38"/>
      <c r="S34" s="12"/>
      <c r="T34" s="13"/>
    </row>
    <row r="35" spans="1:20" s="3" customFormat="1" ht="30" hidden="1" outlineLevel="1" x14ac:dyDescent="0.25">
      <c r="A35" s="2">
        <f>ROW(DIARIO[[#This Row],[Nombre de Cuenta]])-1</f>
        <v>34</v>
      </c>
      <c r="B35" s="2"/>
      <c r="C35" s="12" t="s">
        <v>106</v>
      </c>
      <c r="D35" s="2">
        <f>VLOOKUP(C35,CATALOGO[],2,FALSE)</f>
        <v>16</v>
      </c>
      <c r="E35" s="12" t="str">
        <f>VLOOKUP(DIARIO[[#This Row],[Objeto de Gasto]],CATALOGO[],3,FALSE)</f>
        <v xml:space="preserve">23330 Mantenimiento Y Reparacion De Equipos Sanitarios Y Laboratorio </v>
      </c>
      <c r="F35" s="12"/>
      <c r="G35" s="12" t="s">
        <v>31</v>
      </c>
      <c r="H35" s="2"/>
      <c r="I35" s="8"/>
      <c r="J35" s="2"/>
      <c r="K35" s="8"/>
      <c r="L35" s="2"/>
      <c r="M35" s="8"/>
      <c r="N35" s="13">
        <v>900000</v>
      </c>
      <c r="O35" s="13"/>
      <c r="P35" s="2">
        <f t="shared" ref="P35:P62" si="3">N35-O35</f>
        <v>900000</v>
      </c>
      <c r="Q35" s="2" t="s">
        <v>31</v>
      </c>
      <c r="R35" s="38"/>
      <c r="S35" s="12"/>
      <c r="T35" s="13"/>
    </row>
    <row r="36" spans="1:20" s="3" customFormat="1" ht="30" hidden="1" outlineLevel="1" x14ac:dyDescent="0.25">
      <c r="A36" s="2">
        <f>ROW(DIARIO[[#This Row],[Nombre de Cuenta]])-1</f>
        <v>35</v>
      </c>
      <c r="B36" s="2"/>
      <c r="C36" s="12" t="s">
        <v>110</v>
      </c>
      <c r="D36" s="2">
        <f>VLOOKUP(C36,CATALOGO[],2,FALSE)</f>
        <v>17</v>
      </c>
      <c r="E36" s="12" t="str">
        <f>VLOOKUP(DIARIO[[#This Row],[Objeto de Gasto]],CATALOGO[],3,FALSE)</f>
        <v>23350 Mantenimiento Y Reparación De Equipo De Computación</v>
      </c>
      <c r="F36" s="12"/>
      <c r="G36" s="12" t="s">
        <v>31</v>
      </c>
      <c r="H36" s="2"/>
      <c r="I36" s="8"/>
      <c r="J36" s="2"/>
      <c r="K36" s="8"/>
      <c r="L36" s="2"/>
      <c r="M36" s="8"/>
      <c r="N36" s="13">
        <v>108610</v>
      </c>
      <c r="O36" s="13"/>
      <c r="P36" s="2">
        <f t="shared" si="3"/>
        <v>108610</v>
      </c>
      <c r="Q36" s="2" t="s">
        <v>31</v>
      </c>
      <c r="R36" s="38"/>
      <c r="S36" s="12"/>
      <c r="T36" s="13"/>
    </row>
    <row r="37" spans="1:20" s="3" customFormat="1" ht="30" hidden="1" outlineLevel="1" x14ac:dyDescent="0.25">
      <c r="A37" s="2">
        <f>ROW(DIARIO[[#This Row],[Nombre de Cuenta]])-1</f>
        <v>36</v>
      </c>
      <c r="B37" s="2"/>
      <c r="C37" s="12" t="s">
        <v>398</v>
      </c>
      <c r="D37" s="2">
        <f>VLOOKUP(C37,CATALOGO[],2,FALSE)</f>
        <v>17</v>
      </c>
      <c r="E37" s="12" t="str">
        <f>VLOOKUP(DIARIO[[#This Row],[Objeto de Gasto]],CATALOGO[],3,FALSE)</f>
        <v>23350 Mantenimiento Y Reparación De Equipo De Computación</v>
      </c>
      <c r="F37" s="12"/>
      <c r="G37" s="12" t="s">
        <v>31</v>
      </c>
      <c r="H37" s="2"/>
      <c r="I37" s="8"/>
      <c r="J37" s="2"/>
      <c r="K37" s="8"/>
      <c r="L37" s="2"/>
      <c r="M37" s="8"/>
      <c r="N37" s="13">
        <v>20209</v>
      </c>
      <c r="O37" s="13"/>
      <c r="P37" s="2">
        <f t="shared" si="3"/>
        <v>20209</v>
      </c>
      <c r="Q37" s="2" t="s">
        <v>31</v>
      </c>
      <c r="R37" s="38"/>
      <c r="S37" s="12"/>
      <c r="T37" s="13"/>
    </row>
    <row r="38" spans="1:20" s="3" customFormat="1" hidden="1" outlineLevel="1" x14ac:dyDescent="0.25">
      <c r="A38" s="2">
        <f>ROW(DIARIO[[#This Row],[Nombre de Cuenta]])-1</f>
        <v>37</v>
      </c>
      <c r="B38" s="2"/>
      <c r="C38" s="12" t="s">
        <v>125</v>
      </c>
      <c r="D38" s="2">
        <f>VLOOKUP(C38,CATALOGO[],2,FALSE)</f>
        <v>20</v>
      </c>
      <c r="E38" s="12" t="str">
        <f>VLOOKUP(DIARIO[[#This Row],[Objeto de Gasto]],CATALOGO[],3,FALSE)</f>
        <v>25100 Servicios De Transporte</v>
      </c>
      <c r="F38" s="12"/>
      <c r="G38" s="12" t="s">
        <v>31</v>
      </c>
      <c r="H38" s="2"/>
      <c r="I38" s="8"/>
      <c r="J38" s="2"/>
      <c r="K38" s="8"/>
      <c r="L38" s="2"/>
      <c r="M38" s="8"/>
      <c r="N38" s="13">
        <v>27773</v>
      </c>
      <c r="O38" s="13"/>
      <c r="P38" s="2">
        <f t="shared" si="3"/>
        <v>27773</v>
      </c>
      <c r="Q38" s="2" t="s">
        <v>31</v>
      </c>
      <c r="R38" s="38"/>
      <c r="S38" s="12"/>
      <c r="T38" s="13"/>
    </row>
    <row r="39" spans="1:20" s="3" customFormat="1" hidden="1" outlineLevel="1" x14ac:dyDescent="0.25">
      <c r="A39" s="2">
        <f>ROW(DIARIO[[#This Row],[Nombre de Cuenta]])-1</f>
        <v>38</v>
      </c>
      <c r="B39" s="2"/>
      <c r="C39" s="12" t="s">
        <v>399</v>
      </c>
      <c r="D39" s="2">
        <f>VLOOKUP(C39,CATALOGO[],2,FALSE)</f>
        <v>20</v>
      </c>
      <c r="E39" s="12" t="str">
        <f>VLOOKUP(DIARIO[[#This Row],[Objeto de Gasto]],CATALOGO[],3,FALSE)</f>
        <v>25100 Servicios De Transporte</v>
      </c>
      <c r="F39" s="12"/>
      <c r="G39" s="12" t="s">
        <v>31</v>
      </c>
      <c r="H39" s="2"/>
      <c r="I39" s="8"/>
      <c r="J39" s="2"/>
      <c r="K39" s="8"/>
      <c r="L39" s="2"/>
      <c r="M39" s="8"/>
      <c r="N39" s="13">
        <v>100000</v>
      </c>
      <c r="O39" s="13"/>
      <c r="P39" s="2">
        <f t="shared" si="3"/>
        <v>100000</v>
      </c>
      <c r="Q39" s="2" t="s">
        <v>31</v>
      </c>
      <c r="R39" s="38"/>
      <c r="S39" s="12"/>
      <c r="T39" s="13"/>
    </row>
    <row r="40" spans="1:20" s="3" customFormat="1" hidden="1" outlineLevel="1" x14ac:dyDescent="0.25">
      <c r="A40" s="2">
        <f>ROW(DIARIO[[#This Row],[Nombre de Cuenta]])-1</f>
        <v>39</v>
      </c>
      <c r="B40" s="2"/>
      <c r="C40" s="12" t="s">
        <v>126</v>
      </c>
      <c r="D40" s="2">
        <f>VLOOKUP(C40,CATALOGO[],2,FALSE)</f>
        <v>20</v>
      </c>
      <c r="E40" s="12" t="str">
        <f>VLOOKUP(DIARIO[[#This Row],[Objeto de Gasto]],CATALOGO[],3,FALSE)</f>
        <v>25100 Servicios De Transporte</v>
      </c>
      <c r="F40" s="12"/>
      <c r="G40" s="12" t="s">
        <v>31</v>
      </c>
      <c r="H40" s="2"/>
      <c r="I40" s="8"/>
      <c r="J40" s="2"/>
      <c r="K40" s="8"/>
      <c r="L40" s="2"/>
      <c r="M40" s="8"/>
      <c r="N40" s="13">
        <v>198779</v>
      </c>
      <c r="O40" s="13"/>
      <c r="P40" s="2">
        <f t="shared" si="3"/>
        <v>198779</v>
      </c>
      <c r="Q40" s="2" t="s">
        <v>31</v>
      </c>
      <c r="R40" s="38"/>
      <c r="S40" s="12"/>
      <c r="T40" s="13"/>
    </row>
    <row r="41" spans="1:20" s="3" customFormat="1" hidden="1" outlineLevel="1" x14ac:dyDescent="0.25">
      <c r="A41" s="2">
        <f>ROW(DIARIO[[#This Row],[Nombre de Cuenta]])-1</f>
        <v>40</v>
      </c>
      <c r="B41" s="2"/>
      <c r="C41" s="12" t="s">
        <v>140</v>
      </c>
      <c r="D41" s="2">
        <f>VLOOKUP(C41,CATALOGO[],2,FALSE)</f>
        <v>23</v>
      </c>
      <c r="E41" s="12" t="str">
        <f>VLOOKUP(DIARIO[[#This Row],[Objeto de Gasto]],CATALOGO[],3,FALSE)</f>
        <v xml:space="preserve">25700 Servicio De Internet  </v>
      </c>
      <c r="F41" s="12"/>
      <c r="G41" s="12" t="s">
        <v>31</v>
      </c>
      <c r="H41" s="2"/>
      <c r="I41" s="8"/>
      <c r="J41" s="2"/>
      <c r="K41" s="8"/>
      <c r="L41" s="2"/>
      <c r="M41" s="8"/>
      <c r="N41" s="13">
        <v>92480</v>
      </c>
      <c r="O41" s="13"/>
      <c r="P41" s="2">
        <f t="shared" si="3"/>
        <v>92480</v>
      </c>
      <c r="Q41" s="2" t="s">
        <v>31</v>
      </c>
      <c r="R41" s="38"/>
      <c r="S41" s="12"/>
      <c r="T41" s="13"/>
    </row>
    <row r="42" spans="1:20" s="3" customFormat="1" hidden="1" outlineLevel="1" x14ac:dyDescent="0.25">
      <c r="A42" s="2">
        <f>ROW(DIARIO[[#This Row],[Nombre de Cuenta]])-1</f>
        <v>41</v>
      </c>
      <c r="B42" s="2"/>
      <c r="C42" s="12" t="s">
        <v>142</v>
      </c>
      <c r="D42" s="2">
        <f>VLOOKUP(C42,CATALOGO[],2,FALSE)</f>
        <v>24</v>
      </c>
      <c r="E42" s="12" t="str">
        <f>VLOOKUP(DIARIO[[#This Row],[Objeto de Gasto]],CATALOGO[],3,FALSE)</f>
        <v>26110 Pasajes  Nacionales</v>
      </c>
      <c r="F42" s="12"/>
      <c r="G42" s="12" t="s">
        <v>31</v>
      </c>
      <c r="H42" s="2"/>
      <c r="I42" s="8"/>
      <c r="J42" s="2"/>
      <c r="K42" s="8"/>
      <c r="L42" s="2"/>
      <c r="M42" s="8"/>
      <c r="N42" s="13">
        <v>100044</v>
      </c>
      <c r="O42" s="13"/>
      <c r="P42" s="2">
        <f t="shared" si="3"/>
        <v>100044</v>
      </c>
      <c r="Q42" s="2" t="s">
        <v>31</v>
      </c>
      <c r="R42" s="38"/>
      <c r="S42" s="12"/>
      <c r="T42" s="13"/>
    </row>
    <row r="43" spans="1:20" s="3" customFormat="1" hidden="1" outlineLevel="1" x14ac:dyDescent="0.25">
      <c r="A43" s="2">
        <f>ROW(DIARIO[[#This Row],[Nombre de Cuenta]])-1</f>
        <v>42</v>
      </c>
      <c r="B43" s="2"/>
      <c r="C43" s="12" t="s">
        <v>145</v>
      </c>
      <c r="D43" s="2">
        <f>VLOOKUP(C43,CATALOGO[],2,FALSE)</f>
        <v>24</v>
      </c>
      <c r="E43" s="12" t="str">
        <f>VLOOKUP(DIARIO[[#This Row],[Objeto de Gasto]],CATALOGO[],3,FALSE)</f>
        <v>26110 Pasajes  Nacionales</v>
      </c>
      <c r="F43" s="12"/>
      <c r="G43" s="12" t="s">
        <v>31</v>
      </c>
      <c r="H43" s="2"/>
      <c r="I43" s="8"/>
      <c r="J43" s="2"/>
      <c r="K43" s="8"/>
      <c r="L43" s="2"/>
      <c r="M43" s="8"/>
      <c r="N43" s="13">
        <v>254000</v>
      </c>
      <c r="O43" s="13"/>
      <c r="P43" s="2">
        <f t="shared" si="3"/>
        <v>254000</v>
      </c>
      <c r="Q43" s="2" t="s">
        <v>31</v>
      </c>
      <c r="R43" s="38"/>
      <c r="S43" s="12"/>
      <c r="T43" s="13"/>
    </row>
    <row r="44" spans="1:20" s="3" customFormat="1" hidden="1" outlineLevel="1" x14ac:dyDescent="0.25">
      <c r="A44" s="2">
        <f>ROW(DIARIO[[#This Row],[Nombre de Cuenta]])-1</f>
        <v>43</v>
      </c>
      <c r="B44" s="2"/>
      <c r="C44" s="12" t="s">
        <v>400</v>
      </c>
      <c r="D44" s="2">
        <f>VLOOKUP(C44,CATALOGO[],2,FALSE)</f>
        <v>24</v>
      </c>
      <c r="E44" s="12" t="str">
        <f>VLOOKUP(DIARIO[[#This Row],[Objeto de Gasto]],CATALOGO[],3,FALSE)</f>
        <v>26110 Pasajes  Nacionales</v>
      </c>
      <c r="F44" s="12"/>
      <c r="G44" s="12" t="s">
        <v>31</v>
      </c>
      <c r="H44" s="2"/>
      <c r="I44" s="8"/>
      <c r="J44" s="2"/>
      <c r="K44" s="8"/>
      <c r="L44" s="2"/>
      <c r="M44" s="8"/>
      <c r="N44" s="13">
        <v>520000</v>
      </c>
      <c r="O44" s="13"/>
      <c r="P44" s="2">
        <f t="shared" si="3"/>
        <v>520000</v>
      </c>
      <c r="Q44" s="2" t="s">
        <v>31</v>
      </c>
      <c r="R44" s="38"/>
      <c r="S44" s="12"/>
      <c r="T44" s="13"/>
    </row>
    <row r="45" spans="1:20" s="3" customFormat="1" hidden="1" outlineLevel="1" x14ac:dyDescent="0.25">
      <c r="A45" s="2">
        <f>ROW(DIARIO[[#This Row],[Nombre de Cuenta]])-1</f>
        <v>44</v>
      </c>
      <c r="B45" s="2"/>
      <c r="C45" s="12" t="s">
        <v>146</v>
      </c>
      <c r="D45" s="2">
        <f>VLOOKUP(C45,CATALOGO[],2,FALSE)</f>
        <v>24</v>
      </c>
      <c r="E45" s="12" t="str">
        <f>VLOOKUP(DIARIO[[#This Row],[Objeto de Gasto]],CATALOGO[],3,FALSE)</f>
        <v>26110 Pasajes  Nacionales</v>
      </c>
      <c r="F45" s="12"/>
      <c r="G45" s="12" t="s">
        <v>31</v>
      </c>
      <c r="H45" s="2"/>
      <c r="I45" s="8"/>
      <c r="J45" s="2"/>
      <c r="K45" s="8"/>
      <c r="L45" s="2"/>
      <c r="M45" s="8"/>
      <c r="N45" s="13">
        <v>252000</v>
      </c>
      <c r="O45" s="13"/>
      <c r="P45" s="2">
        <f t="shared" si="3"/>
        <v>252000</v>
      </c>
      <c r="Q45" s="2" t="s">
        <v>31</v>
      </c>
      <c r="R45" s="38"/>
      <c r="S45" s="12"/>
      <c r="T45" s="13"/>
    </row>
    <row r="46" spans="1:20" s="3" customFormat="1" hidden="1" outlineLevel="1" x14ac:dyDescent="0.25">
      <c r="A46" s="2">
        <f>ROW(DIARIO[[#This Row],[Nombre de Cuenta]])-1</f>
        <v>45</v>
      </c>
      <c r="B46" s="2"/>
      <c r="C46" s="12" t="s">
        <v>357</v>
      </c>
      <c r="D46" s="2">
        <f>VLOOKUP(C46,CATALOGO[],2,FALSE)</f>
        <v>64</v>
      </c>
      <c r="E46" s="12" t="str">
        <f>VLOOKUP(DIARIO[[#This Row],[Objeto de Gasto]],CATALOGO[],3,FALSE)</f>
        <v>26120 Pasajes Al Exterior</v>
      </c>
      <c r="F46" s="12"/>
      <c r="G46" s="12" t="s">
        <v>31</v>
      </c>
      <c r="H46" s="2"/>
      <c r="I46" s="8"/>
      <c r="J46" s="2"/>
      <c r="K46" s="8"/>
      <c r="L46" s="2"/>
      <c r="M46" s="8"/>
      <c r="N46" s="13">
        <v>279464</v>
      </c>
      <c r="O46" s="13"/>
      <c r="P46" s="14">
        <f t="shared" si="3"/>
        <v>279464</v>
      </c>
      <c r="Q46" s="2" t="s">
        <v>31</v>
      </c>
      <c r="R46" s="38"/>
      <c r="S46" s="12"/>
      <c r="T46" s="13"/>
    </row>
    <row r="47" spans="1:20" s="3" customFormat="1" hidden="1" outlineLevel="1" x14ac:dyDescent="0.25">
      <c r="A47" s="2">
        <f>ROW(DIARIO[[#This Row],[Nombre de Cuenta]])-1</f>
        <v>46</v>
      </c>
      <c r="B47" s="2"/>
      <c r="C47" s="12" t="s">
        <v>147</v>
      </c>
      <c r="D47" s="2">
        <f>VLOOKUP(C47,CATALOGO[],2,FALSE)</f>
        <v>25</v>
      </c>
      <c r="E47" s="12" t="str">
        <f>VLOOKUP(DIARIO[[#This Row],[Objeto de Gasto]],CATALOGO[],3,FALSE)</f>
        <v>26210 Viaticos Nacionales</v>
      </c>
      <c r="F47" s="12"/>
      <c r="G47" s="12" t="s">
        <v>31</v>
      </c>
      <c r="H47" s="2"/>
      <c r="I47" s="8"/>
      <c r="J47" s="2"/>
      <c r="K47" s="8"/>
      <c r="L47" s="2"/>
      <c r="M47" s="8"/>
      <c r="N47" s="13">
        <v>586872</v>
      </c>
      <c r="O47" s="13"/>
      <c r="P47" s="14">
        <f t="shared" si="3"/>
        <v>586872</v>
      </c>
      <c r="Q47" s="2" t="s">
        <v>31</v>
      </c>
      <c r="R47" s="38"/>
      <c r="S47" s="12"/>
      <c r="T47" s="13"/>
    </row>
    <row r="48" spans="1:20" s="3" customFormat="1" hidden="1" outlineLevel="1" x14ac:dyDescent="0.25">
      <c r="A48" s="2">
        <f>ROW(DIARIO[[#This Row],[Nombre de Cuenta]])-1</f>
        <v>47</v>
      </c>
      <c r="B48" s="2"/>
      <c r="C48" s="12" t="s">
        <v>150</v>
      </c>
      <c r="D48" s="2">
        <f>VLOOKUP(C48,CATALOGO[],2,FALSE)</f>
        <v>25</v>
      </c>
      <c r="E48" s="12" t="str">
        <f>VLOOKUP(DIARIO[[#This Row],[Objeto de Gasto]],CATALOGO[],3,FALSE)</f>
        <v>26210 Viaticos Nacionales</v>
      </c>
      <c r="F48" s="12"/>
      <c r="G48" s="12" t="s">
        <v>31</v>
      </c>
      <c r="H48" s="2"/>
      <c r="I48" s="8"/>
      <c r="J48" s="2"/>
      <c r="K48" s="8"/>
      <c r="L48" s="2"/>
      <c r="M48" s="8"/>
      <c r="N48" s="13">
        <v>268514</v>
      </c>
      <c r="O48" s="13"/>
      <c r="P48" s="14">
        <f t="shared" si="3"/>
        <v>268514</v>
      </c>
      <c r="Q48" s="2" t="s">
        <v>31</v>
      </c>
      <c r="R48" s="38"/>
      <c r="S48" s="12"/>
      <c r="T48" s="13"/>
    </row>
    <row r="49" spans="1:20" s="3" customFormat="1" hidden="1" outlineLevel="1" x14ac:dyDescent="0.25">
      <c r="A49" s="2">
        <f>ROW(DIARIO[[#This Row],[Nombre de Cuenta]])-1</f>
        <v>48</v>
      </c>
      <c r="B49" s="2"/>
      <c r="C49" s="12" t="s">
        <v>401</v>
      </c>
      <c r="D49" s="2">
        <f>VLOOKUP(C49,CATALOGO[],2,FALSE)</f>
        <v>25</v>
      </c>
      <c r="E49" s="12" t="str">
        <f>VLOOKUP(DIARIO[[#This Row],[Objeto de Gasto]],CATALOGO[],3,FALSE)</f>
        <v>26210 Viaticos Nacionales</v>
      </c>
      <c r="F49" s="12"/>
      <c r="G49" s="12" t="s">
        <v>31</v>
      </c>
      <c r="H49" s="2"/>
      <c r="I49" s="8"/>
      <c r="J49" s="2"/>
      <c r="K49" s="8"/>
      <c r="L49" s="2"/>
      <c r="M49" s="8"/>
      <c r="N49" s="13">
        <v>688200</v>
      </c>
      <c r="O49" s="13"/>
      <c r="P49" s="14">
        <f t="shared" si="3"/>
        <v>688200</v>
      </c>
      <c r="Q49" s="2" t="s">
        <v>31</v>
      </c>
      <c r="R49" s="38"/>
      <c r="S49" s="12"/>
      <c r="T49" s="13"/>
    </row>
    <row r="50" spans="1:20" s="3" customFormat="1" hidden="1" outlineLevel="1" x14ac:dyDescent="0.25">
      <c r="A50" s="2">
        <f>ROW(DIARIO[[#This Row],[Nombre de Cuenta]])-1</f>
        <v>49</v>
      </c>
      <c r="B50" s="2"/>
      <c r="C50" s="12" t="s">
        <v>151</v>
      </c>
      <c r="D50" s="2">
        <f>VLOOKUP(C50,CATALOGO[],2,FALSE)</f>
        <v>25</v>
      </c>
      <c r="E50" s="12" t="str">
        <f>VLOOKUP(DIARIO[[#This Row],[Objeto de Gasto]],CATALOGO[],3,FALSE)</f>
        <v>26210 Viaticos Nacionales</v>
      </c>
      <c r="F50" s="12"/>
      <c r="G50" s="12" t="s">
        <v>31</v>
      </c>
      <c r="H50" s="2"/>
      <c r="I50" s="8"/>
      <c r="J50" s="2"/>
      <c r="K50" s="8"/>
      <c r="L50" s="2"/>
      <c r="M50" s="8"/>
      <c r="N50" s="13">
        <v>1273677</v>
      </c>
      <c r="O50" s="13"/>
      <c r="P50" s="14">
        <f t="shared" si="3"/>
        <v>1273677</v>
      </c>
      <c r="Q50" s="2" t="s">
        <v>31</v>
      </c>
      <c r="R50" s="38"/>
      <c r="S50" s="12"/>
      <c r="T50" s="13"/>
    </row>
    <row r="51" spans="1:20" s="3" customFormat="1" hidden="1" outlineLevel="1" x14ac:dyDescent="0.25">
      <c r="A51" s="2">
        <f>ROW(DIARIO[[#This Row],[Nombre de Cuenta]])-1</f>
        <v>50</v>
      </c>
      <c r="B51" s="2"/>
      <c r="C51" s="12" t="s">
        <v>362</v>
      </c>
      <c r="D51" s="2">
        <f>VLOOKUP(C51,CATALOGO[],2,FALSE)</f>
        <v>65</v>
      </c>
      <c r="E51" s="12" t="str">
        <f>VLOOKUP(DIARIO[[#This Row],[Objeto de Gasto]],CATALOGO[],3,FALSE)</f>
        <v>26220 Viáticos Al Exterior</v>
      </c>
      <c r="F51" s="12"/>
      <c r="G51" s="12" t="s">
        <v>31</v>
      </c>
      <c r="H51" s="2"/>
      <c r="I51" s="8"/>
      <c r="J51" s="2"/>
      <c r="K51" s="8"/>
      <c r="L51" s="2"/>
      <c r="M51" s="8"/>
      <c r="N51" s="13">
        <v>331874</v>
      </c>
      <c r="O51" s="13"/>
      <c r="P51" s="14">
        <f t="shared" si="3"/>
        <v>331874</v>
      </c>
      <c r="Q51" s="2" t="s">
        <v>31</v>
      </c>
      <c r="R51" s="38"/>
      <c r="S51" s="12"/>
      <c r="T51" s="13"/>
    </row>
    <row r="52" spans="1:20" s="3" customFormat="1" hidden="1" outlineLevel="1" x14ac:dyDescent="0.25">
      <c r="A52" s="2">
        <f>ROW(DIARIO[[#This Row],[Nombre de Cuenta]])-1</f>
        <v>51</v>
      </c>
      <c r="B52" s="2"/>
      <c r="C52" s="12" t="s">
        <v>160</v>
      </c>
      <c r="D52" s="2">
        <f>VLOOKUP(C52,CATALOGO[],2,FALSE)</f>
        <v>27</v>
      </c>
      <c r="E52" s="12" t="str">
        <f>VLOOKUP(DIARIO[[#This Row],[Objeto de Gasto]],CATALOGO[],3,FALSE)</f>
        <v>29100 Ceremonial Y Protocolo</v>
      </c>
      <c r="F52" s="12"/>
      <c r="G52" s="12" t="s">
        <v>31</v>
      </c>
      <c r="H52" s="2"/>
      <c r="I52" s="8"/>
      <c r="J52" s="2"/>
      <c r="K52" s="8"/>
      <c r="L52" s="2"/>
      <c r="M52" s="8"/>
      <c r="N52" s="13">
        <v>1773236</v>
      </c>
      <c r="O52" s="13"/>
      <c r="P52" s="14">
        <f t="shared" si="3"/>
        <v>1773236</v>
      </c>
      <c r="Q52" s="2" t="s">
        <v>31</v>
      </c>
      <c r="R52" s="38"/>
      <c r="S52" s="12"/>
      <c r="T52" s="13"/>
    </row>
    <row r="53" spans="1:20" s="3" customFormat="1" hidden="1" outlineLevel="1" x14ac:dyDescent="0.25">
      <c r="A53" s="2">
        <f>ROW(DIARIO[[#This Row],[Nombre de Cuenta]])-1</f>
        <v>52</v>
      </c>
      <c r="B53" s="2"/>
      <c r="C53" s="12" t="s">
        <v>161</v>
      </c>
      <c r="D53" s="2">
        <f>VLOOKUP(C53,CATALOGO[],2,FALSE)</f>
        <v>27</v>
      </c>
      <c r="E53" s="12" t="str">
        <f>VLOOKUP(DIARIO[[#This Row],[Objeto de Gasto]],CATALOGO[],3,FALSE)</f>
        <v>29100 Ceremonial Y Protocolo</v>
      </c>
      <c r="F53" s="12"/>
      <c r="G53" s="12" t="s">
        <v>31</v>
      </c>
      <c r="H53" s="2"/>
      <c r="I53" s="8"/>
      <c r="J53" s="2"/>
      <c r="K53" s="8"/>
      <c r="L53" s="2"/>
      <c r="M53" s="8"/>
      <c r="N53" s="13">
        <v>219164</v>
      </c>
      <c r="O53" s="13"/>
      <c r="P53" s="14">
        <f t="shared" si="3"/>
        <v>219164</v>
      </c>
      <c r="Q53" s="2" t="s">
        <v>31</v>
      </c>
      <c r="R53" s="38"/>
      <c r="S53" s="12"/>
      <c r="T53" s="13"/>
    </row>
    <row r="54" spans="1:20" s="3" customFormat="1" hidden="1" outlineLevel="1" x14ac:dyDescent="0.25">
      <c r="A54" s="2">
        <f>ROW(DIARIO[[#This Row],[Nombre de Cuenta]])-1</f>
        <v>53</v>
      </c>
      <c r="B54" s="2"/>
      <c r="C54" s="12" t="s">
        <v>168</v>
      </c>
      <c r="D54" s="2">
        <f>VLOOKUP(C54,CATALOGO[],2,FALSE)</f>
        <v>29</v>
      </c>
      <c r="E54" s="12" t="str">
        <f>VLOOKUP(DIARIO[[#This Row],[Objeto de Gasto]],CATALOGO[],3,FALSE)</f>
        <v>31110 Productos Alimenticios Y Bebidas</v>
      </c>
      <c r="F54" s="12"/>
      <c r="G54" s="12" t="s">
        <v>31</v>
      </c>
      <c r="H54" s="2"/>
      <c r="I54" s="8"/>
      <c r="J54" s="2"/>
      <c r="K54" s="8"/>
      <c r="L54" s="2"/>
      <c r="M54" s="8"/>
      <c r="N54" s="13">
        <v>80278</v>
      </c>
      <c r="O54" s="13"/>
      <c r="P54" s="14">
        <f t="shared" si="3"/>
        <v>80278</v>
      </c>
      <c r="Q54" s="2" t="s">
        <v>31</v>
      </c>
      <c r="R54" s="38"/>
      <c r="S54" s="12"/>
      <c r="T54" s="13"/>
    </row>
    <row r="55" spans="1:20" s="3" customFormat="1" hidden="1" outlineLevel="1" x14ac:dyDescent="0.25">
      <c r="A55" s="2">
        <f>ROW(DIARIO[[#This Row],[Nombre de Cuenta]])-1</f>
        <v>54</v>
      </c>
      <c r="B55" s="2"/>
      <c r="C55" s="12" t="s">
        <v>171</v>
      </c>
      <c r="D55" s="2">
        <f>VLOOKUP(C55,CATALOGO[],2,FALSE)</f>
        <v>29</v>
      </c>
      <c r="E55" s="12" t="str">
        <f>VLOOKUP(DIARIO[[#This Row],[Objeto de Gasto]],CATALOGO[],3,FALSE)</f>
        <v>31110 Productos Alimenticios Y Bebidas</v>
      </c>
      <c r="F55" s="12"/>
      <c r="G55" s="12" t="s">
        <v>31</v>
      </c>
      <c r="H55" s="2"/>
      <c r="I55" s="8"/>
      <c r="J55" s="2"/>
      <c r="K55" s="8"/>
      <c r="L55" s="2"/>
      <c r="M55" s="8"/>
      <c r="N55" s="13">
        <v>6465825</v>
      </c>
      <c r="O55" s="13"/>
      <c r="P55" s="14">
        <f t="shared" si="3"/>
        <v>6465825</v>
      </c>
      <c r="Q55" s="2" t="s">
        <v>31</v>
      </c>
      <c r="R55" s="38"/>
      <c r="S55" s="12"/>
      <c r="T55" s="13"/>
    </row>
    <row r="56" spans="1:20" s="3" customFormat="1" hidden="1" outlineLevel="1" x14ac:dyDescent="0.25">
      <c r="A56" s="2">
        <f>ROW(DIARIO[[#This Row],[Nombre de Cuenta]])-1</f>
        <v>55</v>
      </c>
      <c r="B56" s="2"/>
      <c r="C56" s="12" t="s">
        <v>402</v>
      </c>
      <c r="D56" s="2">
        <f>VLOOKUP(C56,CATALOGO[],2,FALSE)</f>
        <v>29</v>
      </c>
      <c r="E56" s="12" t="str">
        <f>VLOOKUP(DIARIO[[#This Row],[Objeto de Gasto]],CATALOGO[],3,FALSE)</f>
        <v>31110 Productos Alimenticios Y Bebidas</v>
      </c>
      <c r="F56" s="12"/>
      <c r="G56" s="12" t="s">
        <v>31</v>
      </c>
      <c r="H56" s="2"/>
      <c r="I56" s="8"/>
      <c r="J56" s="2"/>
      <c r="K56" s="8"/>
      <c r="L56" s="2"/>
      <c r="M56" s="8"/>
      <c r="N56" s="13">
        <v>150000</v>
      </c>
      <c r="O56" s="13"/>
      <c r="P56" s="14">
        <f t="shared" si="3"/>
        <v>150000</v>
      </c>
      <c r="Q56" s="2" t="s">
        <v>31</v>
      </c>
      <c r="R56" s="38"/>
      <c r="S56" s="12"/>
      <c r="T56" s="13"/>
    </row>
    <row r="57" spans="1:20" s="3" customFormat="1" hidden="1" outlineLevel="1" x14ac:dyDescent="0.25">
      <c r="A57" s="2">
        <f>ROW(DIARIO[[#This Row],[Nombre de Cuenta]])-1</f>
        <v>56</v>
      </c>
      <c r="B57" s="2"/>
      <c r="C57" s="12" t="s">
        <v>172</v>
      </c>
      <c r="D57" s="2">
        <f>VLOOKUP(C57,CATALOGO[],2,FALSE)</f>
        <v>29</v>
      </c>
      <c r="E57" s="12" t="str">
        <f>VLOOKUP(DIARIO[[#This Row],[Objeto de Gasto]],CATALOGO[],3,FALSE)</f>
        <v>31110 Productos Alimenticios Y Bebidas</v>
      </c>
      <c r="F57" s="12"/>
      <c r="G57" s="12" t="s">
        <v>31</v>
      </c>
      <c r="H57" s="2"/>
      <c r="I57" s="8"/>
      <c r="J57" s="2"/>
      <c r="K57" s="8"/>
      <c r="L57" s="2"/>
      <c r="M57" s="8"/>
      <c r="N57" s="13">
        <v>802960</v>
      </c>
      <c r="O57" s="13"/>
      <c r="P57" s="14">
        <f t="shared" si="3"/>
        <v>802960</v>
      </c>
      <c r="Q57" s="2" t="s">
        <v>31</v>
      </c>
      <c r="R57" s="38"/>
      <c r="S57" s="12"/>
      <c r="T57" s="13"/>
    </row>
    <row r="58" spans="1:20" s="3" customFormat="1" hidden="1" outlineLevel="1" x14ac:dyDescent="0.25">
      <c r="A58" s="2">
        <f>ROW(DIARIO[[#This Row],[Nombre de Cuenta]])-1</f>
        <v>57</v>
      </c>
      <c r="B58" s="2"/>
      <c r="C58" s="12" t="s">
        <v>181</v>
      </c>
      <c r="D58" s="2">
        <f>VLOOKUP(C58,CATALOGO[],2,FALSE)</f>
        <v>31</v>
      </c>
      <c r="E58" s="12" t="str">
        <f>VLOOKUP(DIARIO[[#This Row],[Objeto de Gasto]],CATALOGO[],3,FALSE)</f>
        <v>32310 Prendas De Vestir</v>
      </c>
      <c r="F58" s="12"/>
      <c r="G58" s="12" t="s">
        <v>31</v>
      </c>
      <c r="H58" s="2"/>
      <c r="I58" s="8"/>
      <c r="J58" s="2"/>
      <c r="K58" s="8"/>
      <c r="L58" s="2"/>
      <c r="M58" s="8"/>
      <c r="N58" s="13">
        <v>2657500</v>
      </c>
      <c r="O58" s="13"/>
      <c r="P58" s="14">
        <f t="shared" si="3"/>
        <v>2657500</v>
      </c>
      <c r="Q58" s="2" t="s">
        <v>31</v>
      </c>
      <c r="R58" s="38"/>
      <c r="S58" s="12"/>
      <c r="T58" s="13"/>
    </row>
    <row r="59" spans="1:20" s="3" customFormat="1" hidden="1" outlineLevel="1" x14ac:dyDescent="0.25">
      <c r="A59" s="2">
        <f>ROW(DIARIO[[#This Row],[Nombre de Cuenta]])-1</f>
        <v>58</v>
      </c>
      <c r="B59" s="2"/>
      <c r="C59" s="12" t="s">
        <v>403</v>
      </c>
      <c r="D59" s="2">
        <f>VLOOKUP(C59,CATALOGO[],2,FALSE)</f>
        <v>31</v>
      </c>
      <c r="E59" s="12" t="str">
        <f>VLOOKUP(DIARIO[[#This Row],[Objeto de Gasto]],CATALOGO[],3,FALSE)</f>
        <v>32310 Prendas De Vestir</v>
      </c>
      <c r="F59" s="12"/>
      <c r="G59" s="12" t="s">
        <v>31</v>
      </c>
      <c r="H59" s="2"/>
      <c r="I59" s="8"/>
      <c r="J59" s="2"/>
      <c r="K59" s="8"/>
      <c r="L59" s="2"/>
      <c r="M59" s="8"/>
      <c r="N59" s="13">
        <v>1331518</v>
      </c>
      <c r="O59" s="13"/>
      <c r="P59" s="14">
        <f t="shared" si="3"/>
        <v>1331518</v>
      </c>
      <c r="Q59" s="2" t="s">
        <v>31</v>
      </c>
      <c r="R59" s="38"/>
      <c r="S59" s="12"/>
      <c r="T59" s="13"/>
    </row>
    <row r="60" spans="1:20" s="3" customFormat="1" hidden="1" outlineLevel="1" x14ac:dyDescent="0.25">
      <c r="A60" s="2">
        <f>ROW(DIARIO[[#This Row],[Nombre de Cuenta]])-1</f>
        <v>59</v>
      </c>
      <c r="B60" s="2"/>
      <c r="C60" s="12" t="s">
        <v>182</v>
      </c>
      <c r="D60" s="2">
        <f>VLOOKUP(C60,CATALOGO[],2,FALSE)</f>
        <v>31</v>
      </c>
      <c r="E60" s="12" t="str">
        <f>VLOOKUP(DIARIO[[#This Row],[Objeto de Gasto]],CATALOGO[],3,FALSE)</f>
        <v>32310 Prendas De Vestir</v>
      </c>
      <c r="F60" s="12"/>
      <c r="G60" s="12" t="s">
        <v>31</v>
      </c>
      <c r="H60" s="2"/>
      <c r="I60" s="8"/>
      <c r="J60" s="2"/>
      <c r="K60" s="8"/>
      <c r="L60" s="2"/>
      <c r="M60" s="8"/>
      <c r="N60" s="13">
        <v>1950000</v>
      </c>
      <c r="O60" s="13"/>
      <c r="P60" s="14">
        <f t="shared" si="3"/>
        <v>1950000</v>
      </c>
      <c r="Q60" s="2" t="s">
        <v>31</v>
      </c>
      <c r="R60" s="38"/>
      <c r="S60" s="12"/>
      <c r="T60" s="13"/>
    </row>
    <row r="61" spans="1:20" s="3" customFormat="1" hidden="1" outlineLevel="1" x14ac:dyDescent="0.25">
      <c r="A61" s="2">
        <f>ROW(DIARIO[[#This Row],[Nombre de Cuenta]])-1</f>
        <v>60</v>
      </c>
      <c r="B61" s="2"/>
      <c r="C61" s="12" t="s">
        <v>404</v>
      </c>
      <c r="D61" s="2">
        <f>VLOOKUP(C61,CATALOGO[],2,FALSE)</f>
        <v>32</v>
      </c>
      <c r="E61" s="12" t="str">
        <f>VLOOKUP(DIARIO[[#This Row],[Objeto de Gasto]],CATALOGO[],3,FALSE)</f>
        <v>32400 Calzado</v>
      </c>
      <c r="F61" s="12"/>
      <c r="G61" s="12" t="s">
        <v>31</v>
      </c>
      <c r="H61" s="2"/>
      <c r="I61" s="8"/>
      <c r="J61" s="2"/>
      <c r="K61" s="8"/>
      <c r="L61" s="2"/>
      <c r="M61" s="8"/>
      <c r="N61" s="13">
        <v>151460</v>
      </c>
      <c r="O61" s="13"/>
      <c r="P61" s="14">
        <f t="shared" si="3"/>
        <v>151460</v>
      </c>
      <c r="Q61" s="2" t="s">
        <v>31</v>
      </c>
      <c r="R61" s="38"/>
      <c r="S61" s="12"/>
      <c r="T61" s="13"/>
    </row>
    <row r="62" spans="1:20" s="3" customFormat="1" hidden="1" outlineLevel="1" x14ac:dyDescent="0.25">
      <c r="A62" s="2">
        <f>ROW(DIARIO[[#This Row],[Nombre de Cuenta]])-1</f>
        <v>61</v>
      </c>
      <c r="B62" s="2"/>
      <c r="C62" s="12" t="s">
        <v>188</v>
      </c>
      <c r="D62" s="2">
        <f>VLOOKUP(C62,CATALOGO[],2,FALSE)</f>
        <v>33</v>
      </c>
      <c r="E62" s="12" t="str">
        <f>VLOOKUP(DIARIO[[#This Row],[Objeto de Gasto]],CATALOGO[],3,FALSE)</f>
        <v xml:space="preserve">33100 Productos De Papel Y Carton </v>
      </c>
      <c r="F62" s="12"/>
      <c r="G62" s="12" t="s">
        <v>31</v>
      </c>
      <c r="H62" s="2"/>
      <c r="I62" s="8"/>
      <c r="J62" s="2"/>
      <c r="K62" s="8"/>
      <c r="L62" s="2"/>
      <c r="M62" s="8"/>
      <c r="N62" s="13">
        <v>191265</v>
      </c>
      <c r="O62" s="13"/>
      <c r="P62" s="14">
        <f t="shared" si="3"/>
        <v>191265</v>
      </c>
      <c r="Q62" s="2" t="s">
        <v>31</v>
      </c>
      <c r="R62" s="38"/>
      <c r="S62" s="12"/>
      <c r="T62" s="13"/>
    </row>
    <row r="63" spans="1:20" s="3" customFormat="1" hidden="1" outlineLevel="1" x14ac:dyDescent="0.25">
      <c r="A63" s="2">
        <f>ROW(DIARIO[[#This Row],[Nombre de Cuenta]])-1</f>
        <v>62</v>
      </c>
      <c r="B63" s="2"/>
      <c r="C63" s="12" t="s">
        <v>191</v>
      </c>
      <c r="D63" s="2">
        <f>VLOOKUP(C63,CATALOGO[],2,FALSE)</f>
        <v>33</v>
      </c>
      <c r="E63" s="12" t="str">
        <f>VLOOKUP(DIARIO[[#This Row],[Objeto de Gasto]],CATALOGO[],3,FALSE)</f>
        <v xml:space="preserve">33100 Productos De Papel Y Carton </v>
      </c>
      <c r="F63" s="12"/>
      <c r="G63" s="12" t="s">
        <v>31</v>
      </c>
      <c r="H63" s="2"/>
      <c r="I63" s="8"/>
      <c r="J63" s="2"/>
      <c r="K63" s="8"/>
      <c r="L63" s="2"/>
      <c r="M63" s="8"/>
      <c r="N63" s="13">
        <v>100000</v>
      </c>
      <c r="O63" s="13"/>
      <c r="P63" s="14">
        <f t="shared" ref="P63:P64" si="4">N63-O63</f>
        <v>100000</v>
      </c>
      <c r="Q63" s="2" t="s">
        <v>31</v>
      </c>
      <c r="R63" s="38"/>
      <c r="S63" s="12"/>
      <c r="T63" s="13"/>
    </row>
    <row r="64" spans="1:20" s="3" customFormat="1" hidden="1" outlineLevel="1" x14ac:dyDescent="0.25">
      <c r="A64" s="2">
        <f>ROW(DIARIO[[#This Row],[Nombre de Cuenta]])-1</f>
        <v>63</v>
      </c>
      <c r="B64" s="2"/>
      <c r="C64" s="12" t="s">
        <v>405</v>
      </c>
      <c r="D64" s="2">
        <f>VLOOKUP(C64,CATALOGO[],2,FALSE)</f>
        <v>33</v>
      </c>
      <c r="E64" s="12" t="str">
        <f>VLOOKUP(DIARIO[[#This Row],[Objeto de Gasto]],CATALOGO[],3,FALSE)</f>
        <v xml:space="preserve">33100 Productos De Papel Y Carton </v>
      </c>
      <c r="F64" s="12"/>
      <c r="G64" s="12" t="s">
        <v>31</v>
      </c>
      <c r="H64" s="2"/>
      <c r="I64" s="8"/>
      <c r="J64" s="2"/>
      <c r="K64" s="8"/>
      <c r="L64" s="2"/>
      <c r="M64" s="8"/>
      <c r="N64" s="13">
        <v>96971</v>
      </c>
      <c r="O64" s="13"/>
      <c r="P64" s="14">
        <f t="shared" si="4"/>
        <v>96971</v>
      </c>
      <c r="Q64" s="2" t="s">
        <v>31</v>
      </c>
      <c r="R64" s="38"/>
      <c r="S64" s="12"/>
      <c r="T64" s="13"/>
    </row>
    <row r="65" spans="1:20" s="3" customFormat="1" hidden="1" outlineLevel="1" x14ac:dyDescent="0.25">
      <c r="A65" s="2">
        <f>ROW(DIARIO[[#This Row],[Nombre de Cuenta]])-1</f>
        <v>64</v>
      </c>
      <c r="B65" s="2"/>
      <c r="C65" s="12" t="s">
        <v>192</v>
      </c>
      <c r="D65" s="2">
        <f>VLOOKUP(C65,CATALOGO[],2,FALSE)</f>
        <v>33</v>
      </c>
      <c r="E65" s="12" t="str">
        <f>VLOOKUP(DIARIO[[#This Row],[Objeto de Gasto]],CATALOGO[],3,FALSE)</f>
        <v xml:space="preserve">33100 Productos De Papel Y Carton </v>
      </c>
      <c r="F65" s="12"/>
      <c r="G65" s="12" t="s">
        <v>31</v>
      </c>
      <c r="H65" s="2"/>
      <c r="I65" s="8"/>
      <c r="J65" s="2"/>
      <c r="K65" s="8"/>
      <c r="L65" s="2"/>
      <c r="M65" s="8"/>
      <c r="N65" s="13">
        <v>70000</v>
      </c>
      <c r="O65" s="13"/>
      <c r="P65" s="14">
        <f t="shared" ref="P65:P66" si="5">N65-O65</f>
        <v>70000</v>
      </c>
      <c r="Q65" s="2" t="s">
        <v>31</v>
      </c>
      <c r="R65" s="38"/>
      <c r="S65" s="12"/>
      <c r="T65" s="13"/>
    </row>
    <row r="66" spans="1:20" s="3" customFormat="1" hidden="1" outlineLevel="1" x14ac:dyDescent="0.25">
      <c r="A66" s="2">
        <f>ROW(DIARIO[[#This Row],[Nombre de Cuenta]])-1</f>
        <v>65</v>
      </c>
      <c r="B66" s="2"/>
      <c r="C66" s="12" t="s">
        <v>196</v>
      </c>
      <c r="D66" s="2">
        <f>VLOOKUP(C66,CATALOGO[],2,FALSE)</f>
        <v>34</v>
      </c>
      <c r="E66" s="12" t="str">
        <f>VLOOKUP(DIARIO[[#This Row],[Objeto de Gasto]],CATALOGO[],3,FALSE)</f>
        <v>33300 Productos De Artes Graficas</v>
      </c>
      <c r="F66" s="12"/>
      <c r="G66" s="12" t="s">
        <v>31</v>
      </c>
      <c r="H66" s="2"/>
      <c r="I66" s="8"/>
      <c r="J66" s="2"/>
      <c r="K66" s="8"/>
      <c r="L66" s="2"/>
      <c r="M66" s="8"/>
      <c r="N66" s="13">
        <v>2708000</v>
      </c>
      <c r="O66" s="13"/>
      <c r="P66" s="14">
        <f t="shared" si="5"/>
        <v>2708000</v>
      </c>
      <c r="Q66" s="2" t="s">
        <v>31</v>
      </c>
      <c r="R66" s="38"/>
      <c r="S66" s="12"/>
      <c r="T66" s="13"/>
    </row>
    <row r="67" spans="1:20" s="3" customFormat="1" hidden="1" outlineLevel="1" x14ac:dyDescent="0.25">
      <c r="A67" s="2">
        <f>ROW(DIARIO[[#This Row],[Nombre de Cuenta]])-1</f>
        <v>66</v>
      </c>
      <c r="B67" s="2"/>
      <c r="C67" s="12" t="s">
        <v>406</v>
      </c>
      <c r="D67" s="2">
        <f>VLOOKUP(C67,CATALOGO[],2,FALSE)</f>
        <v>34</v>
      </c>
      <c r="E67" s="12" t="str">
        <f>VLOOKUP(DIARIO[[#This Row],[Objeto de Gasto]],CATALOGO[],3,FALSE)</f>
        <v>33300 Productos De Artes Graficas</v>
      </c>
      <c r="F67" s="12"/>
      <c r="G67" s="12" t="s">
        <v>31</v>
      </c>
      <c r="H67" s="2"/>
      <c r="I67" s="8"/>
      <c r="J67" s="2"/>
      <c r="K67" s="8"/>
      <c r="L67" s="2"/>
      <c r="M67" s="8"/>
      <c r="N67" s="13">
        <v>959000</v>
      </c>
      <c r="O67" s="13"/>
      <c r="P67" s="14">
        <f t="shared" ref="P67:P68" si="6">N67-O67</f>
        <v>959000</v>
      </c>
      <c r="Q67" s="2" t="s">
        <v>31</v>
      </c>
      <c r="R67" s="38"/>
      <c r="S67" s="12"/>
      <c r="T67" s="13"/>
    </row>
    <row r="68" spans="1:20" s="3" customFormat="1" hidden="1" outlineLevel="1" x14ac:dyDescent="0.25">
      <c r="A68" s="2">
        <f>ROW(DIARIO[[#This Row],[Nombre de Cuenta]])-1</f>
        <v>67</v>
      </c>
      <c r="B68" s="2"/>
      <c r="C68" s="12" t="s">
        <v>197</v>
      </c>
      <c r="D68" s="2">
        <f>VLOOKUP(C68,CATALOGO[],2,FALSE)</f>
        <v>34</v>
      </c>
      <c r="E68" s="12" t="str">
        <f>VLOOKUP(DIARIO[[#This Row],[Objeto de Gasto]],CATALOGO[],3,FALSE)</f>
        <v>33300 Productos De Artes Graficas</v>
      </c>
      <c r="F68" s="12"/>
      <c r="G68" s="12" t="s">
        <v>31</v>
      </c>
      <c r="H68" s="2"/>
      <c r="I68" s="8"/>
      <c r="J68" s="2"/>
      <c r="K68" s="8"/>
      <c r="L68" s="2"/>
      <c r="M68" s="8"/>
      <c r="N68" s="13">
        <v>862584</v>
      </c>
      <c r="O68" s="13"/>
      <c r="P68" s="14">
        <f t="shared" si="6"/>
        <v>862584</v>
      </c>
      <c r="Q68" s="2" t="s">
        <v>31</v>
      </c>
      <c r="R68" s="38"/>
      <c r="S68" s="12"/>
      <c r="T68" s="13"/>
    </row>
    <row r="69" spans="1:20" s="3" customFormat="1" hidden="1" outlineLevel="1" x14ac:dyDescent="0.25">
      <c r="A69" s="2">
        <f>ROW(DIARIO[[#This Row],[Nombre de Cuenta]])-1</f>
        <v>68</v>
      </c>
      <c r="B69" s="2"/>
      <c r="C69" s="12" t="s">
        <v>198</v>
      </c>
      <c r="D69" s="2">
        <f>VLOOKUP(C69,CATALOGO[],2,FALSE)</f>
        <v>35</v>
      </c>
      <c r="E69" s="12" t="str">
        <f>VLOOKUP(DIARIO[[#This Row],[Objeto de Gasto]],CATALOGO[],3,FALSE)</f>
        <v>34400 Llantas Y Camaras De Aire</v>
      </c>
      <c r="F69" s="12"/>
      <c r="G69" s="12" t="s">
        <v>31</v>
      </c>
      <c r="H69" s="2"/>
      <c r="I69" s="8"/>
      <c r="J69" s="2"/>
      <c r="K69" s="8"/>
      <c r="L69" s="2"/>
      <c r="M69" s="8"/>
      <c r="N69" s="13">
        <v>255000</v>
      </c>
      <c r="O69" s="13"/>
      <c r="P69" s="14">
        <f t="shared" ref="P69:P70" si="7">N69-O69</f>
        <v>255000</v>
      </c>
      <c r="Q69" s="2" t="s">
        <v>31</v>
      </c>
      <c r="R69" s="38"/>
      <c r="S69" s="12"/>
      <c r="T69" s="13"/>
    </row>
    <row r="70" spans="1:20" s="3" customFormat="1" hidden="1" outlineLevel="1" x14ac:dyDescent="0.25">
      <c r="A70" s="2">
        <f>ROW(DIARIO[[#This Row],[Nombre de Cuenta]])-1</f>
        <v>69</v>
      </c>
      <c r="B70" s="2"/>
      <c r="C70" s="12" t="s">
        <v>201</v>
      </c>
      <c r="D70" s="2">
        <f>VLOOKUP(C70,CATALOGO[],2,FALSE)</f>
        <v>35</v>
      </c>
      <c r="E70" s="12" t="str">
        <f>VLOOKUP(DIARIO[[#This Row],[Objeto de Gasto]],CATALOGO[],3,FALSE)</f>
        <v>34400 Llantas Y Camaras De Aire</v>
      </c>
      <c r="F70" s="12"/>
      <c r="G70" s="12" t="s">
        <v>31</v>
      </c>
      <c r="H70" s="2"/>
      <c r="I70" s="8"/>
      <c r="J70" s="2"/>
      <c r="K70" s="8"/>
      <c r="L70" s="2"/>
      <c r="M70" s="8"/>
      <c r="N70" s="13">
        <v>100000</v>
      </c>
      <c r="O70" s="13"/>
      <c r="P70" s="14">
        <f t="shared" si="7"/>
        <v>100000</v>
      </c>
      <c r="Q70" s="2" t="s">
        <v>31</v>
      </c>
      <c r="R70" s="38"/>
      <c r="S70" s="12"/>
      <c r="T70" s="13"/>
    </row>
    <row r="71" spans="1:20" s="3" customFormat="1" hidden="1" outlineLevel="1" x14ac:dyDescent="0.25">
      <c r="A71" s="2">
        <f>ROW(DIARIO[[#This Row],[Nombre de Cuenta]])-1</f>
        <v>70</v>
      </c>
      <c r="B71" s="2"/>
      <c r="C71" s="12" t="s">
        <v>407</v>
      </c>
      <c r="D71" s="2">
        <f>VLOOKUP(C71,CATALOGO[],2,FALSE)</f>
        <v>35</v>
      </c>
      <c r="E71" s="12" t="str">
        <f>VLOOKUP(DIARIO[[#This Row],[Objeto de Gasto]],CATALOGO[],3,FALSE)</f>
        <v>34400 Llantas Y Camaras De Aire</v>
      </c>
      <c r="F71" s="12"/>
      <c r="G71" s="12" t="s">
        <v>31</v>
      </c>
      <c r="H71" s="2"/>
      <c r="I71" s="8"/>
      <c r="J71" s="2"/>
      <c r="K71" s="8"/>
      <c r="L71" s="2"/>
      <c r="M71" s="8"/>
      <c r="N71" s="13">
        <v>209293</v>
      </c>
      <c r="O71" s="13"/>
      <c r="P71" s="14">
        <f t="shared" ref="P71:P72" si="8">N71-O71</f>
        <v>209293</v>
      </c>
      <c r="Q71" s="2" t="s">
        <v>31</v>
      </c>
      <c r="R71" s="38"/>
      <c r="S71" s="12"/>
      <c r="T71" s="13"/>
    </row>
    <row r="72" spans="1:20" s="3" customFormat="1" hidden="1" outlineLevel="1" x14ac:dyDescent="0.25">
      <c r="A72" s="2">
        <f>ROW(DIARIO[[#This Row],[Nombre de Cuenta]])-1</f>
        <v>71</v>
      </c>
      <c r="B72" s="2"/>
      <c r="C72" s="12" t="s">
        <v>202</v>
      </c>
      <c r="D72" s="2">
        <f>VLOOKUP(C72,CATALOGO[],2,FALSE)</f>
        <v>35</v>
      </c>
      <c r="E72" s="12" t="str">
        <f>VLOOKUP(DIARIO[[#This Row],[Objeto de Gasto]],CATALOGO[],3,FALSE)</f>
        <v>34400 Llantas Y Camaras De Aire</v>
      </c>
      <c r="F72" s="12"/>
      <c r="G72" s="12" t="s">
        <v>31</v>
      </c>
      <c r="H72" s="2"/>
      <c r="I72" s="8"/>
      <c r="J72" s="2"/>
      <c r="K72" s="8"/>
      <c r="L72" s="2"/>
      <c r="M72" s="8"/>
      <c r="N72" s="13">
        <v>80000</v>
      </c>
      <c r="O72" s="13"/>
      <c r="P72" s="14">
        <f t="shared" si="8"/>
        <v>80000</v>
      </c>
      <c r="Q72" s="2" t="s">
        <v>31</v>
      </c>
      <c r="R72" s="38"/>
      <c r="S72" s="12"/>
      <c r="T72" s="13"/>
    </row>
    <row r="73" spans="1:20" s="3" customFormat="1" hidden="1" outlineLevel="1" x14ac:dyDescent="0.25">
      <c r="A73" s="2">
        <f>ROW(DIARIO[[#This Row],[Nombre de Cuenta]])-1</f>
        <v>72</v>
      </c>
      <c r="B73" s="2"/>
      <c r="C73" s="12" t="s">
        <v>221</v>
      </c>
      <c r="D73" s="2">
        <f>VLOOKUP(C73,CATALOGO[],2,FALSE)</f>
        <v>39</v>
      </c>
      <c r="E73" s="12" t="str">
        <f>VLOOKUP(DIARIO[[#This Row],[Objeto de Gasto]],CATALOGO[],3,FALSE)</f>
        <v>35210 Productos Farmaceuticos Y Medicinales</v>
      </c>
      <c r="F73" s="12"/>
      <c r="G73" s="12" t="s">
        <v>31</v>
      </c>
      <c r="H73" s="2"/>
      <c r="I73" s="8"/>
      <c r="J73" s="2"/>
      <c r="K73" s="8"/>
      <c r="L73" s="2"/>
      <c r="M73" s="8"/>
      <c r="N73" s="13">
        <v>8355220</v>
      </c>
      <c r="O73" s="13"/>
      <c r="P73" s="14">
        <f t="shared" ref="P73:P74" si="9">N73-O73</f>
        <v>8355220</v>
      </c>
      <c r="Q73" s="2" t="s">
        <v>31</v>
      </c>
      <c r="R73" s="38"/>
      <c r="S73" s="12"/>
      <c r="T73" s="13"/>
    </row>
    <row r="74" spans="1:20" s="3" customFormat="1" hidden="1" outlineLevel="1" x14ac:dyDescent="0.25">
      <c r="A74" s="2">
        <f>ROW(DIARIO[[#This Row],[Nombre de Cuenta]])-1</f>
        <v>73</v>
      </c>
      <c r="B74" s="2"/>
      <c r="C74" s="12" t="s">
        <v>408</v>
      </c>
      <c r="D74" s="2">
        <f>VLOOKUP(C74,CATALOGO[],2,FALSE)</f>
        <v>39</v>
      </c>
      <c r="E74" s="12" t="str">
        <f>VLOOKUP(DIARIO[[#This Row],[Objeto de Gasto]],CATALOGO[],3,FALSE)</f>
        <v>35210 Productos Farmaceuticos Y Medicinales</v>
      </c>
      <c r="F74" s="12"/>
      <c r="G74" s="12" t="s">
        <v>31</v>
      </c>
      <c r="H74" s="2"/>
      <c r="I74" s="8"/>
      <c r="J74" s="2"/>
      <c r="K74" s="8"/>
      <c r="L74" s="2"/>
      <c r="M74" s="8"/>
      <c r="N74" s="13">
        <v>89000</v>
      </c>
      <c r="O74" s="13"/>
      <c r="P74" s="14">
        <f t="shared" si="9"/>
        <v>89000</v>
      </c>
      <c r="Q74" s="2" t="s">
        <v>31</v>
      </c>
      <c r="R74" s="38"/>
      <c r="S74" s="12"/>
      <c r="T74" s="13"/>
    </row>
    <row r="75" spans="1:20" s="3" customFormat="1" hidden="1" outlineLevel="1" x14ac:dyDescent="0.25">
      <c r="A75" s="2">
        <f>ROW(DIARIO[[#This Row],[Nombre de Cuenta]])-1</f>
        <v>74</v>
      </c>
      <c r="B75" s="2"/>
      <c r="C75" s="12" t="s">
        <v>216</v>
      </c>
      <c r="D75" s="2">
        <f>VLOOKUP(C75,CATALOGO[],2,FALSE)</f>
        <v>38</v>
      </c>
      <c r="E75" s="12" t="str">
        <f>VLOOKUP(DIARIO[[#This Row],[Objeto de Gasto]],CATALOGO[],3,FALSE)</f>
        <v>35230 Antirretrovirales</v>
      </c>
      <c r="F75" s="12"/>
      <c r="G75" s="12" t="s">
        <v>31</v>
      </c>
      <c r="H75" s="2"/>
      <c r="I75" s="8"/>
      <c r="J75" s="2"/>
      <c r="K75" s="8"/>
      <c r="L75" s="2"/>
      <c r="M75" s="8"/>
      <c r="N75" s="13">
        <v>25000000</v>
      </c>
      <c r="O75" s="13"/>
      <c r="P75" s="14">
        <f t="shared" ref="P75:P76" si="10">N75-O75</f>
        <v>25000000</v>
      </c>
      <c r="Q75" s="2" t="s">
        <v>31</v>
      </c>
      <c r="R75" s="38"/>
      <c r="S75" s="12"/>
      <c r="T75" s="13"/>
    </row>
    <row r="76" spans="1:20" s="3" customFormat="1" hidden="1" outlineLevel="1" x14ac:dyDescent="0.25">
      <c r="A76" s="2">
        <f>ROW(DIARIO[[#This Row],[Nombre de Cuenta]])-1</f>
        <v>75</v>
      </c>
      <c r="B76" s="2"/>
      <c r="C76" s="12" t="s">
        <v>409</v>
      </c>
      <c r="D76" s="2">
        <f>VLOOKUP(C76,CATALOGO[],2,FALSE)</f>
        <v>37</v>
      </c>
      <c r="E76" s="12" t="str">
        <f>VLOOKUP(DIARIO[[#This Row],[Objeto de Gasto]],CATALOGO[],3,FALSE)</f>
        <v>35251 Reactivos</v>
      </c>
      <c r="F76" s="12"/>
      <c r="G76" s="12" t="s">
        <v>31</v>
      </c>
      <c r="H76" s="2"/>
      <c r="I76" s="8"/>
      <c r="J76" s="2"/>
      <c r="K76" s="8"/>
      <c r="L76" s="2"/>
      <c r="M76" s="8"/>
      <c r="N76" s="13">
        <v>12399788</v>
      </c>
      <c r="O76" s="13"/>
      <c r="P76" s="14">
        <f t="shared" si="10"/>
        <v>12399788</v>
      </c>
      <c r="Q76" s="2" t="s">
        <v>31</v>
      </c>
      <c r="R76" s="38"/>
      <c r="S76" s="12"/>
      <c r="T76" s="13"/>
    </row>
    <row r="77" spans="1:20" s="3" customFormat="1" hidden="1" outlineLevel="1" x14ac:dyDescent="0.25">
      <c r="A77" s="2">
        <f>ROW(DIARIO[[#This Row],[Nombre de Cuenta]])-1</f>
        <v>76</v>
      </c>
      <c r="B77" s="2"/>
      <c r="C77" s="12" t="s">
        <v>212</v>
      </c>
      <c r="D77" s="2">
        <f>VLOOKUP(C77,CATALOGO[],2,FALSE)</f>
        <v>37</v>
      </c>
      <c r="E77" s="12" t="str">
        <f>VLOOKUP(DIARIO[[#This Row],[Objeto de Gasto]],CATALOGO[],3,FALSE)</f>
        <v>35251 Reactivos</v>
      </c>
      <c r="F77" s="12"/>
      <c r="G77" s="12" t="s">
        <v>31</v>
      </c>
      <c r="H77" s="2"/>
      <c r="I77" s="8"/>
      <c r="J77" s="2"/>
      <c r="K77" s="8"/>
      <c r="L77" s="2"/>
      <c r="M77" s="8"/>
      <c r="N77" s="13">
        <v>10918871</v>
      </c>
      <c r="O77" s="13"/>
      <c r="P77" s="14">
        <f t="shared" ref="P77:P78" si="11">N77-O77</f>
        <v>10918871</v>
      </c>
      <c r="Q77" s="2" t="s">
        <v>31</v>
      </c>
      <c r="R77" s="38"/>
      <c r="S77" s="12"/>
      <c r="T77" s="13"/>
    </row>
    <row r="78" spans="1:20" s="3" customFormat="1" hidden="1" outlineLevel="1" x14ac:dyDescent="0.25">
      <c r="A78" s="2">
        <f>ROW(DIARIO[[#This Row],[Nombre de Cuenta]])-1</f>
        <v>77</v>
      </c>
      <c r="B78" s="2"/>
      <c r="C78" s="12" t="s">
        <v>226</v>
      </c>
      <c r="D78" s="2">
        <f>VLOOKUP(C78,CATALOGO[],2,FALSE)</f>
        <v>40</v>
      </c>
      <c r="E78" s="12" t="str">
        <f>VLOOKUP(DIARIO[[#This Row],[Objeto de Gasto]],CATALOGO[],3,FALSE)</f>
        <v>35252 Reactivo (VIH)</v>
      </c>
      <c r="F78" s="12"/>
      <c r="G78" s="12" t="s">
        <v>31</v>
      </c>
      <c r="H78" s="2"/>
      <c r="I78" s="8"/>
      <c r="J78" s="2"/>
      <c r="K78" s="8"/>
      <c r="L78" s="2"/>
      <c r="M78" s="8"/>
      <c r="N78" s="13">
        <v>68820366</v>
      </c>
      <c r="O78" s="13"/>
      <c r="P78" s="14">
        <f t="shared" si="11"/>
        <v>68820366</v>
      </c>
      <c r="Q78" s="2" t="s">
        <v>31</v>
      </c>
      <c r="R78" s="38"/>
      <c r="S78" s="12"/>
      <c r="T78" s="13"/>
    </row>
    <row r="79" spans="1:20" s="3" customFormat="1" hidden="1" outlineLevel="1" x14ac:dyDescent="0.25">
      <c r="A79" s="2">
        <f>ROW(DIARIO[[#This Row],[Nombre de Cuenta]])-1</f>
        <v>78</v>
      </c>
      <c r="B79" s="2"/>
      <c r="C79" s="12" t="s">
        <v>410</v>
      </c>
      <c r="D79" s="2">
        <f>VLOOKUP(C79,CATALOGO[],2,FALSE)</f>
        <v>41</v>
      </c>
      <c r="E79" s="12" t="str">
        <f>VLOOKUP(DIARIO[[#This Row],[Objeto de Gasto]],CATALOGO[],3,FALSE)</f>
        <v>35400 Insecticidas, Fumigantes Y Otros</v>
      </c>
      <c r="F79" s="12"/>
      <c r="G79" s="12" t="s">
        <v>31</v>
      </c>
      <c r="H79" s="2"/>
      <c r="I79" s="8"/>
      <c r="J79" s="2"/>
      <c r="K79" s="8"/>
      <c r="L79" s="2"/>
      <c r="M79" s="8"/>
      <c r="N79" s="13">
        <v>12000000</v>
      </c>
      <c r="O79" s="13"/>
      <c r="P79" s="14">
        <f t="shared" ref="P79:P80" si="12">N79-O79</f>
        <v>12000000</v>
      </c>
      <c r="Q79" s="2" t="s">
        <v>31</v>
      </c>
      <c r="R79" s="38"/>
      <c r="S79" s="12"/>
      <c r="T79" s="13"/>
    </row>
    <row r="80" spans="1:20" s="3" customFormat="1" hidden="1" outlineLevel="1" x14ac:dyDescent="0.25">
      <c r="A80" s="2">
        <f>ROW(DIARIO[[#This Row],[Nombre de Cuenta]])-1</f>
        <v>79</v>
      </c>
      <c r="B80" s="2"/>
      <c r="C80" s="12" t="s">
        <v>411</v>
      </c>
      <c r="D80" s="2">
        <f>VLOOKUP(C80,CATALOGO[],2,FALSE)</f>
        <v>66</v>
      </c>
      <c r="E80" s="12" t="str">
        <f>VLOOKUP(DIARIO[[#This Row],[Objeto de Gasto]],CATALOGO[],3,FALSE)</f>
        <v>35610 Gasolina</v>
      </c>
      <c r="F80" s="12"/>
      <c r="G80" s="12" t="s">
        <v>31</v>
      </c>
      <c r="H80" s="2"/>
      <c r="I80" s="8"/>
      <c r="J80" s="2"/>
      <c r="K80" s="8"/>
      <c r="L80" s="2"/>
      <c r="M80" s="8"/>
      <c r="N80" s="13">
        <v>1500000</v>
      </c>
      <c r="O80" s="13"/>
      <c r="P80" s="14">
        <f t="shared" si="12"/>
        <v>1500000</v>
      </c>
      <c r="Q80" s="2" t="s">
        <v>31</v>
      </c>
      <c r="R80" s="38"/>
      <c r="S80" s="12"/>
      <c r="T80" s="13"/>
    </row>
    <row r="81" spans="1:20" s="3" customFormat="1" hidden="1" outlineLevel="1" x14ac:dyDescent="0.25">
      <c r="A81" s="2">
        <f>ROW(DIARIO[[#This Row],[Nombre de Cuenta]])-1</f>
        <v>80</v>
      </c>
      <c r="B81" s="2"/>
      <c r="C81" s="12" t="s">
        <v>236</v>
      </c>
      <c r="D81" s="2">
        <f>VLOOKUP(C81,CATALOGO[],2,FALSE)</f>
        <v>42</v>
      </c>
      <c r="E81" s="12" t="str">
        <f>VLOOKUP(DIARIO[[#This Row],[Objeto de Gasto]],CATALOGO[],3,FALSE)</f>
        <v>35620 Diesel</v>
      </c>
      <c r="F81" s="12"/>
      <c r="G81" s="12" t="s">
        <v>31</v>
      </c>
      <c r="H81" s="2"/>
      <c r="I81" s="8"/>
      <c r="J81" s="2"/>
      <c r="K81" s="8"/>
      <c r="L81" s="2"/>
      <c r="M81" s="8"/>
      <c r="N81" s="13">
        <v>100000</v>
      </c>
      <c r="O81" s="13"/>
      <c r="P81" s="14">
        <f t="shared" ref="P81:P82" si="13">N81-O81</f>
        <v>100000</v>
      </c>
      <c r="Q81" s="2" t="s">
        <v>31</v>
      </c>
      <c r="R81" s="38"/>
      <c r="S81" s="12"/>
      <c r="T81" s="13"/>
    </row>
    <row r="82" spans="1:20" s="3" customFormat="1" hidden="1" outlineLevel="1" x14ac:dyDescent="0.25">
      <c r="A82" s="2">
        <f>ROW(DIARIO[[#This Row],[Nombre de Cuenta]])-1</f>
        <v>81</v>
      </c>
      <c r="B82" s="2"/>
      <c r="C82" s="12" t="s">
        <v>412</v>
      </c>
      <c r="D82" s="2">
        <f>VLOOKUP(C82,CATALOGO[],2,FALSE)</f>
        <v>42</v>
      </c>
      <c r="E82" s="12" t="str">
        <f>VLOOKUP(DIARIO[[#This Row],[Objeto de Gasto]],CATALOGO[],3,FALSE)</f>
        <v>35620 Diesel</v>
      </c>
      <c r="F82" s="12"/>
      <c r="G82" s="12" t="s">
        <v>31</v>
      </c>
      <c r="H82" s="2"/>
      <c r="I82" s="8"/>
      <c r="J82" s="2"/>
      <c r="K82" s="8"/>
      <c r="L82" s="2"/>
      <c r="M82" s="8"/>
      <c r="N82" s="13">
        <v>1332973</v>
      </c>
      <c r="O82" s="13"/>
      <c r="P82" s="14">
        <f t="shared" si="13"/>
        <v>1332973</v>
      </c>
      <c r="Q82" s="2" t="s">
        <v>31</v>
      </c>
      <c r="R82" s="38"/>
      <c r="S82" s="12"/>
      <c r="T82" s="13"/>
    </row>
    <row r="83" spans="1:20" s="3" customFormat="1" hidden="1" outlineLevel="1" x14ac:dyDescent="0.25">
      <c r="A83" s="2">
        <f>ROW(DIARIO[[#This Row],[Nombre de Cuenta]])-1</f>
        <v>82</v>
      </c>
      <c r="B83" s="2"/>
      <c r="C83" s="12" t="s">
        <v>237</v>
      </c>
      <c r="D83" s="2">
        <f>VLOOKUP(C83,CATALOGO[],2,FALSE)</f>
        <v>42</v>
      </c>
      <c r="E83" s="12" t="str">
        <f>VLOOKUP(DIARIO[[#This Row],[Objeto de Gasto]],CATALOGO[],3,FALSE)</f>
        <v>35620 Diesel</v>
      </c>
      <c r="F83" s="12"/>
      <c r="G83" s="12" t="s">
        <v>31</v>
      </c>
      <c r="H83" s="2"/>
      <c r="I83" s="8"/>
      <c r="J83" s="2"/>
      <c r="K83" s="8"/>
      <c r="L83" s="2"/>
      <c r="M83" s="8"/>
      <c r="N83" s="13">
        <v>72640</v>
      </c>
      <c r="O83" s="13"/>
      <c r="P83" s="14">
        <f t="shared" ref="P83:P194" si="14">N83-O83</f>
        <v>72640</v>
      </c>
      <c r="Q83" s="2" t="s">
        <v>31</v>
      </c>
      <c r="R83" s="38"/>
      <c r="S83" s="12"/>
      <c r="T83" s="13"/>
    </row>
    <row r="84" spans="1:20" s="3" customFormat="1" hidden="1" outlineLevel="1" x14ac:dyDescent="0.25">
      <c r="A84" s="2">
        <f>ROW(DIARIO[[#This Row],[Nombre de Cuenta]])-1</f>
        <v>83</v>
      </c>
      <c r="B84" s="2"/>
      <c r="C84" s="12" t="s">
        <v>243</v>
      </c>
      <c r="D84" s="2">
        <f>VLOOKUP(C84,CATALOGO[],2,FALSE)</f>
        <v>44</v>
      </c>
      <c r="E84" s="12" t="str">
        <f>VLOOKUP(DIARIO[[#This Row],[Objeto de Gasto]],CATALOGO[],3,FALSE)</f>
        <v>35650 Aceites Y Grasas Lubricantes</v>
      </c>
      <c r="F84" s="12"/>
      <c r="G84" s="12" t="s">
        <v>31</v>
      </c>
      <c r="H84" s="2"/>
      <c r="I84" s="8"/>
      <c r="J84" s="2"/>
      <c r="K84" s="8"/>
      <c r="L84" s="2"/>
      <c r="M84" s="8"/>
      <c r="N84" s="13">
        <v>41220</v>
      </c>
      <c r="O84" s="13"/>
      <c r="P84" s="14">
        <f t="shared" si="14"/>
        <v>41220</v>
      </c>
      <c r="Q84" s="2" t="s">
        <v>31</v>
      </c>
      <c r="R84" s="38"/>
      <c r="S84" s="12"/>
      <c r="T84" s="13"/>
    </row>
    <row r="85" spans="1:20" s="3" customFormat="1" hidden="1" outlineLevel="1" x14ac:dyDescent="0.25">
      <c r="A85" s="2">
        <f>ROW(DIARIO[[#This Row],[Nombre de Cuenta]])-1</f>
        <v>84</v>
      </c>
      <c r="B85" s="2"/>
      <c r="C85" s="12" t="s">
        <v>413</v>
      </c>
      <c r="D85" s="2">
        <f>VLOOKUP(C85,CATALOGO[],2,FALSE)</f>
        <v>44</v>
      </c>
      <c r="E85" s="12" t="str">
        <f>VLOOKUP(DIARIO[[#This Row],[Objeto de Gasto]],CATALOGO[],3,FALSE)</f>
        <v>35650 Aceites Y Grasas Lubricantes</v>
      </c>
      <c r="F85" s="12"/>
      <c r="G85" s="12" t="s">
        <v>31</v>
      </c>
      <c r="H85" s="2"/>
      <c r="I85" s="8"/>
      <c r="J85" s="2"/>
      <c r="K85" s="8"/>
      <c r="L85" s="2"/>
      <c r="M85" s="8"/>
      <c r="N85" s="13">
        <v>900000</v>
      </c>
      <c r="O85" s="13"/>
      <c r="P85" s="14">
        <f t="shared" si="14"/>
        <v>900000</v>
      </c>
      <c r="Q85" s="2" t="s">
        <v>31</v>
      </c>
      <c r="R85" s="38"/>
      <c r="S85" s="12"/>
      <c r="T85" s="13"/>
    </row>
    <row r="86" spans="1:20" s="3" customFormat="1" hidden="1" outlineLevel="1" x14ac:dyDescent="0.25">
      <c r="A86" s="2">
        <f>ROW(DIARIO[[#This Row],[Nombre de Cuenta]])-1</f>
        <v>85</v>
      </c>
      <c r="B86" s="2"/>
      <c r="C86" s="12" t="s">
        <v>247</v>
      </c>
      <c r="D86" s="2">
        <f>VLOOKUP(C86,CATALOGO[],2,FALSE)</f>
        <v>44</v>
      </c>
      <c r="E86" s="12" t="str">
        <f>VLOOKUP(DIARIO[[#This Row],[Objeto de Gasto]],CATALOGO[],3,FALSE)</f>
        <v>35650 Aceites Y Grasas Lubricantes</v>
      </c>
      <c r="F86" s="12"/>
      <c r="G86" s="12" t="s">
        <v>31</v>
      </c>
      <c r="H86" s="2"/>
      <c r="I86" s="8"/>
      <c r="J86" s="2"/>
      <c r="K86" s="8"/>
      <c r="L86" s="2"/>
      <c r="M86" s="8"/>
      <c r="N86" s="13">
        <v>38400</v>
      </c>
      <c r="O86" s="13"/>
      <c r="P86" s="14">
        <f t="shared" si="14"/>
        <v>38400</v>
      </c>
      <c r="Q86" s="2" t="s">
        <v>31</v>
      </c>
      <c r="R86" s="38"/>
      <c r="S86" s="12"/>
      <c r="T86" s="13"/>
    </row>
    <row r="87" spans="1:20" s="3" customFormat="1" hidden="1" outlineLevel="1" x14ac:dyDescent="0.25">
      <c r="A87" s="2">
        <f>ROW(DIARIO[[#This Row],[Nombre de Cuenta]])-1</f>
        <v>86</v>
      </c>
      <c r="B87" s="2"/>
      <c r="C87" s="12" t="s">
        <v>251</v>
      </c>
      <c r="D87" s="2">
        <f>VLOOKUP(C87,CATALOGO[],2,FALSE)</f>
        <v>45</v>
      </c>
      <c r="E87" s="12" t="str">
        <f>VLOOKUP(DIARIO[[#This Row],[Objeto de Gasto]],CATALOGO[],3,FALSE)</f>
        <v xml:space="preserve">35800 Productos De Material Plastico </v>
      </c>
      <c r="F87" s="12"/>
      <c r="G87" s="12" t="s">
        <v>31</v>
      </c>
      <c r="H87" s="2"/>
      <c r="I87" s="8"/>
      <c r="J87" s="2"/>
      <c r="K87" s="8"/>
      <c r="L87" s="2"/>
      <c r="M87" s="8"/>
      <c r="N87" s="13">
        <v>52500</v>
      </c>
      <c r="O87" s="13"/>
      <c r="P87" s="14">
        <f t="shared" si="14"/>
        <v>52500</v>
      </c>
      <c r="Q87" s="2" t="s">
        <v>31</v>
      </c>
      <c r="R87" s="38"/>
      <c r="S87" s="12"/>
      <c r="T87" s="13"/>
    </row>
    <row r="88" spans="1:20" s="3" customFormat="1" hidden="1" outlineLevel="1" x14ac:dyDescent="0.25">
      <c r="A88" s="2">
        <f>ROW(DIARIO[[#This Row],[Nombre de Cuenta]])-1</f>
        <v>87</v>
      </c>
      <c r="B88" s="2"/>
      <c r="C88" s="12" t="s">
        <v>252</v>
      </c>
      <c r="D88" s="2">
        <f>VLOOKUP(C88,CATALOGO[],2,FALSE)</f>
        <v>45</v>
      </c>
      <c r="E88" s="12" t="str">
        <f>VLOOKUP(DIARIO[[#This Row],[Objeto de Gasto]],CATALOGO[],3,FALSE)</f>
        <v xml:space="preserve">35800 Productos De Material Plastico </v>
      </c>
      <c r="F88" s="12"/>
      <c r="G88" s="12" t="s">
        <v>31</v>
      </c>
      <c r="H88" s="2"/>
      <c r="I88" s="8"/>
      <c r="J88" s="2"/>
      <c r="K88" s="8"/>
      <c r="L88" s="2"/>
      <c r="M88" s="8"/>
      <c r="N88" s="13">
        <v>52949</v>
      </c>
      <c r="O88" s="13"/>
      <c r="P88" s="14">
        <f t="shared" si="14"/>
        <v>52949</v>
      </c>
      <c r="Q88" s="2" t="s">
        <v>31</v>
      </c>
      <c r="R88" s="38"/>
      <c r="S88" s="12"/>
      <c r="T88" s="13"/>
    </row>
    <row r="89" spans="1:20" s="3" customFormat="1" hidden="1" outlineLevel="1" x14ac:dyDescent="0.25">
      <c r="A89" s="2">
        <f>ROW(DIARIO[[#This Row],[Nombre de Cuenta]])-1</f>
        <v>88</v>
      </c>
      <c r="B89" s="2"/>
      <c r="C89" s="12" t="s">
        <v>414</v>
      </c>
      <c r="D89" s="2">
        <f>VLOOKUP(C89,CATALOGO[],2,FALSE)</f>
        <v>46</v>
      </c>
      <c r="E89" s="12" t="str">
        <f>VLOOKUP(DIARIO[[#This Row],[Objeto de Gasto]],CATALOGO[],3,FALSE)</f>
        <v>38100 Material De Defensa Y Seguridad</v>
      </c>
      <c r="F89" s="12"/>
      <c r="G89" s="12" t="s">
        <v>31</v>
      </c>
      <c r="H89" s="2"/>
      <c r="I89" s="8"/>
      <c r="J89" s="2"/>
      <c r="K89" s="8"/>
      <c r="L89" s="2"/>
      <c r="M89" s="8"/>
      <c r="N89" s="13">
        <v>100000</v>
      </c>
      <c r="O89" s="13"/>
      <c r="P89" s="14">
        <f t="shared" si="14"/>
        <v>100000</v>
      </c>
      <c r="Q89" s="2" t="s">
        <v>31</v>
      </c>
      <c r="R89" s="38"/>
      <c r="S89" s="12"/>
      <c r="T89" s="13"/>
    </row>
    <row r="90" spans="1:20" s="3" customFormat="1" hidden="1" outlineLevel="1" x14ac:dyDescent="0.25">
      <c r="A90" s="2">
        <f>ROW(DIARIO[[#This Row],[Nombre de Cuenta]])-1</f>
        <v>89</v>
      </c>
      <c r="B90" s="2"/>
      <c r="C90" s="12" t="s">
        <v>261</v>
      </c>
      <c r="D90" s="2">
        <f>VLOOKUP(C90,CATALOGO[],2,FALSE)</f>
        <v>47</v>
      </c>
      <c r="E90" s="12" t="str">
        <f>VLOOKUP(DIARIO[[#This Row],[Objeto de Gasto]],CATALOGO[],3,FALSE)</f>
        <v>39100 Elementos De Limpieza Y Aseo Personal</v>
      </c>
      <c r="F90" s="12"/>
      <c r="G90" s="12" t="s">
        <v>31</v>
      </c>
      <c r="H90" s="2"/>
      <c r="I90" s="8"/>
      <c r="J90" s="2"/>
      <c r="K90" s="8"/>
      <c r="L90" s="2"/>
      <c r="M90" s="8"/>
      <c r="N90" s="13">
        <v>72051</v>
      </c>
      <c r="O90" s="13"/>
      <c r="P90" s="14">
        <f t="shared" si="14"/>
        <v>72051</v>
      </c>
      <c r="Q90" s="2" t="s">
        <v>31</v>
      </c>
      <c r="R90" s="38"/>
      <c r="S90" s="12"/>
      <c r="T90" s="13"/>
    </row>
    <row r="91" spans="1:20" s="3" customFormat="1" hidden="1" outlineLevel="1" x14ac:dyDescent="0.25">
      <c r="A91" s="2">
        <f>ROW(DIARIO[[#This Row],[Nombre de Cuenta]])-1</f>
        <v>90</v>
      </c>
      <c r="B91" s="2"/>
      <c r="C91" s="12" t="s">
        <v>415</v>
      </c>
      <c r="D91" s="2">
        <f>VLOOKUP(C91,CATALOGO[],2,FALSE)</f>
        <v>47</v>
      </c>
      <c r="E91" s="12" t="str">
        <f>VLOOKUP(DIARIO[[#This Row],[Objeto de Gasto]],CATALOGO[],3,FALSE)</f>
        <v>39100 Elementos De Limpieza Y Aseo Personal</v>
      </c>
      <c r="F91" s="12"/>
      <c r="G91" s="12" t="s">
        <v>31</v>
      </c>
      <c r="H91" s="2"/>
      <c r="I91" s="8"/>
      <c r="J91" s="2"/>
      <c r="K91" s="8"/>
      <c r="L91" s="2"/>
      <c r="M91" s="8"/>
      <c r="N91" s="13">
        <v>470316</v>
      </c>
      <c r="O91" s="13"/>
      <c r="P91" s="14">
        <f t="shared" si="14"/>
        <v>470316</v>
      </c>
      <c r="Q91" s="2" t="s">
        <v>31</v>
      </c>
      <c r="R91" s="38"/>
      <c r="S91" s="12"/>
      <c r="T91" s="13"/>
    </row>
    <row r="92" spans="1:20" s="3" customFormat="1" hidden="1" outlineLevel="1" x14ac:dyDescent="0.25">
      <c r="A92" s="2">
        <f>ROW(DIARIO[[#This Row],[Nombre de Cuenta]])-1</f>
        <v>91</v>
      </c>
      <c r="B92" s="2"/>
      <c r="C92" s="12" t="s">
        <v>262</v>
      </c>
      <c r="D92" s="2">
        <f>VLOOKUP(C92,CATALOGO[],2,FALSE)</f>
        <v>47</v>
      </c>
      <c r="E92" s="12" t="str">
        <f>VLOOKUP(DIARIO[[#This Row],[Objeto de Gasto]],CATALOGO[],3,FALSE)</f>
        <v>39100 Elementos De Limpieza Y Aseo Personal</v>
      </c>
      <c r="F92" s="12"/>
      <c r="G92" s="12" t="s">
        <v>31</v>
      </c>
      <c r="H92" s="2"/>
      <c r="I92" s="8"/>
      <c r="J92" s="2"/>
      <c r="K92" s="8"/>
      <c r="L92" s="2"/>
      <c r="M92" s="8"/>
      <c r="N92" s="13">
        <v>5298</v>
      </c>
      <c r="O92" s="13"/>
      <c r="P92" s="14">
        <f t="shared" si="14"/>
        <v>5298</v>
      </c>
      <c r="Q92" s="2" t="s">
        <v>31</v>
      </c>
      <c r="R92" s="38"/>
      <c r="S92" s="12"/>
      <c r="T92" s="13"/>
    </row>
    <row r="93" spans="1:20" s="3" customFormat="1" hidden="1" outlineLevel="1" x14ac:dyDescent="0.25">
      <c r="A93" s="2">
        <f>ROW(DIARIO[[#This Row],[Nombre de Cuenta]])-1</f>
        <v>92</v>
      </c>
      <c r="B93" s="2"/>
      <c r="C93" s="12" t="s">
        <v>263</v>
      </c>
      <c r="D93" s="2">
        <f>VLOOKUP(C93,CATALOGO[],2,FALSE)</f>
        <v>48</v>
      </c>
      <c r="E93" s="12" t="str">
        <f>VLOOKUP(DIARIO[[#This Row],[Objeto de Gasto]],CATALOGO[],3,FALSE)</f>
        <v>39200 Utiles De Esritorio, Oficina  Y Enseñanza</v>
      </c>
      <c r="F93" s="12"/>
      <c r="G93" s="12" t="s">
        <v>31</v>
      </c>
      <c r="H93" s="2"/>
      <c r="I93" s="8"/>
      <c r="J93" s="2"/>
      <c r="K93" s="8"/>
      <c r="L93" s="2"/>
      <c r="M93" s="8"/>
      <c r="N93" s="13">
        <v>100000</v>
      </c>
      <c r="O93" s="13"/>
      <c r="P93" s="14">
        <f t="shared" si="14"/>
        <v>100000</v>
      </c>
      <c r="Q93" s="2" t="s">
        <v>31</v>
      </c>
      <c r="R93" s="38"/>
      <c r="S93" s="12"/>
      <c r="T93" s="13"/>
    </row>
    <row r="94" spans="1:20" s="3" customFormat="1" hidden="1" outlineLevel="1" x14ac:dyDescent="0.25">
      <c r="A94" s="2">
        <f>ROW(DIARIO[[#This Row],[Nombre de Cuenta]])-1</f>
        <v>93</v>
      </c>
      <c r="B94" s="2"/>
      <c r="C94" s="12" t="s">
        <v>266</v>
      </c>
      <c r="D94" s="2">
        <f>VLOOKUP(C94,CATALOGO[],2,FALSE)</f>
        <v>48</v>
      </c>
      <c r="E94" s="12" t="str">
        <f>VLOOKUP(DIARIO[[#This Row],[Objeto de Gasto]],CATALOGO[],3,FALSE)</f>
        <v>39200 Utiles De Esritorio, Oficina  Y Enseñanza</v>
      </c>
      <c r="F94" s="12"/>
      <c r="G94" s="12" t="s">
        <v>31</v>
      </c>
      <c r="H94" s="2"/>
      <c r="I94" s="8"/>
      <c r="J94" s="2"/>
      <c r="K94" s="8"/>
      <c r="L94" s="2"/>
      <c r="M94" s="8"/>
      <c r="N94" s="13">
        <v>780000</v>
      </c>
      <c r="O94" s="13"/>
      <c r="P94" s="14">
        <f t="shared" si="14"/>
        <v>780000</v>
      </c>
      <c r="Q94" s="2" t="s">
        <v>31</v>
      </c>
      <c r="R94" s="38"/>
      <c r="S94" s="12"/>
      <c r="T94" s="13"/>
    </row>
    <row r="95" spans="1:20" s="3" customFormat="1" hidden="1" outlineLevel="1" x14ac:dyDescent="0.25">
      <c r="A95" s="2">
        <f>ROW(DIARIO[[#This Row],[Nombre de Cuenta]])-1</f>
        <v>94</v>
      </c>
      <c r="B95" s="2"/>
      <c r="C95" s="12" t="s">
        <v>416</v>
      </c>
      <c r="D95" s="2">
        <f>VLOOKUP(C95,CATALOGO[],2,FALSE)</f>
        <v>48</v>
      </c>
      <c r="E95" s="12" t="str">
        <f>VLOOKUP(DIARIO[[#This Row],[Objeto de Gasto]],CATALOGO[],3,FALSE)</f>
        <v>39200 Utiles De Esritorio, Oficina  Y Enseñanza</v>
      </c>
      <c r="F95" s="12"/>
      <c r="G95" s="12" t="s">
        <v>31</v>
      </c>
      <c r="H95" s="2"/>
      <c r="I95" s="8"/>
      <c r="J95" s="2"/>
      <c r="K95" s="8"/>
      <c r="L95" s="2"/>
      <c r="M95" s="8"/>
      <c r="N95" s="13">
        <v>691300</v>
      </c>
      <c r="O95" s="13"/>
      <c r="P95" s="14">
        <f t="shared" si="14"/>
        <v>691300</v>
      </c>
      <c r="Q95" s="2" t="s">
        <v>31</v>
      </c>
      <c r="R95" s="38"/>
      <c r="S95" s="12"/>
      <c r="T95" s="13"/>
    </row>
    <row r="96" spans="1:20" s="3" customFormat="1" hidden="1" outlineLevel="1" x14ac:dyDescent="0.25">
      <c r="A96" s="2">
        <f>ROW(DIARIO[[#This Row],[Nombre de Cuenta]])-1</f>
        <v>95</v>
      </c>
      <c r="B96" s="2"/>
      <c r="C96" s="12" t="s">
        <v>267</v>
      </c>
      <c r="D96" s="2">
        <f>VLOOKUP(C96,CATALOGO[],2,FALSE)</f>
        <v>48</v>
      </c>
      <c r="E96" s="12" t="str">
        <f>VLOOKUP(DIARIO[[#This Row],[Objeto de Gasto]],CATALOGO[],3,FALSE)</f>
        <v>39200 Utiles De Esritorio, Oficina  Y Enseñanza</v>
      </c>
      <c r="F96" s="12"/>
      <c r="G96" s="12" t="s">
        <v>31</v>
      </c>
      <c r="H96" s="2"/>
      <c r="I96" s="8"/>
      <c r="J96" s="2"/>
      <c r="K96" s="8"/>
      <c r="L96" s="2"/>
      <c r="M96" s="8"/>
      <c r="N96" s="13">
        <v>150000</v>
      </c>
      <c r="O96" s="13"/>
      <c r="P96" s="14">
        <f t="shared" si="14"/>
        <v>150000</v>
      </c>
      <c r="Q96" s="2" t="s">
        <v>31</v>
      </c>
      <c r="R96" s="38"/>
      <c r="S96" s="12"/>
      <c r="T96" s="13"/>
    </row>
    <row r="97" spans="1:20" s="3" customFormat="1" hidden="1" outlineLevel="1" x14ac:dyDescent="0.25">
      <c r="A97" s="2">
        <f>ROW(DIARIO[[#This Row],[Nombre de Cuenta]])-1</f>
        <v>96</v>
      </c>
      <c r="B97" s="2"/>
      <c r="C97" s="12" t="s">
        <v>370</v>
      </c>
      <c r="D97" s="2">
        <f>VLOOKUP(C97,CATALOGO[],2,FALSE)</f>
        <v>67</v>
      </c>
      <c r="E97" s="12" t="str">
        <f>VLOOKUP(DIARIO[[#This Row],[Objeto de Gasto]],CATALOGO[],3,FALSE)</f>
        <v>39300 Utiles Y Materiales Eléctricos</v>
      </c>
      <c r="F97" s="12"/>
      <c r="G97" s="12" t="s">
        <v>31</v>
      </c>
      <c r="H97" s="2"/>
      <c r="I97" s="8"/>
      <c r="J97" s="2"/>
      <c r="K97" s="8"/>
      <c r="L97" s="2"/>
      <c r="M97" s="8"/>
      <c r="N97" s="13">
        <v>10000</v>
      </c>
      <c r="O97" s="13"/>
      <c r="P97" s="14">
        <f t="shared" si="14"/>
        <v>10000</v>
      </c>
      <c r="Q97" s="2" t="s">
        <v>31</v>
      </c>
      <c r="R97" s="38"/>
      <c r="S97" s="12"/>
      <c r="T97" s="13"/>
    </row>
    <row r="98" spans="1:20" s="3" customFormat="1" hidden="1" outlineLevel="1" x14ac:dyDescent="0.25">
      <c r="A98" s="2">
        <f>ROW(DIARIO[[#This Row],[Nombre de Cuenta]])-1</f>
        <v>97</v>
      </c>
      <c r="B98" s="2"/>
      <c r="C98" s="12" t="s">
        <v>271</v>
      </c>
      <c r="D98" s="2">
        <f>VLOOKUP(C98,CATALOGO[],2,FALSE)</f>
        <v>49</v>
      </c>
      <c r="E98" s="12" t="str">
        <f>VLOOKUP(DIARIO[[#This Row],[Objeto de Gasto]],CATALOGO[],3,FALSE)</f>
        <v xml:space="preserve">39520 Intrumental Y Material Para Laboratorio </v>
      </c>
      <c r="F98" s="12"/>
      <c r="G98" s="12" t="s">
        <v>31</v>
      </c>
      <c r="H98" s="2"/>
      <c r="I98" s="8"/>
      <c r="J98" s="2"/>
      <c r="K98" s="8"/>
      <c r="L98" s="2"/>
      <c r="M98" s="8"/>
      <c r="N98" s="13">
        <v>4029405</v>
      </c>
      <c r="O98" s="13"/>
      <c r="P98" s="14">
        <f t="shared" si="14"/>
        <v>4029405</v>
      </c>
      <c r="Q98" s="2" t="s">
        <v>31</v>
      </c>
      <c r="R98" s="38"/>
      <c r="S98" s="12"/>
      <c r="T98" s="13"/>
    </row>
    <row r="99" spans="1:20" s="3" customFormat="1" hidden="1" outlineLevel="1" x14ac:dyDescent="0.25">
      <c r="A99" s="2">
        <f>ROW(DIARIO[[#This Row],[Nombre de Cuenta]])-1</f>
        <v>98</v>
      </c>
      <c r="B99" s="2"/>
      <c r="C99" s="12" t="s">
        <v>417</v>
      </c>
      <c r="D99" s="2">
        <f>VLOOKUP(C99,CATALOGO[],2,FALSE)</f>
        <v>49</v>
      </c>
      <c r="E99" s="12" t="str">
        <f>VLOOKUP(DIARIO[[#This Row],[Objeto de Gasto]],CATALOGO[],3,FALSE)</f>
        <v xml:space="preserve">39520 Intrumental Y Material Para Laboratorio </v>
      </c>
      <c r="F99" s="12"/>
      <c r="G99" s="12" t="s">
        <v>31</v>
      </c>
      <c r="H99" s="2"/>
      <c r="I99" s="8"/>
      <c r="J99" s="2"/>
      <c r="K99" s="8"/>
      <c r="L99" s="2"/>
      <c r="M99" s="8"/>
      <c r="N99" s="13">
        <v>4304794</v>
      </c>
      <c r="O99" s="13"/>
      <c r="P99" s="14">
        <f t="shared" si="14"/>
        <v>4304794</v>
      </c>
      <c r="Q99" s="2" t="s">
        <v>31</v>
      </c>
      <c r="R99" s="38"/>
      <c r="S99" s="12"/>
      <c r="T99" s="13"/>
    </row>
    <row r="100" spans="1:20" s="3" customFormat="1" hidden="1" outlineLevel="1" x14ac:dyDescent="0.25">
      <c r="A100" s="2">
        <f>ROW(DIARIO[[#This Row],[Nombre de Cuenta]])-1</f>
        <v>99</v>
      </c>
      <c r="B100" s="2"/>
      <c r="C100" s="12" t="s">
        <v>272</v>
      </c>
      <c r="D100" s="2">
        <f>VLOOKUP(C100,CATALOGO[],2,FALSE)</f>
        <v>49</v>
      </c>
      <c r="E100" s="12" t="str">
        <f>VLOOKUP(DIARIO[[#This Row],[Objeto de Gasto]],CATALOGO[],3,FALSE)</f>
        <v xml:space="preserve">39520 Intrumental Y Material Para Laboratorio </v>
      </c>
      <c r="F100" s="12"/>
      <c r="G100" s="12" t="s">
        <v>31</v>
      </c>
      <c r="H100" s="2"/>
      <c r="I100" s="8"/>
      <c r="J100" s="2"/>
      <c r="K100" s="8"/>
      <c r="L100" s="2"/>
      <c r="M100" s="8"/>
      <c r="N100" s="13">
        <v>3285675</v>
      </c>
      <c r="O100" s="13"/>
      <c r="P100" s="14">
        <f t="shared" si="14"/>
        <v>3285675</v>
      </c>
      <c r="Q100" s="2" t="s">
        <v>31</v>
      </c>
      <c r="R100" s="38"/>
      <c r="S100" s="12"/>
      <c r="T100" s="13"/>
    </row>
    <row r="101" spans="1:20" s="3" customFormat="1" hidden="1" outlineLevel="1" x14ac:dyDescent="0.25">
      <c r="A101" s="2">
        <f>ROW(DIARIO[[#This Row],[Nombre de Cuenta]])-1</f>
        <v>100</v>
      </c>
      <c r="B101" s="2"/>
      <c r="C101" s="12" t="s">
        <v>276</v>
      </c>
      <c r="D101" s="2">
        <f>VLOOKUP(C101,CATALOGO[],2,FALSE)</f>
        <v>50</v>
      </c>
      <c r="E101" s="12" t="str">
        <f>VLOOKUP(DIARIO[[#This Row],[Objeto de Gasto]],CATALOGO[],3,FALSE)</f>
        <v>39530 Material Medico Quirurgico Menor</v>
      </c>
      <c r="F101" s="12"/>
      <c r="G101" s="12" t="s">
        <v>31</v>
      </c>
      <c r="H101" s="2"/>
      <c r="I101" s="8"/>
      <c r="J101" s="2"/>
      <c r="K101" s="8"/>
      <c r="L101" s="2"/>
      <c r="M101" s="8"/>
      <c r="N101" s="13">
        <v>48000</v>
      </c>
      <c r="O101" s="13"/>
      <c r="P101" s="14">
        <f t="shared" si="14"/>
        <v>48000</v>
      </c>
      <c r="Q101" s="2" t="s">
        <v>31</v>
      </c>
      <c r="R101" s="38"/>
      <c r="S101" s="12"/>
      <c r="T101" s="13"/>
    </row>
    <row r="102" spans="1:20" s="3" customFormat="1" ht="30" hidden="1" outlineLevel="1" x14ac:dyDescent="0.25">
      <c r="A102" s="2">
        <f>ROW(DIARIO[[#This Row],[Nombre de Cuenta]])-1</f>
        <v>101</v>
      </c>
      <c r="B102" s="2"/>
      <c r="C102" s="12" t="s">
        <v>281</v>
      </c>
      <c r="D102" s="2">
        <f>VLOOKUP(C102,CATALOGO[],2,FALSE)</f>
        <v>51</v>
      </c>
      <c r="E102" s="12" t="str">
        <f>VLOOKUP(DIARIO[[#This Row],[Objeto de Gasto]],CATALOGO[],3,FALSE)</f>
        <v>39540 Otro Instrumental, Accesorios Y Material Medico</v>
      </c>
      <c r="F102" s="12"/>
      <c r="G102" s="12" t="s">
        <v>31</v>
      </c>
      <c r="H102" s="2"/>
      <c r="I102" s="8"/>
      <c r="J102" s="2"/>
      <c r="K102" s="8"/>
      <c r="L102" s="2"/>
      <c r="M102" s="8"/>
      <c r="N102" s="13">
        <v>1758888</v>
      </c>
      <c r="O102" s="13"/>
      <c r="P102" s="14">
        <f t="shared" si="14"/>
        <v>1758888</v>
      </c>
      <c r="Q102" s="2" t="s">
        <v>31</v>
      </c>
      <c r="R102" s="38"/>
      <c r="S102" s="12"/>
      <c r="T102" s="13"/>
    </row>
    <row r="103" spans="1:20" s="3" customFormat="1" ht="30" hidden="1" outlineLevel="1" x14ac:dyDescent="0.25">
      <c r="A103" s="2">
        <f>ROW(DIARIO[[#This Row],[Nombre de Cuenta]])-1</f>
        <v>102</v>
      </c>
      <c r="B103" s="2"/>
      <c r="C103" s="12" t="s">
        <v>418</v>
      </c>
      <c r="D103" s="2">
        <f>VLOOKUP(C103,CATALOGO[],2,FALSE)</f>
        <v>51</v>
      </c>
      <c r="E103" s="12" t="str">
        <f>VLOOKUP(DIARIO[[#This Row],[Objeto de Gasto]],CATALOGO[],3,FALSE)</f>
        <v>39540 Otro Instrumental, Accesorios Y Material Medico</v>
      </c>
      <c r="F103" s="12"/>
      <c r="G103" s="12" t="s">
        <v>31</v>
      </c>
      <c r="H103" s="2"/>
      <c r="I103" s="8"/>
      <c r="J103" s="2"/>
      <c r="K103" s="8"/>
      <c r="L103" s="2"/>
      <c r="M103" s="8"/>
      <c r="N103" s="13">
        <v>3834551</v>
      </c>
      <c r="O103" s="13"/>
      <c r="P103" s="14">
        <f t="shared" si="14"/>
        <v>3834551</v>
      </c>
      <c r="Q103" s="2" t="s">
        <v>31</v>
      </c>
      <c r="R103" s="38"/>
      <c r="S103" s="12"/>
      <c r="T103" s="13"/>
    </row>
    <row r="104" spans="1:20" s="3" customFormat="1" ht="30" hidden="1" outlineLevel="1" x14ac:dyDescent="0.25">
      <c r="A104" s="2">
        <f>ROW(DIARIO[[#This Row],[Nombre de Cuenta]])-1</f>
        <v>103</v>
      </c>
      <c r="B104" s="2"/>
      <c r="C104" s="12" t="s">
        <v>282</v>
      </c>
      <c r="D104" s="2">
        <f>VLOOKUP(C104,CATALOGO[],2,FALSE)</f>
        <v>51</v>
      </c>
      <c r="E104" s="12" t="str">
        <f>VLOOKUP(DIARIO[[#This Row],[Objeto de Gasto]],CATALOGO[],3,FALSE)</f>
        <v>39540 Otro Instrumental, Accesorios Y Material Medico</v>
      </c>
      <c r="F104" s="12"/>
      <c r="G104" s="12" t="s">
        <v>31</v>
      </c>
      <c r="H104" s="2"/>
      <c r="I104" s="8"/>
      <c r="J104" s="2"/>
      <c r="K104" s="8"/>
      <c r="L104" s="2"/>
      <c r="M104" s="8"/>
      <c r="N104" s="13">
        <v>291750</v>
      </c>
      <c r="O104" s="13"/>
      <c r="P104" s="14">
        <f t="shared" si="14"/>
        <v>291750</v>
      </c>
      <c r="Q104" s="2" t="s">
        <v>31</v>
      </c>
      <c r="R104" s="38"/>
      <c r="S104" s="12"/>
      <c r="T104" s="13"/>
    </row>
    <row r="105" spans="1:20" s="3" customFormat="1" hidden="1" outlineLevel="1" x14ac:dyDescent="0.25">
      <c r="A105" s="2">
        <f>ROW(DIARIO[[#This Row],[Nombre de Cuenta]])-1</f>
        <v>104</v>
      </c>
      <c r="B105" s="2"/>
      <c r="C105" s="12" t="s">
        <v>283</v>
      </c>
      <c r="D105" s="2">
        <f>VLOOKUP(C105,CATALOGO[],2,FALSE)</f>
        <v>52</v>
      </c>
      <c r="E105" s="12" t="str">
        <f>VLOOKUP(DIARIO[[#This Row],[Objeto de Gasto]],CATALOGO[],3,FALSE)</f>
        <v>39600 Otros Repuestos Y Accesorios Menores</v>
      </c>
      <c r="F105" s="12"/>
      <c r="G105" s="12" t="s">
        <v>31</v>
      </c>
      <c r="H105" s="2"/>
      <c r="I105" s="8"/>
      <c r="J105" s="2"/>
      <c r="K105" s="8"/>
      <c r="L105" s="2"/>
      <c r="M105" s="8"/>
      <c r="N105" s="13">
        <v>65000</v>
      </c>
      <c r="O105" s="13"/>
      <c r="P105" s="14">
        <f t="shared" si="14"/>
        <v>65000</v>
      </c>
      <c r="Q105" s="2" t="s">
        <v>31</v>
      </c>
      <c r="R105" s="38"/>
      <c r="S105" s="12"/>
      <c r="T105" s="13"/>
    </row>
    <row r="106" spans="1:20" s="3" customFormat="1" hidden="1" outlineLevel="1" x14ac:dyDescent="0.25">
      <c r="A106" s="2">
        <f>ROW(DIARIO[[#This Row],[Nombre de Cuenta]])-1</f>
        <v>105</v>
      </c>
      <c r="B106" s="2"/>
      <c r="C106" s="12" t="s">
        <v>286</v>
      </c>
      <c r="D106" s="2">
        <f>VLOOKUP(C106,CATALOGO[],2,FALSE)</f>
        <v>52</v>
      </c>
      <c r="E106" s="12" t="str">
        <f>VLOOKUP(DIARIO[[#This Row],[Objeto de Gasto]],CATALOGO[],3,FALSE)</f>
        <v>39600 Otros Repuestos Y Accesorios Menores</v>
      </c>
      <c r="F106" s="12"/>
      <c r="G106" s="12" t="s">
        <v>31</v>
      </c>
      <c r="H106" s="2"/>
      <c r="I106" s="8"/>
      <c r="J106" s="2"/>
      <c r="K106" s="8"/>
      <c r="L106" s="2"/>
      <c r="M106" s="8"/>
      <c r="N106" s="13">
        <v>287680</v>
      </c>
      <c r="O106" s="13"/>
      <c r="P106" s="14">
        <f t="shared" si="14"/>
        <v>287680</v>
      </c>
      <c r="Q106" s="2" t="s">
        <v>31</v>
      </c>
      <c r="R106" s="38"/>
      <c r="S106" s="12"/>
      <c r="T106" s="13"/>
    </row>
    <row r="107" spans="1:20" s="3" customFormat="1" hidden="1" outlineLevel="1" x14ac:dyDescent="0.25">
      <c r="A107" s="2">
        <f>ROW(DIARIO[[#This Row],[Nombre de Cuenta]])-1</f>
        <v>106</v>
      </c>
      <c r="B107" s="2"/>
      <c r="C107" s="12" t="s">
        <v>419</v>
      </c>
      <c r="D107" s="2">
        <f>VLOOKUP(C107,CATALOGO[],2,FALSE)</f>
        <v>52</v>
      </c>
      <c r="E107" s="12" t="str">
        <f>VLOOKUP(DIARIO[[#This Row],[Objeto de Gasto]],CATALOGO[],3,FALSE)</f>
        <v>39600 Otros Repuestos Y Accesorios Menores</v>
      </c>
      <c r="F107" s="12"/>
      <c r="G107" s="12" t="s">
        <v>31</v>
      </c>
      <c r="H107" s="2"/>
      <c r="I107" s="8"/>
      <c r="J107" s="2"/>
      <c r="K107" s="8"/>
      <c r="L107" s="2"/>
      <c r="M107" s="8"/>
      <c r="N107" s="13">
        <v>319596</v>
      </c>
      <c r="O107" s="13"/>
      <c r="P107" s="14">
        <f t="shared" si="14"/>
        <v>319596</v>
      </c>
      <c r="Q107" s="2" t="s">
        <v>31</v>
      </c>
      <c r="R107" s="38"/>
      <c r="S107" s="12"/>
      <c r="T107" s="13"/>
    </row>
    <row r="108" spans="1:20" s="3" customFormat="1" hidden="1" outlineLevel="1" x14ac:dyDescent="0.25">
      <c r="A108" s="2">
        <f>ROW(DIARIO[[#This Row],[Nombre de Cuenta]])-1</f>
        <v>107</v>
      </c>
      <c r="B108" s="2"/>
      <c r="C108" s="12" t="s">
        <v>287</v>
      </c>
      <c r="D108" s="2">
        <f>VLOOKUP(C108,CATALOGO[],2,FALSE)</f>
        <v>52</v>
      </c>
      <c r="E108" s="12" t="str">
        <f>VLOOKUP(DIARIO[[#This Row],[Objeto de Gasto]],CATALOGO[],3,FALSE)</f>
        <v>39600 Otros Repuestos Y Accesorios Menores</v>
      </c>
      <c r="F108" s="12"/>
      <c r="G108" s="12" t="s">
        <v>31</v>
      </c>
      <c r="H108" s="2"/>
      <c r="I108" s="8"/>
      <c r="J108" s="2"/>
      <c r="K108" s="8"/>
      <c r="L108" s="2"/>
      <c r="M108" s="8"/>
      <c r="N108" s="13">
        <v>159220</v>
      </c>
      <c r="O108" s="13"/>
      <c r="P108" s="14">
        <f t="shared" si="14"/>
        <v>159220</v>
      </c>
      <c r="Q108" s="2" t="s">
        <v>31</v>
      </c>
      <c r="R108" s="38"/>
      <c r="S108" s="12"/>
      <c r="T108" s="13"/>
    </row>
    <row r="109" spans="1:20" s="3" customFormat="1" hidden="1" outlineLevel="1" x14ac:dyDescent="0.25">
      <c r="A109" s="2">
        <f>ROW(DIARIO[[#This Row],[Nombre de Cuenta]])-1</f>
        <v>108</v>
      </c>
      <c r="B109" s="2"/>
      <c r="C109" s="12" t="s">
        <v>420</v>
      </c>
      <c r="D109" s="2">
        <f>VLOOKUP(C109,CATALOGO[],2,FALSE)</f>
        <v>54</v>
      </c>
      <c r="E109" s="12" t="str">
        <f>VLOOKUP(DIARIO[[#This Row],[Objeto de Gasto]],CATALOGO[],3,FALSE)</f>
        <v>42110 Muebles Varios De Oficina</v>
      </c>
      <c r="F109" s="12"/>
      <c r="G109" s="12" t="s">
        <v>31</v>
      </c>
      <c r="H109" s="2"/>
      <c r="I109" s="8"/>
      <c r="J109" s="2"/>
      <c r="K109" s="8"/>
      <c r="L109" s="2"/>
      <c r="M109" s="8"/>
      <c r="N109" s="13">
        <v>200000</v>
      </c>
      <c r="O109" s="13"/>
      <c r="P109" s="14">
        <f t="shared" si="14"/>
        <v>200000</v>
      </c>
      <c r="Q109" s="2" t="s">
        <v>31</v>
      </c>
      <c r="R109" s="38"/>
      <c r="S109" s="12"/>
      <c r="T109" s="13"/>
    </row>
    <row r="110" spans="1:20" s="3" customFormat="1" hidden="1" outlineLevel="1" x14ac:dyDescent="0.25">
      <c r="A110" s="2">
        <f>ROW(DIARIO[[#This Row],[Nombre de Cuenta]])-1</f>
        <v>109</v>
      </c>
      <c r="B110" s="2"/>
      <c r="C110" s="12" t="s">
        <v>298</v>
      </c>
      <c r="D110" s="2">
        <f>VLOOKUP(C110,CATALOGO[],2,FALSE)</f>
        <v>54</v>
      </c>
      <c r="E110" s="12" t="str">
        <f>VLOOKUP(DIARIO[[#This Row],[Objeto de Gasto]],CATALOGO[],3,FALSE)</f>
        <v>42110 Muebles Varios De Oficina</v>
      </c>
      <c r="F110" s="12"/>
      <c r="G110" s="12" t="s">
        <v>31</v>
      </c>
      <c r="H110" s="2"/>
      <c r="I110" s="8"/>
      <c r="J110" s="2"/>
      <c r="K110" s="8"/>
      <c r="L110" s="2"/>
      <c r="M110" s="8"/>
      <c r="N110" s="13">
        <v>100000</v>
      </c>
      <c r="O110" s="13"/>
      <c r="P110" s="14">
        <f t="shared" si="14"/>
        <v>100000</v>
      </c>
      <c r="Q110" s="2" t="s">
        <v>31</v>
      </c>
      <c r="R110" s="38"/>
      <c r="S110" s="12"/>
      <c r="T110" s="13"/>
    </row>
    <row r="111" spans="1:20" s="3" customFormat="1" hidden="1" outlineLevel="1" x14ac:dyDescent="0.25">
      <c r="A111" s="2">
        <f>ROW(DIARIO[[#This Row],[Nombre de Cuenta]])-1</f>
        <v>110</v>
      </c>
      <c r="B111" s="2"/>
      <c r="C111" s="12" t="s">
        <v>302</v>
      </c>
      <c r="D111" s="2">
        <f>VLOOKUP(C111,CATALOGO[],2,FALSE)</f>
        <v>55</v>
      </c>
      <c r="E111" s="12" t="str">
        <f>VLOOKUP(DIARIO[[#This Row],[Objeto de Gasto]],CATALOGO[],3,FALSE)</f>
        <v>42120 Equipos Varios De Oficina</v>
      </c>
      <c r="F111" s="12"/>
      <c r="G111" s="12" t="s">
        <v>31</v>
      </c>
      <c r="H111" s="2"/>
      <c r="I111" s="8"/>
      <c r="J111" s="2"/>
      <c r="K111" s="8"/>
      <c r="L111" s="2"/>
      <c r="M111" s="8"/>
      <c r="N111" s="13">
        <v>100000</v>
      </c>
      <c r="O111" s="13"/>
      <c r="P111" s="14">
        <f t="shared" si="14"/>
        <v>100000</v>
      </c>
      <c r="Q111" s="2" t="s">
        <v>31</v>
      </c>
      <c r="R111" s="38"/>
      <c r="S111" s="12"/>
      <c r="T111" s="13"/>
    </row>
    <row r="112" spans="1:20" s="3" customFormat="1" hidden="1" outlineLevel="1" x14ac:dyDescent="0.25">
      <c r="A112" s="2">
        <f>ROW(DIARIO[[#This Row],[Nombre de Cuenta]])-1</f>
        <v>111</v>
      </c>
      <c r="B112" s="2"/>
      <c r="C112" s="12" t="s">
        <v>421</v>
      </c>
      <c r="D112" s="2">
        <f>VLOOKUP(C112,CATALOGO[],2,FALSE)</f>
        <v>55</v>
      </c>
      <c r="E112" s="12" t="str">
        <f>VLOOKUP(DIARIO[[#This Row],[Objeto de Gasto]],CATALOGO[],3,FALSE)</f>
        <v>42120 Equipos Varios De Oficina</v>
      </c>
      <c r="F112" s="12"/>
      <c r="G112" s="12" t="s">
        <v>31</v>
      </c>
      <c r="H112" s="2"/>
      <c r="I112" s="8"/>
      <c r="J112" s="2"/>
      <c r="K112" s="8"/>
      <c r="L112" s="2"/>
      <c r="M112" s="8"/>
      <c r="N112" s="13">
        <v>896998</v>
      </c>
      <c r="O112" s="13"/>
      <c r="P112" s="14">
        <f t="shared" si="14"/>
        <v>896998</v>
      </c>
      <c r="Q112" s="2" t="s">
        <v>31</v>
      </c>
      <c r="R112" s="38"/>
      <c r="S112" s="12"/>
      <c r="T112" s="13"/>
    </row>
    <row r="113" spans="1:20" s="3" customFormat="1" hidden="1" outlineLevel="1" x14ac:dyDescent="0.25">
      <c r="A113" s="2">
        <f>ROW(DIARIO[[#This Row],[Nombre de Cuenta]])-1</f>
        <v>112</v>
      </c>
      <c r="B113" s="2"/>
      <c r="C113" s="12" t="s">
        <v>303</v>
      </c>
      <c r="D113" s="2">
        <f>VLOOKUP(C113,CATALOGO[],2,FALSE)</f>
        <v>55</v>
      </c>
      <c r="E113" s="12" t="str">
        <f>VLOOKUP(DIARIO[[#This Row],[Objeto de Gasto]],CATALOGO[],3,FALSE)</f>
        <v>42120 Equipos Varios De Oficina</v>
      </c>
      <c r="F113" s="12"/>
      <c r="G113" s="12" t="s">
        <v>31</v>
      </c>
      <c r="H113" s="2"/>
      <c r="I113" s="8"/>
      <c r="J113" s="2"/>
      <c r="K113" s="8"/>
      <c r="L113" s="2"/>
      <c r="M113" s="8"/>
      <c r="N113" s="13">
        <v>100000</v>
      </c>
      <c r="O113" s="13"/>
      <c r="P113" s="14">
        <f t="shared" si="14"/>
        <v>100000</v>
      </c>
      <c r="Q113" s="2" t="s">
        <v>31</v>
      </c>
      <c r="R113" s="38"/>
      <c r="S113" s="12"/>
      <c r="T113" s="13"/>
    </row>
    <row r="114" spans="1:20" s="3" customFormat="1" ht="30" hidden="1" outlineLevel="1" x14ac:dyDescent="0.25">
      <c r="A114" s="2">
        <f>ROW(DIARIO[[#This Row],[Nombre de Cuenta]])-1</f>
        <v>113</v>
      </c>
      <c r="B114" s="2"/>
      <c r="C114" s="12" t="s">
        <v>422</v>
      </c>
      <c r="D114" s="2">
        <f>VLOOKUP(C114,CATALOGO[],2,FALSE)</f>
        <v>57</v>
      </c>
      <c r="E114" s="12" t="str">
        <f>VLOOKUP(DIARIO[[#This Row],[Objeto de Gasto]],CATALOGO[],3,FALSE)</f>
        <v>42220 Maquinaria Y Equipo De Producción Agropecuaria Y Forestal</v>
      </c>
      <c r="F114" s="12"/>
      <c r="G114" s="12" t="s">
        <v>31</v>
      </c>
      <c r="H114" s="2"/>
      <c r="I114" s="8"/>
      <c r="J114" s="2"/>
      <c r="K114" s="8"/>
      <c r="L114" s="2"/>
      <c r="M114" s="8"/>
      <c r="N114" s="13">
        <v>1500000</v>
      </c>
      <c r="O114" s="13"/>
      <c r="P114" s="14">
        <f>N114-O114</f>
        <v>1500000</v>
      </c>
      <c r="Q114" s="2" t="s">
        <v>31</v>
      </c>
      <c r="R114" s="38"/>
      <c r="S114" s="12"/>
      <c r="T114" s="13"/>
    </row>
    <row r="115" spans="1:20" s="3" customFormat="1" ht="30" hidden="1" outlineLevel="1" x14ac:dyDescent="0.25">
      <c r="A115" s="2">
        <f>ROW(DIARIO[[#This Row],[Nombre de Cuenta]])-1</f>
        <v>114</v>
      </c>
      <c r="B115" s="2"/>
      <c r="C115" s="12" t="s">
        <v>423</v>
      </c>
      <c r="D115" s="2">
        <f>VLOOKUP(C115,CATALOGO[],2,FALSE)</f>
        <v>61</v>
      </c>
      <c r="E115" s="12" t="str">
        <f>VLOOKUP(DIARIO[[#This Row],[Objeto de Gasto]],CATALOGO[],3,FALSE)</f>
        <v>42310 Equipo De Transporte Terrestre Para Personas</v>
      </c>
      <c r="F115" s="12"/>
      <c r="G115" s="12" t="s">
        <v>31</v>
      </c>
      <c r="H115" s="2"/>
      <c r="I115" s="8"/>
      <c r="J115" s="2"/>
      <c r="K115" s="8"/>
      <c r="L115" s="2"/>
      <c r="M115" s="8"/>
      <c r="N115" s="13">
        <v>800000</v>
      </c>
      <c r="O115" s="13"/>
      <c r="P115" s="14">
        <f t="shared" si="14"/>
        <v>800000</v>
      </c>
      <c r="Q115" s="2" t="s">
        <v>31</v>
      </c>
      <c r="R115" s="38"/>
      <c r="S115" s="12"/>
      <c r="T115" s="13"/>
    </row>
    <row r="116" spans="1:20" s="3" customFormat="1" hidden="1" outlineLevel="1" x14ac:dyDescent="0.25">
      <c r="A116" s="2">
        <f>ROW(DIARIO[[#This Row],[Nombre de Cuenta]])-1</f>
        <v>115</v>
      </c>
      <c r="B116" s="2"/>
      <c r="C116" s="12" t="s">
        <v>317</v>
      </c>
      <c r="D116" s="2">
        <f>VLOOKUP(C116,CATALOGO[],2,FALSE)</f>
        <v>58</v>
      </c>
      <c r="E116" s="12" t="str">
        <f>VLOOKUP(DIARIO[[#This Row],[Objeto de Gasto]],CATALOGO[],3,FALSE)</f>
        <v>42420 Equipo De Laboratorio Medico</v>
      </c>
      <c r="F116" s="12"/>
      <c r="G116" s="12" t="s">
        <v>31</v>
      </c>
      <c r="H116" s="2"/>
      <c r="I116" s="8"/>
      <c r="J116" s="2"/>
      <c r="K116" s="8"/>
      <c r="L116" s="2"/>
      <c r="M116" s="8"/>
      <c r="N116" s="13">
        <v>8278941</v>
      </c>
      <c r="O116" s="13"/>
      <c r="P116" s="14">
        <f t="shared" si="14"/>
        <v>8278941</v>
      </c>
      <c r="Q116" s="2" t="s">
        <v>31</v>
      </c>
      <c r="R116" s="38"/>
      <c r="S116" s="12"/>
      <c r="T116" s="13"/>
    </row>
    <row r="117" spans="1:20" s="3" customFormat="1" hidden="1" outlineLevel="1" x14ac:dyDescent="0.25">
      <c r="A117" s="2">
        <f>ROW(DIARIO[[#This Row],[Nombre de Cuenta]])-1</f>
        <v>116</v>
      </c>
      <c r="B117" s="2"/>
      <c r="C117" s="12" t="s">
        <v>424</v>
      </c>
      <c r="D117" s="2">
        <f>VLOOKUP(C117,CATALOGO[],2,FALSE)</f>
        <v>58</v>
      </c>
      <c r="E117" s="12" t="str">
        <f>VLOOKUP(DIARIO[[#This Row],[Objeto de Gasto]],CATALOGO[],3,FALSE)</f>
        <v>42420 Equipo De Laboratorio Medico</v>
      </c>
      <c r="F117" s="12"/>
      <c r="G117" s="12" t="s">
        <v>31</v>
      </c>
      <c r="H117" s="2"/>
      <c r="I117" s="8"/>
      <c r="J117" s="2"/>
      <c r="K117" s="8"/>
      <c r="L117" s="2"/>
      <c r="M117" s="8"/>
      <c r="N117" s="13">
        <v>2497107</v>
      </c>
      <c r="O117" s="13"/>
      <c r="P117" s="14">
        <f t="shared" si="14"/>
        <v>2497107</v>
      </c>
      <c r="Q117" s="2" t="s">
        <v>31</v>
      </c>
      <c r="R117" s="38"/>
      <c r="S117" s="12"/>
      <c r="T117" s="13"/>
    </row>
    <row r="118" spans="1:20" s="3" customFormat="1" hidden="1" outlineLevel="1" x14ac:dyDescent="0.25">
      <c r="A118" s="2">
        <f>ROW(DIARIO[[#This Row],[Nombre de Cuenta]])-1</f>
        <v>117</v>
      </c>
      <c r="B118" s="2"/>
      <c r="C118" s="12" t="s">
        <v>318</v>
      </c>
      <c r="D118" s="2">
        <f>VLOOKUP(C118,CATALOGO[],2,FALSE)</f>
        <v>58</v>
      </c>
      <c r="E118" s="12" t="str">
        <f>VLOOKUP(DIARIO[[#This Row],[Objeto de Gasto]],CATALOGO[],3,FALSE)</f>
        <v>42420 Equipo De Laboratorio Medico</v>
      </c>
      <c r="F118" s="12"/>
      <c r="G118" s="12" t="s">
        <v>31</v>
      </c>
      <c r="H118" s="2"/>
      <c r="I118" s="8"/>
      <c r="J118" s="2"/>
      <c r="K118" s="8"/>
      <c r="L118" s="2"/>
      <c r="M118" s="8"/>
      <c r="N118" s="13">
        <v>4000000</v>
      </c>
      <c r="O118" s="13"/>
      <c r="P118" s="14">
        <f t="shared" si="14"/>
        <v>4000000</v>
      </c>
      <c r="Q118" s="2" t="s">
        <v>31</v>
      </c>
      <c r="R118" s="38"/>
      <c r="S118" s="12"/>
      <c r="T118" s="13"/>
    </row>
    <row r="119" spans="1:20" s="3" customFormat="1" hidden="1" outlineLevel="1" x14ac:dyDescent="0.25">
      <c r="A119" s="2">
        <f>ROW(DIARIO[[#This Row],[Nombre de Cuenta]])-1</f>
        <v>118</v>
      </c>
      <c r="B119" s="2"/>
      <c r="C119" s="12" t="s">
        <v>319</v>
      </c>
      <c r="D119" s="2">
        <f>VLOOKUP(C119,CATALOGO[],2,FALSE)</f>
        <v>59</v>
      </c>
      <c r="E119" s="12" t="str">
        <f>VLOOKUP(DIARIO[[#This Row],[Objeto de Gasto]],CATALOGO[],3,FALSE)</f>
        <v>42600 Equipo Para Computacion</v>
      </c>
      <c r="F119" s="12"/>
      <c r="G119" s="12" t="s">
        <v>31</v>
      </c>
      <c r="H119" s="2"/>
      <c r="I119" s="8"/>
      <c r="J119" s="2"/>
      <c r="K119" s="8"/>
      <c r="L119" s="2"/>
      <c r="M119" s="8"/>
      <c r="N119" s="13">
        <v>30000</v>
      </c>
      <c r="O119" s="13"/>
      <c r="P119" s="14">
        <f t="shared" si="14"/>
        <v>30000</v>
      </c>
      <c r="Q119" s="2" t="s">
        <v>31</v>
      </c>
      <c r="R119" s="38"/>
      <c r="S119" s="12"/>
      <c r="T119" s="13"/>
    </row>
    <row r="120" spans="1:20" s="3" customFormat="1" hidden="1" outlineLevel="1" x14ac:dyDescent="0.25">
      <c r="A120" s="2">
        <f>ROW(DIARIO[[#This Row],[Nombre de Cuenta]])-1</f>
        <v>119</v>
      </c>
      <c r="B120" s="2"/>
      <c r="C120" s="12" t="s">
        <v>322</v>
      </c>
      <c r="D120" s="2">
        <f>VLOOKUP(C120,CATALOGO[],2,FALSE)</f>
        <v>59</v>
      </c>
      <c r="E120" s="12" t="str">
        <f>VLOOKUP(DIARIO[[#This Row],[Objeto de Gasto]],CATALOGO[],3,FALSE)</f>
        <v>42600 Equipo Para Computacion</v>
      </c>
      <c r="F120" s="12"/>
      <c r="G120" s="12" t="s">
        <v>31</v>
      </c>
      <c r="H120" s="2"/>
      <c r="I120" s="8"/>
      <c r="J120" s="2"/>
      <c r="K120" s="8"/>
      <c r="L120" s="2"/>
      <c r="M120" s="8"/>
      <c r="N120" s="13">
        <v>2674631</v>
      </c>
      <c r="O120" s="13"/>
      <c r="P120" s="14">
        <f t="shared" si="14"/>
        <v>2674631</v>
      </c>
      <c r="Q120" s="2" t="s">
        <v>31</v>
      </c>
      <c r="R120" s="38"/>
      <c r="S120" s="12"/>
      <c r="T120" s="13"/>
    </row>
    <row r="121" spans="1:20" s="3" customFormat="1" hidden="1" outlineLevel="1" x14ac:dyDescent="0.25">
      <c r="A121" s="2">
        <f>ROW(DIARIO[[#This Row],[Nombre de Cuenta]])-1</f>
        <v>120</v>
      </c>
      <c r="B121" s="2"/>
      <c r="C121" s="12" t="s">
        <v>425</v>
      </c>
      <c r="D121" s="2">
        <f>VLOOKUP(C121,CATALOGO[],2,FALSE)</f>
        <v>59</v>
      </c>
      <c r="E121" s="12" t="str">
        <f>VLOOKUP(DIARIO[[#This Row],[Objeto de Gasto]],CATALOGO[],3,FALSE)</f>
        <v>42600 Equipo Para Computacion</v>
      </c>
      <c r="F121" s="12"/>
      <c r="G121" s="12" t="s">
        <v>31</v>
      </c>
      <c r="H121" s="2"/>
      <c r="I121" s="8"/>
      <c r="J121" s="2"/>
      <c r="K121" s="8"/>
      <c r="L121" s="2"/>
      <c r="M121" s="8"/>
      <c r="N121" s="13">
        <v>393985</v>
      </c>
      <c r="O121" s="13"/>
      <c r="P121" s="14">
        <f t="shared" si="14"/>
        <v>393985</v>
      </c>
      <c r="Q121" s="2" t="s">
        <v>31</v>
      </c>
      <c r="R121" s="38"/>
      <c r="S121" s="12"/>
      <c r="T121" s="13"/>
    </row>
    <row r="122" spans="1:20" s="3" customFormat="1" hidden="1" outlineLevel="1" x14ac:dyDescent="0.25">
      <c r="A122" s="2">
        <f>ROW(DIARIO[[#This Row],[Nombre de Cuenta]])-1</f>
        <v>121</v>
      </c>
      <c r="B122" s="2"/>
      <c r="C122" s="12" t="s">
        <v>323</v>
      </c>
      <c r="D122" s="2">
        <f>VLOOKUP(C122,CATALOGO[],2,FALSE)</f>
        <v>59</v>
      </c>
      <c r="E122" s="12" t="str">
        <f>VLOOKUP(DIARIO[[#This Row],[Objeto de Gasto]],CATALOGO[],3,FALSE)</f>
        <v>42600 Equipo Para Computacion</v>
      </c>
      <c r="F122" s="12"/>
      <c r="G122" s="12" t="s">
        <v>31</v>
      </c>
      <c r="H122" s="2"/>
      <c r="I122" s="8"/>
      <c r="J122" s="2"/>
      <c r="K122" s="8"/>
      <c r="L122" s="2"/>
      <c r="M122" s="8"/>
      <c r="N122" s="13">
        <v>296000</v>
      </c>
      <c r="O122" s="13"/>
      <c r="P122" s="14">
        <f t="shared" si="14"/>
        <v>296000</v>
      </c>
      <c r="Q122" s="2" t="s">
        <v>31</v>
      </c>
      <c r="R122" s="38"/>
      <c r="S122" s="12"/>
      <c r="T122" s="13"/>
    </row>
    <row r="123" spans="1:20" s="3" customFormat="1" hidden="1" outlineLevel="1" x14ac:dyDescent="0.25">
      <c r="A123" s="2">
        <f>ROW(DIARIO[[#This Row],[Nombre de Cuenta]])-1</f>
        <v>122</v>
      </c>
      <c r="B123" s="2"/>
      <c r="C123" s="12" t="s">
        <v>327</v>
      </c>
      <c r="D123" s="2">
        <f>VLOOKUP(C123,CATALOGO[],2,FALSE)</f>
        <v>60</v>
      </c>
      <c r="E123" s="12" t="str">
        <f>VLOOKUP(DIARIO[[#This Row],[Objeto de Gasto]],CATALOGO[],3,FALSE)</f>
        <v>45100 Aplicaciones Informaticas</v>
      </c>
      <c r="F123" s="12"/>
      <c r="G123" s="12" t="s">
        <v>31</v>
      </c>
      <c r="H123" s="2"/>
      <c r="I123" s="8"/>
      <c r="J123" s="2"/>
      <c r="K123" s="8"/>
      <c r="L123" s="2"/>
      <c r="M123" s="8"/>
      <c r="N123" s="13">
        <v>200000</v>
      </c>
      <c r="O123" s="13"/>
      <c r="P123" s="14">
        <f t="shared" si="14"/>
        <v>200000</v>
      </c>
      <c r="Q123" s="2" t="s">
        <v>31</v>
      </c>
      <c r="R123" s="38"/>
      <c r="S123" s="12"/>
      <c r="T123" s="13"/>
    </row>
    <row r="124" spans="1:20" s="3" customFormat="1" hidden="1" outlineLevel="1" x14ac:dyDescent="0.25">
      <c r="A124" s="2">
        <f>ROW(DIARIO[[#This Row],[Nombre de Cuenta]])-1</f>
        <v>123</v>
      </c>
      <c r="B124" s="2"/>
      <c r="C124" s="12" t="s">
        <v>426</v>
      </c>
      <c r="D124" s="2">
        <f>VLOOKUP(C124,CATALOGO[],2,FALSE)</f>
        <v>60</v>
      </c>
      <c r="E124" s="12" t="str">
        <f>VLOOKUP(DIARIO[[#This Row],[Objeto de Gasto]],CATALOGO[],3,FALSE)</f>
        <v>45100 Aplicaciones Informaticas</v>
      </c>
      <c r="F124" s="12"/>
      <c r="G124" s="12" t="s">
        <v>31</v>
      </c>
      <c r="H124" s="2"/>
      <c r="I124" s="8"/>
      <c r="J124" s="2"/>
      <c r="K124" s="8"/>
      <c r="L124" s="2"/>
      <c r="M124" s="8"/>
      <c r="N124" s="13">
        <v>200000</v>
      </c>
      <c r="O124" s="13"/>
      <c r="P124" s="14">
        <f t="shared" si="14"/>
        <v>200000</v>
      </c>
      <c r="Q124" s="2" t="s">
        <v>31</v>
      </c>
      <c r="R124" s="38"/>
      <c r="S124" s="12"/>
      <c r="T124" s="13"/>
    </row>
    <row r="125" spans="1:20" s="3" customFormat="1" hidden="1" outlineLevel="1" x14ac:dyDescent="0.25">
      <c r="A125" s="2">
        <f>ROW(DIARIO[[#This Row],[Nombre de Cuenta]])-1</f>
        <v>124</v>
      </c>
      <c r="B125" s="2"/>
      <c r="C125" s="12" t="s">
        <v>328</v>
      </c>
      <c r="D125" s="2">
        <f>VLOOKUP(C125,CATALOGO[],2,FALSE)</f>
        <v>60</v>
      </c>
      <c r="E125" s="12" t="str">
        <f>VLOOKUP(DIARIO[[#This Row],[Objeto de Gasto]],CATALOGO[],3,FALSE)</f>
        <v>45100 Aplicaciones Informaticas</v>
      </c>
      <c r="F125" s="12"/>
      <c r="G125" s="12" t="s">
        <v>31</v>
      </c>
      <c r="H125" s="2"/>
      <c r="I125" s="8"/>
      <c r="J125" s="2"/>
      <c r="K125" s="8"/>
      <c r="L125" s="2"/>
      <c r="M125" s="8"/>
      <c r="N125" s="13">
        <v>110047</v>
      </c>
      <c r="O125" s="13"/>
      <c r="P125" s="14">
        <f t="shared" si="14"/>
        <v>110047</v>
      </c>
      <c r="Q125" s="2" t="s">
        <v>31</v>
      </c>
      <c r="R125" s="38"/>
      <c r="S125" s="12"/>
      <c r="T125" s="13"/>
    </row>
    <row r="126" spans="1:20" s="3" customFormat="1" hidden="1" outlineLevel="1" x14ac:dyDescent="0.25">
      <c r="A126" s="2">
        <f>ROW(DIARIO[[#This Row],[Nombre de Cuenta]])-1</f>
        <v>125</v>
      </c>
      <c r="B126" s="2"/>
      <c r="C126" s="12" t="s">
        <v>347</v>
      </c>
      <c r="D126" s="2">
        <f>VLOOKUP(C126,CATALOGO[],2,FALSE)</f>
        <v>62</v>
      </c>
      <c r="E126" s="12" t="str">
        <f>VLOOKUP(DIARIO[[#This Row],[Objeto de Gasto]],CATALOGO[],3,FALSE)</f>
        <v>51240 Beneficios Especiales</v>
      </c>
      <c r="F126" s="12"/>
      <c r="G126" s="12" t="s">
        <v>31</v>
      </c>
      <c r="H126" s="2"/>
      <c r="I126" s="8"/>
      <c r="J126" s="2"/>
      <c r="K126" s="8"/>
      <c r="L126" s="2"/>
      <c r="M126" s="8"/>
      <c r="N126" s="13">
        <v>1800</v>
      </c>
      <c r="O126" s="13"/>
      <c r="P126" s="14">
        <f t="shared" si="14"/>
        <v>1800</v>
      </c>
      <c r="Q126" s="2" t="s">
        <v>31</v>
      </c>
      <c r="R126" s="38"/>
      <c r="S126" s="12"/>
      <c r="T126" s="13"/>
    </row>
    <row r="127" spans="1:20" s="3" customFormat="1" hidden="1" outlineLevel="1" x14ac:dyDescent="0.25">
      <c r="A127" s="2">
        <f>ROW(DIARIO[[#This Row],[Nombre de Cuenta]])-1</f>
        <v>126</v>
      </c>
      <c r="B127" s="2"/>
      <c r="C127" s="12" t="s">
        <v>28</v>
      </c>
      <c r="D127" s="2">
        <f>VLOOKUP(C127,CATALOGO[],2,FALSE)</f>
        <v>2</v>
      </c>
      <c r="E127" s="12" t="str">
        <f>VLOOKUP(DIARIO[[#This Row],[Objeto de Gasto]],CATALOGO[],3,FALSE)</f>
        <v>11100 Sueldos Basicos</v>
      </c>
      <c r="F127" s="12"/>
      <c r="G127" s="12" t="s">
        <v>427</v>
      </c>
      <c r="H127" s="2"/>
      <c r="I127" s="8"/>
      <c r="J127" s="2"/>
      <c r="K127" s="8"/>
      <c r="L127" s="2"/>
      <c r="M127" s="8"/>
      <c r="N127" s="13"/>
      <c r="O127" s="13">
        <v>44545640.859999999</v>
      </c>
      <c r="P127" s="14">
        <f t="shared" ref="P127:P177" si="15">N127-O127</f>
        <v>-44545640.859999999</v>
      </c>
      <c r="Q127" s="15" t="s">
        <v>18</v>
      </c>
      <c r="R127" s="38"/>
      <c r="S127" s="12"/>
      <c r="T127" s="13">
        <v>44545640.859999999</v>
      </c>
    </row>
    <row r="128" spans="1:20" s="3" customFormat="1" hidden="1" outlineLevel="1" x14ac:dyDescent="0.25">
      <c r="A128" s="2">
        <f>ROW(DIARIO[[#This Row],[Nombre de Cuenta]])-1</f>
        <v>127</v>
      </c>
      <c r="B128" s="2"/>
      <c r="C128" s="12" t="s">
        <v>39</v>
      </c>
      <c r="D128" s="2">
        <f>VLOOKUP(C128,CATALOGO[],2,FALSE)</f>
        <v>3</v>
      </c>
      <c r="E128" s="12" t="str">
        <f>VLOOKUP(DIARIO[[#This Row],[Objeto de Gasto]],CATALOGO[],3,FALSE)</f>
        <v>11400 Adicionales</v>
      </c>
      <c r="F128" s="12"/>
      <c r="G128" s="12" t="s">
        <v>427</v>
      </c>
      <c r="H128" s="2"/>
      <c r="I128" s="8"/>
      <c r="J128" s="2"/>
      <c r="K128" s="8"/>
      <c r="L128" s="2"/>
      <c r="M128" s="8"/>
      <c r="N128" s="13"/>
      <c r="O128" s="13">
        <v>40019.177896300382</v>
      </c>
      <c r="P128" s="14">
        <f t="shared" si="15"/>
        <v>-40019.177896300382</v>
      </c>
      <c r="Q128" s="15" t="s">
        <v>18</v>
      </c>
      <c r="R128" s="38"/>
      <c r="S128" s="12"/>
      <c r="T128" s="13">
        <v>40019.177896300382</v>
      </c>
    </row>
    <row r="129" spans="1:20" s="3" customFormat="1" hidden="1" outlineLevel="1" x14ac:dyDescent="0.25">
      <c r="A129" s="2">
        <f>ROW(DIARIO[[#This Row],[Nombre de Cuenta]])-1</f>
        <v>128</v>
      </c>
      <c r="B129" s="2"/>
      <c r="C129" s="12" t="s">
        <v>391</v>
      </c>
      <c r="D129" s="2">
        <f>VLOOKUP(C129,CATALOGO[],2,FALSE)</f>
        <v>3</v>
      </c>
      <c r="E129" s="12" t="str">
        <f>VLOOKUP(DIARIO[[#This Row],[Objeto de Gasto]],CATALOGO[],3,FALSE)</f>
        <v>11400 Adicionales</v>
      </c>
      <c r="F129" s="12"/>
      <c r="G129" s="12" t="s">
        <v>427</v>
      </c>
      <c r="H129" s="2"/>
      <c r="I129" s="8"/>
      <c r="J129" s="2"/>
      <c r="K129" s="8"/>
      <c r="L129" s="2"/>
      <c r="M129" s="8"/>
      <c r="N129" s="13"/>
      <c r="O129" s="13">
        <v>67879.729659883116</v>
      </c>
      <c r="P129" s="14">
        <f t="shared" si="15"/>
        <v>-67879.729659883116</v>
      </c>
      <c r="Q129" s="15" t="s">
        <v>18</v>
      </c>
      <c r="R129" s="38"/>
      <c r="S129" s="12"/>
      <c r="T129" s="13">
        <v>67879.729659883116</v>
      </c>
    </row>
    <row r="130" spans="1:20" s="3" customFormat="1" hidden="1" outlineLevel="1" x14ac:dyDescent="0.25">
      <c r="A130" s="2">
        <f>ROW(DIARIO[[#This Row],[Nombre de Cuenta]])-1</f>
        <v>129</v>
      </c>
      <c r="B130" s="2"/>
      <c r="C130" s="12" t="s">
        <v>36</v>
      </c>
      <c r="D130" s="2">
        <f>VLOOKUP(C130,CATALOGO[],2,FALSE)</f>
        <v>3</v>
      </c>
      <c r="E130" s="12" t="str">
        <f>VLOOKUP(DIARIO[[#This Row],[Objeto de Gasto]],CATALOGO[],3,FALSE)</f>
        <v>11400 Adicionales</v>
      </c>
      <c r="F130" s="12"/>
      <c r="G130" s="12" t="s">
        <v>427</v>
      </c>
      <c r="H130" s="2"/>
      <c r="I130" s="8"/>
      <c r="J130" s="2"/>
      <c r="K130" s="8"/>
      <c r="L130" s="2"/>
      <c r="M130" s="8"/>
      <c r="N130" s="13"/>
      <c r="O130" s="13">
        <v>186167.42244381653</v>
      </c>
      <c r="P130" s="14">
        <f t="shared" si="15"/>
        <v>-186167.42244381653</v>
      </c>
      <c r="Q130" s="15" t="s">
        <v>18</v>
      </c>
      <c r="R130" s="38"/>
      <c r="S130" s="12"/>
      <c r="T130" s="13">
        <v>186167.42244381653</v>
      </c>
    </row>
    <row r="131" spans="1:20" s="3" customFormat="1" hidden="1" outlineLevel="1" x14ac:dyDescent="0.25">
      <c r="A131" s="2">
        <f>ROW(DIARIO[[#This Row],[Nombre de Cuenta]])-1</f>
        <v>130</v>
      </c>
      <c r="B131" s="2"/>
      <c r="C131" s="12" t="s">
        <v>46</v>
      </c>
      <c r="D131" s="2">
        <f>VLOOKUP(C131,CATALOGO[],2,FALSE)</f>
        <v>5</v>
      </c>
      <c r="E131" s="12" t="str">
        <f>VLOOKUP(DIARIO[[#This Row],[Objeto de Gasto]],CATALOGO[],3,FALSE)</f>
        <v>11520 Decimocuarto Mes</v>
      </c>
      <c r="F131" s="12"/>
      <c r="G131" s="12" t="s">
        <v>427</v>
      </c>
      <c r="H131" s="2"/>
      <c r="I131" s="8"/>
      <c r="J131" s="2"/>
      <c r="K131" s="8"/>
      <c r="L131" s="2"/>
      <c r="M131" s="8"/>
      <c r="N131" s="13"/>
      <c r="O131" s="13">
        <v>8895921.4499999993</v>
      </c>
      <c r="P131" s="14">
        <f>N131-O131</f>
        <v>-8895921.4499999993</v>
      </c>
      <c r="Q131" s="15" t="s">
        <v>18</v>
      </c>
      <c r="R131" s="38"/>
      <c r="S131" s="12"/>
      <c r="T131" s="13">
        <v>8895921.4499999993</v>
      </c>
    </row>
    <row r="132" spans="1:20" s="3" customFormat="1" hidden="1" outlineLevel="1" x14ac:dyDescent="0.25">
      <c r="A132" s="2">
        <f>ROW(DIARIO[[#This Row],[Nombre de Cuenta]])-1</f>
        <v>131</v>
      </c>
      <c r="B132" s="2"/>
      <c r="C132" s="12" t="s">
        <v>51</v>
      </c>
      <c r="D132" s="2">
        <f>VLOOKUP(C132,CATALOGO[],2,FALSE)</f>
        <v>6</v>
      </c>
      <c r="E132" s="12" t="str">
        <f>VLOOKUP(DIARIO[[#This Row],[Objeto de Gasto]],CATALOGO[],3,FALSE)</f>
        <v>11600 Complementos</v>
      </c>
      <c r="F132" s="12"/>
      <c r="G132" s="12" t="s">
        <v>427</v>
      </c>
      <c r="H132" s="2"/>
      <c r="I132" s="8"/>
      <c r="J132" s="2"/>
      <c r="K132" s="8"/>
      <c r="L132" s="2"/>
      <c r="M132" s="8"/>
      <c r="N132" s="13"/>
      <c r="O132" s="13">
        <v>3855900.66</v>
      </c>
      <c r="P132" s="14">
        <f t="shared" si="15"/>
        <v>-3855900.66</v>
      </c>
      <c r="Q132" s="15" t="s">
        <v>18</v>
      </c>
      <c r="R132" s="38"/>
      <c r="S132" s="12"/>
      <c r="T132" s="13">
        <v>3855900.66</v>
      </c>
    </row>
    <row r="133" spans="1:20" s="3" customFormat="1" hidden="1" outlineLevel="1" x14ac:dyDescent="0.25">
      <c r="A133" s="2">
        <f>ROW(DIARIO[[#This Row],[Nombre de Cuenta]])-1</f>
        <v>132</v>
      </c>
      <c r="B133" s="2"/>
      <c r="C133" s="12" t="s">
        <v>56</v>
      </c>
      <c r="D133" s="2">
        <f>VLOOKUP(C133,CATALOGO[],2,FALSE)</f>
        <v>7</v>
      </c>
      <c r="E133" s="12" t="str">
        <f>VLOOKUP(DIARIO[[#This Row],[Objeto de Gasto]],CATALOGO[],3,FALSE)</f>
        <v>11710 Contribuciones Al Injupemp</v>
      </c>
      <c r="F133" s="12"/>
      <c r="G133" s="12" t="s">
        <v>427</v>
      </c>
      <c r="H133" s="2"/>
      <c r="I133" s="8"/>
      <c r="J133" s="2"/>
      <c r="K133" s="8"/>
      <c r="L133" s="2"/>
      <c r="M133" s="8"/>
      <c r="N133" s="13"/>
      <c r="O133" s="13">
        <v>6343709.8899999997</v>
      </c>
      <c r="P133" s="14">
        <f t="shared" si="15"/>
        <v>-6343709.8899999997</v>
      </c>
      <c r="Q133" s="15" t="s">
        <v>18</v>
      </c>
      <c r="R133" s="38"/>
      <c r="S133" s="12"/>
      <c r="T133" s="13"/>
    </row>
    <row r="134" spans="1:20" s="3" customFormat="1" hidden="1" outlineLevel="1" x14ac:dyDescent="0.25">
      <c r="A134" s="2">
        <f>ROW(DIARIO[[#This Row],[Nombre de Cuenta]])-1</f>
        <v>133</v>
      </c>
      <c r="B134" s="2"/>
      <c r="C134" s="12" t="s">
        <v>61</v>
      </c>
      <c r="D134" s="2">
        <f>VLOOKUP(C134,CATALOGO[],2,FALSE)</f>
        <v>8</v>
      </c>
      <c r="E134" s="12" t="str">
        <f>VLOOKUP(DIARIO[[#This Row],[Objeto de Gasto]],CATALOGO[],3,FALSE)</f>
        <v>11750 Contribuciones Para El Seguro Social</v>
      </c>
      <c r="F134" s="12"/>
      <c r="G134" s="12" t="s">
        <v>427</v>
      </c>
      <c r="H134" s="2"/>
      <c r="I134" s="8"/>
      <c r="J134" s="2"/>
      <c r="K134" s="8"/>
      <c r="L134" s="2"/>
      <c r="M134" s="8"/>
      <c r="N134" s="13"/>
      <c r="O134" s="13">
        <v>660822.77</v>
      </c>
      <c r="P134" s="14">
        <f t="shared" si="15"/>
        <v>-660822.77</v>
      </c>
      <c r="Q134" s="15" t="s">
        <v>18</v>
      </c>
      <c r="R134" s="38"/>
      <c r="S134" s="12"/>
      <c r="T134" s="13">
        <v>660822.77</v>
      </c>
    </row>
    <row r="135" spans="1:20" s="3" customFormat="1" hidden="1" outlineLevel="1" x14ac:dyDescent="0.25">
      <c r="A135" s="2">
        <f>ROW(DIARIO[[#This Row],[Nombre de Cuenta]])-1</f>
        <v>134</v>
      </c>
      <c r="B135" s="2"/>
      <c r="C135" s="12" t="s">
        <v>69</v>
      </c>
      <c r="D135" s="2">
        <f>VLOOKUP(C135,CATALOGO[],2,FALSE)</f>
        <v>9</v>
      </c>
      <c r="E135" s="12" t="str">
        <f>VLOOKUP(DIARIO[[#This Row],[Objeto de Gasto]],CATALOGO[],3,FALSE)</f>
        <v>12100 Sueldos Basicos</v>
      </c>
      <c r="F135" s="12"/>
      <c r="G135" s="12" t="s">
        <v>427</v>
      </c>
      <c r="H135" s="2"/>
      <c r="I135" s="8"/>
      <c r="J135" s="2"/>
      <c r="K135" s="8"/>
      <c r="L135" s="2"/>
      <c r="M135" s="8"/>
      <c r="N135" s="13"/>
      <c r="O135" s="13">
        <v>10659086.655121563</v>
      </c>
      <c r="P135" s="14">
        <f t="shared" ref="P135:P145" si="16">N135-O135</f>
        <v>-10659086.655121563</v>
      </c>
      <c r="Q135" s="15" t="s">
        <v>18</v>
      </c>
      <c r="R135" s="38"/>
      <c r="S135" s="12"/>
      <c r="T135" s="13">
        <v>10659086.655121563</v>
      </c>
    </row>
    <row r="136" spans="1:20" s="3" customFormat="1" hidden="1" outlineLevel="1" x14ac:dyDescent="0.25">
      <c r="A136" s="2">
        <f>ROW(DIARIO[[#This Row],[Nombre de Cuenta]])-1</f>
        <v>135</v>
      </c>
      <c r="B136" s="2"/>
      <c r="C136" s="12" t="s">
        <v>392</v>
      </c>
      <c r="D136" s="2">
        <f>VLOOKUP(C136,CATALOGO[],2,FALSE)</f>
        <v>9</v>
      </c>
      <c r="E136" s="12" t="str">
        <f>VLOOKUP(DIARIO[[#This Row],[Objeto de Gasto]],CATALOGO[],3,FALSE)</f>
        <v>12100 Sueldos Basicos</v>
      </c>
      <c r="F136" s="12"/>
      <c r="G136" s="12" t="s">
        <v>427</v>
      </c>
      <c r="H136" s="2"/>
      <c r="I136" s="8"/>
      <c r="J136" s="2"/>
      <c r="K136" s="8"/>
      <c r="L136" s="2"/>
      <c r="M136" s="8"/>
      <c r="N136" s="13"/>
      <c r="O136" s="13">
        <v>7168849.8839231944</v>
      </c>
      <c r="P136" s="14">
        <f t="shared" si="16"/>
        <v>-7168849.8839231944</v>
      </c>
      <c r="Q136" s="15" t="s">
        <v>18</v>
      </c>
      <c r="R136" s="38"/>
      <c r="S136" s="12"/>
      <c r="T136" s="13">
        <v>7168849.8839231944</v>
      </c>
    </row>
    <row r="137" spans="1:20" s="3" customFormat="1" hidden="1" outlineLevel="1" x14ac:dyDescent="0.25">
      <c r="A137" s="2">
        <f>ROW(DIARIO[[#This Row],[Nombre de Cuenta]])-1</f>
        <v>136</v>
      </c>
      <c r="B137" s="2"/>
      <c r="C137" s="12" t="s">
        <v>70</v>
      </c>
      <c r="D137" s="2">
        <f>VLOOKUP(C137,CATALOGO[],2,FALSE)</f>
        <v>9</v>
      </c>
      <c r="E137" s="12" t="str">
        <f>VLOOKUP(DIARIO[[#This Row],[Objeto de Gasto]],CATALOGO[],3,FALSE)</f>
        <v>12100 Sueldos Basicos</v>
      </c>
      <c r="F137" s="12"/>
      <c r="G137" s="12" t="s">
        <v>427</v>
      </c>
      <c r="H137" s="2"/>
      <c r="I137" s="8"/>
      <c r="J137" s="2"/>
      <c r="K137" s="8"/>
      <c r="L137" s="2"/>
      <c r="M137" s="8"/>
      <c r="N137" s="13"/>
      <c r="O137" s="13">
        <v>7135004.9112153826</v>
      </c>
      <c r="P137" s="14">
        <f t="shared" si="16"/>
        <v>-7135004.9112153826</v>
      </c>
      <c r="Q137" s="15" t="s">
        <v>18</v>
      </c>
      <c r="R137" s="38"/>
      <c r="S137" s="12"/>
      <c r="T137" s="13">
        <v>7135004.9112153826</v>
      </c>
    </row>
    <row r="138" spans="1:20" s="3" customFormat="1" hidden="1" outlineLevel="1" x14ac:dyDescent="0.25">
      <c r="A138" s="2">
        <f>ROW(DIARIO[[#This Row],[Nombre de Cuenta]])-1</f>
        <v>137</v>
      </c>
      <c r="B138" s="2"/>
      <c r="C138" s="12" t="s">
        <v>66</v>
      </c>
      <c r="D138" s="2">
        <f>VLOOKUP(C138,CATALOGO[],2,FALSE)</f>
        <v>9</v>
      </c>
      <c r="E138" s="12" t="str">
        <f>VLOOKUP(DIARIO[[#This Row],[Objeto de Gasto]],CATALOGO[],3,FALSE)</f>
        <v>12100 Sueldos Basicos</v>
      </c>
      <c r="F138" s="12"/>
      <c r="G138" s="12" t="s">
        <v>427</v>
      </c>
      <c r="H138" s="2"/>
      <c r="I138" s="8"/>
      <c r="J138" s="2"/>
      <c r="K138" s="8"/>
      <c r="L138" s="2"/>
      <c r="M138" s="8"/>
      <c r="N138" s="13"/>
      <c r="O138" s="13">
        <v>7206304.9397398606</v>
      </c>
      <c r="P138" s="14">
        <f t="shared" si="16"/>
        <v>-7206304.9397398606</v>
      </c>
      <c r="Q138" s="15" t="s">
        <v>18</v>
      </c>
      <c r="R138" s="38"/>
      <c r="S138" s="12"/>
      <c r="T138" s="13">
        <v>7206304.9397398606</v>
      </c>
    </row>
    <row r="139" spans="1:20" s="3" customFormat="1" hidden="1" outlineLevel="1" x14ac:dyDescent="0.25">
      <c r="A139" s="2">
        <f>ROW(DIARIO[[#This Row],[Nombre de Cuenta]])-1</f>
        <v>138</v>
      </c>
      <c r="B139" s="2"/>
      <c r="C139" s="12" t="s">
        <v>79</v>
      </c>
      <c r="D139" s="2">
        <f>VLOOKUP(C139,CATALOGO[],2,FALSE)</f>
        <v>11</v>
      </c>
      <c r="E139" s="12" t="str">
        <f>VLOOKUP(DIARIO[[#This Row],[Objeto de Gasto]],CATALOGO[],3,FALSE)</f>
        <v>12420 Decimocuarto Mes</v>
      </c>
      <c r="F139" s="12"/>
      <c r="G139" s="12" t="s">
        <v>427</v>
      </c>
      <c r="H139" s="2"/>
      <c r="I139" s="8"/>
      <c r="J139" s="2"/>
      <c r="K139" s="8"/>
      <c r="L139" s="2"/>
      <c r="M139" s="8"/>
      <c r="N139" s="13"/>
      <c r="O139" s="13">
        <v>2985454.8691764362</v>
      </c>
      <c r="P139" s="14">
        <f>N139-O139</f>
        <v>-2985454.8691764362</v>
      </c>
      <c r="Q139" s="15" t="s">
        <v>18</v>
      </c>
      <c r="R139" s="38"/>
      <c r="S139" s="12"/>
      <c r="T139" s="13">
        <v>2985454.8691764362</v>
      </c>
    </row>
    <row r="140" spans="1:20" s="3" customFormat="1" hidden="1" outlineLevel="1" x14ac:dyDescent="0.25">
      <c r="A140" s="2">
        <f>ROW(DIARIO[[#This Row],[Nombre de Cuenta]])-1</f>
        <v>139</v>
      </c>
      <c r="B140" s="2"/>
      <c r="C140" s="12" t="s">
        <v>394</v>
      </c>
      <c r="D140" s="2">
        <f>VLOOKUP(C140,CATALOGO[],2,FALSE)</f>
        <v>11</v>
      </c>
      <c r="E140" s="12" t="str">
        <f>VLOOKUP(DIARIO[[#This Row],[Objeto de Gasto]],CATALOGO[],3,FALSE)</f>
        <v>12420 Decimocuarto Mes</v>
      </c>
      <c r="F140" s="12"/>
      <c r="G140" s="12" t="s">
        <v>427</v>
      </c>
      <c r="H140" s="2"/>
      <c r="I140" s="8"/>
      <c r="J140" s="2"/>
      <c r="K140" s="8"/>
      <c r="L140" s="2"/>
      <c r="M140" s="8"/>
      <c r="N140" s="13"/>
      <c r="O140" s="13">
        <v>1658031.0193925884</v>
      </c>
      <c r="P140" s="14">
        <f>N140-O140</f>
        <v>-1658031.0193925884</v>
      </c>
      <c r="Q140" s="15" t="s">
        <v>18</v>
      </c>
      <c r="R140" s="38"/>
      <c r="S140" s="12"/>
      <c r="T140" s="13">
        <v>1658031.0193925884</v>
      </c>
    </row>
    <row r="141" spans="1:20" s="3" customFormat="1" hidden="1" outlineLevel="1" x14ac:dyDescent="0.25">
      <c r="A141" s="2">
        <f>ROW(DIARIO[[#This Row],[Nombre de Cuenta]])-1</f>
        <v>140</v>
      </c>
      <c r="B141" s="2"/>
      <c r="C141" s="12" t="s">
        <v>80</v>
      </c>
      <c r="D141" s="2">
        <f>VLOOKUP(C141,CATALOGO[],2,FALSE)</f>
        <v>11</v>
      </c>
      <c r="E141" s="12" t="str">
        <f>VLOOKUP(DIARIO[[#This Row],[Objeto de Gasto]],CATALOGO[],3,FALSE)</f>
        <v>12420 Decimocuarto Mes</v>
      </c>
      <c r="F141" s="12"/>
      <c r="G141" s="12" t="s">
        <v>427</v>
      </c>
      <c r="H141" s="2"/>
      <c r="I141" s="8"/>
      <c r="J141" s="2"/>
      <c r="K141" s="8"/>
      <c r="L141" s="2"/>
      <c r="M141" s="8"/>
      <c r="N141" s="13"/>
      <c r="O141" s="13">
        <v>1248778.1641072978</v>
      </c>
      <c r="P141" s="14">
        <f>N141-O141</f>
        <v>-1248778.1641072978</v>
      </c>
      <c r="Q141" s="15" t="s">
        <v>18</v>
      </c>
      <c r="R141" s="38"/>
      <c r="S141" s="12"/>
      <c r="T141" s="13">
        <v>1248778.1641072978</v>
      </c>
    </row>
    <row r="142" spans="1:20" s="3" customFormat="1" hidden="1" outlineLevel="1" x14ac:dyDescent="0.25">
      <c r="A142" s="2">
        <f>ROW(DIARIO[[#This Row],[Nombre de Cuenta]])-1</f>
        <v>141</v>
      </c>
      <c r="B142" s="2"/>
      <c r="C142" s="12" t="s">
        <v>76</v>
      </c>
      <c r="D142" s="2">
        <f>VLOOKUP(C142,CATALOGO[],2,FALSE)</f>
        <v>11</v>
      </c>
      <c r="E142" s="12" t="str">
        <f>VLOOKUP(DIARIO[[#This Row],[Objeto de Gasto]],CATALOGO[],3,FALSE)</f>
        <v>12420 Decimocuarto Mes</v>
      </c>
      <c r="F142" s="12"/>
      <c r="G142" s="12" t="s">
        <v>427</v>
      </c>
      <c r="H142" s="2"/>
      <c r="I142" s="8"/>
      <c r="J142" s="2"/>
      <c r="K142" s="8"/>
      <c r="L142" s="2"/>
      <c r="M142" s="8"/>
      <c r="N142" s="13"/>
      <c r="O142" s="13">
        <v>521758.63732367754</v>
      </c>
      <c r="P142" s="14">
        <f>N142-O142</f>
        <v>-521758.63732367754</v>
      </c>
      <c r="Q142" s="15" t="s">
        <v>18</v>
      </c>
      <c r="R142" s="38"/>
      <c r="S142" s="12"/>
      <c r="T142" s="13">
        <v>521758.63732367754</v>
      </c>
    </row>
    <row r="143" spans="1:20" s="3" customFormat="1" hidden="1" outlineLevel="1" x14ac:dyDescent="0.25">
      <c r="A143" s="2">
        <f>ROW(DIARIO[[#This Row],[Nombre de Cuenta]])-1</f>
        <v>142</v>
      </c>
      <c r="B143" s="2"/>
      <c r="C143" s="12" t="s">
        <v>84</v>
      </c>
      <c r="D143" s="2">
        <f>VLOOKUP(C143,CATALOGO[],2,FALSE)</f>
        <v>12</v>
      </c>
      <c r="E143" s="12" t="str">
        <f>VLOOKUP(DIARIO[[#This Row],[Objeto de Gasto]],CATALOGO[],3,FALSE)</f>
        <v>12550 Contribuciones Para El Seguro Social</v>
      </c>
      <c r="F143" s="12"/>
      <c r="G143" s="12" t="s">
        <v>427</v>
      </c>
      <c r="H143" s="2"/>
      <c r="I143" s="8"/>
      <c r="J143" s="2"/>
      <c r="K143" s="8"/>
      <c r="L143" s="2"/>
      <c r="M143" s="8"/>
      <c r="N143" s="13"/>
      <c r="O143" s="13">
        <v>123077.45982673923</v>
      </c>
      <c r="P143" s="14">
        <f t="shared" si="16"/>
        <v>-123077.45982673923</v>
      </c>
      <c r="Q143" s="15" t="s">
        <v>18</v>
      </c>
      <c r="R143" s="38"/>
      <c r="S143" s="12"/>
      <c r="T143" s="13">
        <v>55648.055386624954</v>
      </c>
    </row>
    <row r="144" spans="1:20" s="3" customFormat="1" hidden="1" outlineLevel="1" x14ac:dyDescent="0.25">
      <c r="A144" s="2">
        <f>ROW(DIARIO[[#This Row],[Nombre de Cuenta]])-1</f>
        <v>143</v>
      </c>
      <c r="B144" s="2"/>
      <c r="C144" s="12" t="s">
        <v>395</v>
      </c>
      <c r="D144" s="2">
        <f>VLOOKUP(C144,CATALOGO[],2,FALSE)</f>
        <v>12</v>
      </c>
      <c r="E144" s="12" t="str">
        <f>VLOOKUP(DIARIO[[#This Row],[Objeto de Gasto]],CATALOGO[],3,FALSE)</f>
        <v>12550 Contribuciones Para El Seguro Social</v>
      </c>
      <c r="F144" s="12"/>
      <c r="G144" s="12" t="s">
        <v>427</v>
      </c>
      <c r="H144" s="2"/>
      <c r="I144" s="8"/>
      <c r="J144" s="2"/>
      <c r="K144" s="8"/>
      <c r="L144" s="2"/>
      <c r="M144" s="8"/>
      <c r="N144" s="13"/>
      <c r="O144" s="13">
        <v>241328.35107589324</v>
      </c>
      <c r="P144" s="14">
        <f t="shared" si="16"/>
        <v>-241328.35107589324</v>
      </c>
      <c r="Q144" s="15" t="s">
        <v>18</v>
      </c>
      <c r="R144" s="38"/>
      <c r="S144" s="12"/>
      <c r="T144" s="13">
        <v>109113.83340165881</v>
      </c>
    </row>
    <row r="145" spans="1:20" s="3" customFormat="1" hidden="1" outlineLevel="1" x14ac:dyDescent="0.25">
      <c r="A145" s="2">
        <f>ROW(DIARIO[[#This Row],[Nombre de Cuenta]])-1</f>
        <v>144</v>
      </c>
      <c r="B145" s="2"/>
      <c r="C145" s="12" t="s">
        <v>81</v>
      </c>
      <c r="D145" s="2">
        <f>VLOOKUP(C145,CATALOGO[],2,FALSE)</f>
        <v>12</v>
      </c>
      <c r="E145" s="12" t="str">
        <f>VLOOKUP(DIARIO[[#This Row],[Objeto de Gasto]],CATALOGO[],3,FALSE)</f>
        <v>12550 Contribuciones Para El Seguro Social</v>
      </c>
      <c r="F145" s="12"/>
      <c r="G145" s="12" t="s">
        <v>427</v>
      </c>
      <c r="H145" s="2"/>
      <c r="I145" s="8"/>
      <c r="J145" s="2"/>
      <c r="K145" s="8"/>
      <c r="L145" s="2"/>
      <c r="M145" s="8"/>
      <c r="N145" s="13"/>
      <c r="O145" s="13">
        <v>57556.63909736753</v>
      </c>
      <c r="P145" s="14">
        <f t="shared" si="16"/>
        <v>-57556.63909736753</v>
      </c>
      <c r="Q145" s="15" t="s">
        <v>18</v>
      </c>
      <c r="R145" s="38"/>
      <c r="S145" s="12"/>
      <c r="T145" s="13">
        <v>26023.571211716226</v>
      </c>
    </row>
    <row r="146" spans="1:20" s="3" customFormat="1" hidden="1" outlineLevel="1" x14ac:dyDescent="0.25">
      <c r="A146" s="2">
        <f>ROW(DIARIO[[#This Row],[Nombre de Cuenta]])-1</f>
        <v>145</v>
      </c>
      <c r="B146" s="2"/>
      <c r="C146" s="12" t="s">
        <v>352</v>
      </c>
      <c r="D146" s="2">
        <f>VLOOKUP(C146,CATALOGO[],2,FALSE)</f>
        <v>63</v>
      </c>
      <c r="E146" s="12" t="str">
        <f>VLOOKUP(DIARIO[[#This Row],[Objeto de Gasto]],CATALOGO[],3,FALSE)</f>
        <v>14100 Horas Extraordinarias</v>
      </c>
      <c r="F146" s="12"/>
      <c r="G146" s="12" t="s">
        <v>427</v>
      </c>
      <c r="H146" s="2"/>
      <c r="I146" s="8"/>
      <c r="J146" s="2"/>
      <c r="K146" s="8"/>
      <c r="L146" s="2"/>
      <c r="M146" s="8"/>
      <c r="N146" s="13"/>
      <c r="O146" s="13">
        <v>293085.44</v>
      </c>
      <c r="P146" s="14">
        <f t="shared" si="15"/>
        <v>-293085.44</v>
      </c>
      <c r="Q146" s="15" t="s">
        <v>18</v>
      </c>
      <c r="R146" s="38"/>
      <c r="S146" s="12"/>
      <c r="T146" s="13">
        <v>293085.44</v>
      </c>
    </row>
    <row r="147" spans="1:20" s="3" customFormat="1" ht="30" hidden="1" outlineLevel="1" x14ac:dyDescent="0.25">
      <c r="A147" s="2">
        <f>ROW(DIARIO[[#This Row],[Nombre de Cuenta]])-1</f>
        <v>146</v>
      </c>
      <c r="B147" s="2"/>
      <c r="C147" s="12" t="s">
        <v>28</v>
      </c>
      <c r="D147" s="2">
        <f>VLOOKUP(C147,CATALOGO[],2,FALSE)</f>
        <v>2</v>
      </c>
      <c r="E147" s="12" t="str">
        <f>VLOOKUP(DIARIO[[#This Row],[Objeto de Gasto]],CATALOGO[],3,FALSE)</f>
        <v>11100 Sueldos Basicos</v>
      </c>
      <c r="F147" s="12"/>
      <c r="G147" s="12" t="s">
        <v>770</v>
      </c>
      <c r="H147" s="2"/>
      <c r="I147" s="8"/>
      <c r="J147" s="2"/>
      <c r="K147" s="8"/>
      <c r="L147" s="2"/>
      <c r="M147" s="8"/>
      <c r="N147" s="13">
        <v>3782189</v>
      </c>
      <c r="O147" s="13"/>
      <c r="P147" s="14">
        <f t="shared" ref="P147:P155" si="17">N147-O147</f>
        <v>3782189</v>
      </c>
      <c r="Q147" s="15" t="s">
        <v>33</v>
      </c>
      <c r="R147" s="38"/>
      <c r="S147" s="12"/>
      <c r="T147" s="13"/>
    </row>
    <row r="148" spans="1:20" s="3" customFormat="1" ht="30" hidden="1" outlineLevel="1" x14ac:dyDescent="0.25">
      <c r="A148" s="2">
        <f>ROW(DIARIO[[#This Row],[Nombre de Cuenta]])-1</f>
        <v>147</v>
      </c>
      <c r="B148" s="2"/>
      <c r="C148" s="12" t="s">
        <v>39</v>
      </c>
      <c r="D148" s="2">
        <f>VLOOKUP(C148,CATALOGO[],2,FALSE)</f>
        <v>3</v>
      </c>
      <c r="E148" s="12" t="str">
        <f>VLOOKUP(DIARIO[[#This Row],[Objeto de Gasto]],CATALOGO[],3,FALSE)</f>
        <v>11400 Adicionales</v>
      </c>
      <c r="F148" s="12"/>
      <c r="G148" s="12" t="s">
        <v>769</v>
      </c>
      <c r="H148" s="2"/>
      <c r="I148" s="8"/>
      <c r="J148" s="2"/>
      <c r="K148" s="8"/>
      <c r="L148" s="2"/>
      <c r="M148" s="8"/>
      <c r="N148" s="13"/>
      <c r="O148" s="13">
        <v>943096.41916965332</v>
      </c>
      <c r="P148" s="14">
        <f t="shared" si="17"/>
        <v>-943096.41916965332</v>
      </c>
      <c r="Q148" s="15" t="s">
        <v>33</v>
      </c>
      <c r="R148" s="38"/>
      <c r="S148" s="12"/>
      <c r="T148" s="13"/>
    </row>
    <row r="149" spans="1:20" s="3" customFormat="1" ht="30" hidden="1" outlineLevel="1" x14ac:dyDescent="0.25">
      <c r="A149" s="2">
        <f>ROW(DIARIO[[#This Row],[Nombre de Cuenta]])-1</f>
        <v>148</v>
      </c>
      <c r="B149" s="2"/>
      <c r="C149" s="12" t="s">
        <v>391</v>
      </c>
      <c r="D149" s="2">
        <f>VLOOKUP(C149,CATALOGO[],2,FALSE)</f>
        <v>3</v>
      </c>
      <c r="E149" s="12" t="str">
        <f>VLOOKUP(DIARIO[[#This Row],[Objeto de Gasto]],CATALOGO[],3,FALSE)</f>
        <v>11400 Adicionales</v>
      </c>
      <c r="F149" s="12"/>
      <c r="G149" s="12" t="s">
        <v>769</v>
      </c>
      <c r="H149" s="2"/>
      <c r="I149" s="8"/>
      <c r="J149" s="2"/>
      <c r="K149" s="8"/>
      <c r="L149" s="2"/>
      <c r="M149" s="8"/>
      <c r="N149" s="13"/>
      <c r="O149" s="13">
        <v>1599661.2959497606</v>
      </c>
      <c r="P149" s="14">
        <f t="shared" si="17"/>
        <v>-1599661.2959497606</v>
      </c>
      <c r="Q149" s="15" t="s">
        <v>33</v>
      </c>
      <c r="R149" s="38"/>
      <c r="S149" s="12"/>
      <c r="T149" s="13"/>
    </row>
    <row r="150" spans="1:20" s="3" customFormat="1" ht="30" hidden="1" outlineLevel="1" x14ac:dyDescent="0.25">
      <c r="A150" s="2">
        <f>ROW(DIARIO[[#This Row],[Nombre de Cuenta]])-1</f>
        <v>149</v>
      </c>
      <c r="B150" s="2"/>
      <c r="C150" s="12" t="s">
        <v>36</v>
      </c>
      <c r="D150" s="2">
        <f>VLOOKUP(C150,CATALOGO[],2,FALSE)</f>
        <v>3</v>
      </c>
      <c r="E150" s="12" t="str">
        <f>VLOOKUP(DIARIO[[#This Row],[Objeto de Gasto]],CATALOGO[],3,FALSE)</f>
        <v>11400 Adicionales</v>
      </c>
      <c r="F150" s="12"/>
      <c r="G150" s="12" t="s">
        <v>769</v>
      </c>
      <c r="H150" s="2"/>
      <c r="I150" s="8"/>
      <c r="J150" s="2"/>
      <c r="K150" s="8"/>
      <c r="L150" s="2"/>
      <c r="M150" s="8"/>
      <c r="N150" s="13"/>
      <c r="O150" s="13">
        <v>4387242.284880586</v>
      </c>
      <c r="P150" s="14">
        <f t="shared" si="17"/>
        <v>-4387242.284880586</v>
      </c>
      <c r="Q150" s="15" t="s">
        <v>33</v>
      </c>
      <c r="R150" s="38"/>
      <c r="S150" s="12"/>
      <c r="T150" s="13"/>
    </row>
    <row r="151" spans="1:20" s="3" customFormat="1" ht="30" hidden="1" outlineLevel="1" x14ac:dyDescent="0.25">
      <c r="A151" s="2">
        <f>ROW(DIARIO[[#This Row],[Nombre de Cuenta]])-1</f>
        <v>150</v>
      </c>
      <c r="B151" s="2"/>
      <c r="C151" s="12" t="s">
        <v>41</v>
      </c>
      <c r="D151" s="2">
        <f>VLOOKUP(C151,CATALOGO[],2,FALSE)</f>
        <v>4</v>
      </c>
      <c r="E151" s="12" t="str">
        <f>VLOOKUP(DIARIO[[#This Row],[Objeto de Gasto]],CATALOGO[],3,FALSE)</f>
        <v>11510 Decimotercer Mes</v>
      </c>
      <c r="F151" s="12"/>
      <c r="G151" s="12" t="s">
        <v>770</v>
      </c>
      <c r="H151" s="2"/>
      <c r="I151" s="8"/>
      <c r="J151" s="2"/>
      <c r="K151" s="8"/>
      <c r="L151" s="2"/>
      <c r="M151" s="8"/>
      <c r="N151" s="13">
        <v>315183</v>
      </c>
      <c r="O151" s="13"/>
      <c r="P151" s="14">
        <f t="shared" si="17"/>
        <v>315183</v>
      </c>
      <c r="Q151" s="15" t="s">
        <v>33</v>
      </c>
      <c r="R151" s="38"/>
      <c r="S151" s="12"/>
      <c r="T151" s="13"/>
    </row>
    <row r="152" spans="1:20" s="3" customFormat="1" ht="30" hidden="1" outlineLevel="1" x14ac:dyDescent="0.25">
      <c r="A152" s="2">
        <f>ROW(DIARIO[[#This Row],[Nombre de Cuenta]])-1</f>
        <v>151</v>
      </c>
      <c r="B152" s="2"/>
      <c r="C152" s="12" t="s">
        <v>46</v>
      </c>
      <c r="D152" s="2">
        <f>VLOOKUP(C152,CATALOGO[],2,FALSE)</f>
        <v>5</v>
      </c>
      <c r="E152" s="12" t="str">
        <f>VLOOKUP(DIARIO[[#This Row],[Objeto de Gasto]],CATALOGO[],3,FALSE)</f>
        <v>11520 Decimocuarto Mes</v>
      </c>
      <c r="F152" s="12"/>
      <c r="G152" s="12" t="s">
        <v>770</v>
      </c>
      <c r="H152" s="2"/>
      <c r="I152" s="8"/>
      <c r="J152" s="2"/>
      <c r="K152" s="8"/>
      <c r="L152" s="2"/>
      <c r="M152" s="8"/>
      <c r="N152" s="13">
        <v>315183</v>
      </c>
      <c r="O152" s="13"/>
      <c r="P152" s="14">
        <f t="shared" si="17"/>
        <v>315183</v>
      </c>
      <c r="Q152" s="15" t="s">
        <v>33</v>
      </c>
      <c r="R152" s="38"/>
      <c r="S152" s="12"/>
      <c r="T152" s="13"/>
    </row>
    <row r="153" spans="1:20" s="3" customFormat="1" ht="30" hidden="1" outlineLevel="1" x14ac:dyDescent="0.25">
      <c r="A153" s="2">
        <f>ROW(DIARIO[[#This Row],[Nombre de Cuenta]])-1</f>
        <v>152</v>
      </c>
      <c r="B153" s="2"/>
      <c r="C153" s="12" t="s">
        <v>51</v>
      </c>
      <c r="D153" s="2">
        <f>VLOOKUP(C153,CATALOGO[],2,FALSE)</f>
        <v>6</v>
      </c>
      <c r="E153" s="12" t="str">
        <f>VLOOKUP(DIARIO[[#This Row],[Objeto de Gasto]],CATALOGO[],3,FALSE)</f>
        <v>11600 Complementos</v>
      </c>
      <c r="F153" s="12"/>
      <c r="G153" s="12" t="s">
        <v>770</v>
      </c>
      <c r="H153" s="2"/>
      <c r="I153" s="8"/>
      <c r="J153" s="2"/>
      <c r="K153" s="8"/>
      <c r="L153" s="2"/>
      <c r="M153" s="8"/>
      <c r="N153" s="13">
        <v>315183</v>
      </c>
      <c r="O153" s="13"/>
      <c r="P153" s="14">
        <f t="shared" si="17"/>
        <v>315183</v>
      </c>
      <c r="Q153" s="15" t="s">
        <v>33</v>
      </c>
      <c r="R153" s="38"/>
      <c r="S153" s="12"/>
      <c r="T153" s="13"/>
    </row>
    <row r="154" spans="1:20" s="3" customFormat="1" ht="30" hidden="1" outlineLevel="1" x14ac:dyDescent="0.25">
      <c r="A154" s="2">
        <f>ROW(DIARIO[[#This Row],[Nombre de Cuenta]])-1</f>
        <v>153</v>
      </c>
      <c r="B154" s="2"/>
      <c r="C154" s="12" t="s">
        <v>56</v>
      </c>
      <c r="D154" s="2">
        <f>VLOOKUP(C154,CATALOGO[],2,FALSE)</f>
        <v>7</v>
      </c>
      <c r="E154" s="12" t="str">
        <f>VLOOKUP(DIARIO[[#This Row],[Objeto de Gasto]],CATALOGO[],3,FALSE)</f>
        <v>11710 Contribuciones Al Injupemp</v>
      </c>
      <c r="F154" s="12"/>
      <c r="G154" s="12" t="s">
        <v>770</v>
      </c>
      <c r="H154" s="2"/>
      <c r="I154" s="8"/>
      <c r="J154" s="2"/>
      <c r="K154" s="8"/>
      <c r="L154" s="2"/>
      <c r="M154" s="8"/>
      <c r="N154" s="13">
        <v>548418</v>
      </c>
      <c r="O154" s="13"/>
      <c r="P154" s="14">
        <f t="shared" si="17"/>
        <v>548418</v>
      </c>
      <c r="Q154" s="15" t="s">
        <v>33</v>
      </c>
      <c r="R154" s="38"/>
      <c r="S154" s="12"/>
      <c r="T154" s="13"/>
    </row>
    <row r="155" spans="1:20" s="3" customFormat="1" ht="30" hidden="1" outlineLevel="1" x14ac:dyDescent="0.25">
      <c r="A155" s="2">
        <f>ROW(DIARIO[[#This Row],[Nombre de Cuenta]])-1</f>
        <v>154</v>
      </c>
      <c r="B155" s="2"/>
      <c r="C155" s="12" t="s">
        <v>352</v>
      </c>
      <c r="D155" s="2">
        <f>VLOOKUP(C155,CATALOGO[],2,FALSE)</f>
        <v>63</v>
      </c>
      <c r="E155" s="12" t="str">
        <f>VLOOKUP(DIARIO[[#This Row],[Objeto de Gasto]],CATALOGO[],3,FALSE)</f>
        <v>14100 Horas Extraordinarias</v>
      </c>
      <c r="F155" s="12"/>
      <c r="G155" s="12" t="s">
        <v>770</v>
      </c>
      <c r="H155" s="2"/>
      <c r="I155" s="8"/>
      <c r="J155" s="2"/>
      <c r="K155" s="8"/>
      <c r="L155" s="2"/>
      <c r="M155" s="8"/>
      <c r="N155" s="13">
        <v>1014081</v>
      </c>
      <c r="O155" s="13"/>
      <c r="P155" s="14">
        <f t="shared" si="17"/>
        <v>1014081</v>
      </c>
      <c r="Q155" s="15" t="s">
        <v>33</v>
      </c>
      <c r="R155" s="38"/>
      <c r="S155" s="12"/>
      <c r="T155" s="13"/>
    </row>
    <row r="156" spans="1:20" s="3" customFormat="1" ht="45" hidden="1" outlineLevel="1" x14ac:dyDescent="0.25">
      <c r="A156" s="44">
        <f>ROW(DIARIO[[#This Row],[Nombre de Cuenta]])-1</f>
        <v>155</v>
      </c>
      <c r="B156" s="46"/>
      <c r="C156" s="47" t="s">
        <v>397</v>
      </c>
      <c r="D156" s="48">
        <f>VLOOKUP(C156,CATALOGO[],2,FALSE)</f>
        <v>15</v>
      </c>
      <c r="E156" s="49" t="str">
        <f>VLOOKUP(DIARIO[[#This Row],[Objeto de Gasto]],CATALOGO[],3,FALSE)</f>
        <v>23200 Mantenimiento Y Reparacion De Equipos Y Medios De Transporte Terrestre</v>
      </c>
      <c r="F156" s="50"/>
      <c r="G156" s="53" t="s">
        <v>428</v>
      </c>
      <c r="H156" s="50"/>
      <c r="I156" s="51"/>
      <c r="J156" s="50"/>
      <c r="K156" s="51"/>
      <c r="L156" s="50"/>
      <c r="M156" s="51"/>
      <c r="N156" s="52"/>
      <c r="O156" s="13">
        <v>660000</v>
      </c>
      <c r="P156" s="52">
        <f t="shared" ref="P156:P166" si="18">N156-O156</f>
        <v>-660000</v>
      </c>
      <c r="Q156" s="23" t="s">
        <v>33</v>
      </c>
      <c r="R156" s="39"/>
      <c r="S156" s="53"/>
      <c r="T156" s="52"/>
    </row>
    <row r="157" spans="1:20" s="3" customFormat="1" ht="30" hidden="1" outlineLevel="1" x14ac:dyDescent="0.25">
      <c r="A157" s="44">
        <f>ROW(DIARIO[[#This Row],[Nombre de Cuenta]])-1</f>
        <v>156</v>
      </c>
      <c r="B157" s="46"/>
      <c r="C157" s="47" t="s">
        <v>155</v>
      </c>
      <c r="D157" s="48">
        <f>VLOOKUP(C157,CATALOGO[],2,FALSE)</f>
        <v>26</v>
      </c>
      <c r="E157" s="49" t="str">
        <f>VLOOKUP(DIARIO[[#This Row],[Objeto de Gasto]],CATALOGO[],3,FALSE)</f>
        <v>27210 Tasas</v>
      </c>
      <c r="F157" s="50"/>
      <c r="G157" s="53" t="s">
        <v>768</v>
      </c>
      <c r="H157" s="50"/>
      <c r="I157" s="51"/>
      <c r="J157" s="50"/>
      <c r="K157" s="51"/>
      <c r="L157" s="50"/>
      <c r="M157" s="51"/>
      <c r="N157" s="52">
        <v>100000</v>
      </c>
      <c r="O157" s="13"/>
      <c r="P157" s="52">
        <f t="shared" si="18"/>
        <v>100000</v>
      </c>
      <c r="Q157" s="23" t="s">
        <v>33</v>
      </c>
      <c r="R157" s="39"/>
      <c r="S157" s="53"/>
      <c r="T157" s="52"/>
    </row>
    <row r="158" spans="1:20" s="3" customFormat="1" ht="30" hidden="1" outlineLevel="1" x14ac:dyDescent="0.25">
      <c r="A158" s="44">
        <f>ROW(DIARIO[[#This Row],[Nombre de Cuenta]])-1</f>
        <v>157</v>
      </c>
      <c r="B158" s="46"/>
      <c r="C158" s="47" t="s">
        <v>154</v>
      </c>
      <c r="D158" s="48">
        <f>VLOOKUP(C158,CATALOGO[],2,FALSE)</f>
        <v>26</v>
      </c>
      <c r="E158" s="49" t="str">
        <f>VLOOKUP(DIARIO[[#This Row],[Objeto de Gasto]],CATALOGO[],3,FALSE)</f>
        <v>27210 Tasas</v>
      </c>
      <c r="F158" s="50"/>
      <c r="G158" s="53" t="s">
        <v>768</v>
      </c>
      <c r="H158" s="50"/>
      <c r="I158" s="51"/>
      <c r="J158" s="50"/>
      <c r="K158" s="51"/>
      <c r="L158" s="50"/>
      <c r="M158" s="51"/>
      <c r="N158" s="52">
        <v>100000</v>
      </c>
      <c r="O158" s="13"/>
      <c r="P158" s="52">
        <f>N158-O158</f>
        <v>100000</v>
      </c>
      <c r="Q158" s="23" t="s">
        <v>33</v>
      </c>
      <c r="R158" s="39"/>
      <c r="S158" s="53"/>
      <c r="T158" s="52"/>
    </row>
    <row r="159" spans="1:20" s="3" customFormat="1" ht="30" hidden="1" outlineLevel="1" x14ac:dyDescent="0.25">
      <c r="A159" s="44">
        <f>ROW(DIARIO[[#This Row],[Nombre de Cuenta]])-1</f>
        <v>158</v>
      </c>
      <c r="B159" s="46"/>
      <c r="C159" s="47" t="s">
        <v>156</v>
      </c>
      <c r="D159" s="48">
        <f>VLOOKUP(C159,CATALOGO[],2,FALSE)</f>
        <v>26</v>
      </c>
      <c r="E159" s="49" t="str">
        <f>VLOOKUP(DIARIO[[#This Row],[Objeto de Gasto]],CATALOGO[],3,FALSE)</f>
        <v>27210 Tasas</v>
      </c>
      <c r="F159" s="50"/>
      <c r="G159" s="53" t="s">
        <v>768</v>
      </c>
      <c r="H159" s="50"/>
      <c r="I159" s="51"/>
      <c r="J159" s="50"/>
      <c r="K159" s="51"/>
      <c r="L159" s="50"/>
      <c r="M159" s="51"/>
      <c r="N159" s="52">
        <v>100000</v>
      </c>
      <c r="O159" s="13"/>
      <c r="P159" s="52">
        <f>N159-O159</f>
        <v>100000</v>
      </c>
      <c r="Q159" s="23" t="s">
        <v>33</v>
      </c>
      <c r="R159" s="39"/>
      <c r="S159" s="53"/>
      <c r="T159" s="52"/>
    </row>
    <row r="160" spans="1:20" s="3" customFormat="1" ht="45" hidden="1" outlineLevel="1" x14ac:dyDescent="0.25">
      <c r="A160" s="44">
        <f>ROW(DIARIO[[#This Row],[Nombre de Cuenta]])-1</f>
        <v>159</v>
      </c>
      <c r="B160" s="46"/>
      <c r="C160" s="47" t="s">
        <v>411</v>
      </c>
      <c r="D160" s="48">
        <f>VLOOKUP(C160,CATALOGO[],2,FALSE)</f>
        <v>66</v>
      </c>
      <c r="E160" s="49" t="str">
        <f>VLOOKUP(DIARIO[[#This Row],[Objeto de Gasto]],CATALOGO[],3,FALSE)</f>
        <v>35610 Gasolina</v>
      </c>
      <c r="F160" s="50"/>
      <c r="G160" s="53" t="s">
        <v>702</v>
      </c>
      <c r="H160" s="50"/>
      <c r="I160" s="51"/>
      <c r="J160" s="50"/>
      <c r="K160" s="51"/>
      <c r="L160" s="50"/>
      <c r="M160" s="51"/>
      <c r="N160" s="52"/>
      <c r="O160" s="13">
        <v>428212</v>
      </c>
      <c r="P160" s="52">
        <f t="shared" si="18"/>
        <v>-428212</v>
      </c>
      <c r="Q160" s="23" t="s">
        <v>33</v>
      </c>
      <c r="R160" s="39"/>
      <c r="S160" s="53"/>
      <c r="T160" s="52"/>
    </row>
    <row r="161" spans="1:20" s="3" customFormat="1" ht="45" hidden="1" outlineLevel="1" x14ac:dyDescent="0.25">
      <c r="A161" s="44">
        <f>ROW(DIARIO[[#This Row],[Nombre de Cuenta]])-1</f>
        <v>160</v>
      </c>
      <c r="B161" s="46"/>
      <c r="C161" s="47" t="s">
        <v>412</v>
      </c>
      <c r="D161" s="48">
        <f>VLOOKUP(C161,CATALOGO[],2,FALSE)</f>
        <v>42</v>
      </c>
      <c r="E161" s="49" t="str">
        <f>VLOOKUP(DIARIO[[#This Row],[Objeto de Gasto]],CATALOGO[],3,FALSE)</f>
        <v>35620 Diesel</v>
      </c>
      <c r="F161" s="50"/>
      <c r="G161" s="53" t="s">
        <v>702</v>
      </c>
      <c r="H161" s="50"/>
      <c r="I161" s="51"/>
      <c r="J161" s="50"/>
      <c r="K161" s="51"/>
      <c r="L161" s="50"/>
      <c r="M161" s="51"/>
      <c r="N161" s="52"/>
      <c r="O161" s="13">
        <v>308901</v>
      </c>
      <c r="P161" s="52">
        <f t="shared" si="18"/>
        <v>-308901</v>
      </c>
      <c r="Q161" s="23" t="s">
        <v>33</v>
      </c>
      <c r="R161" s="39"/>
      <c r="S161" s="53"/>
      <c r="T161" s="52"/>
    </row>
    <row r="162" spans="1:20" s="3" customFormat="1" ht="45" hidden="1" outlineLevel="1" x14ac:dyDescent="0.25">
      <c r="A162" s="44">
        <f>ROW(DIARIO[[#This Row],[Nombre de Cuenta]])-1</f>
        <v>161</v>
      </c>
      <c r="B162" s="46"/>
      <c r="C162" s="47" t="s">
        <v>413</v>
      </c>
      <c r="D162" s="48">
        <f>VLOOKUP(C162,CATALOGO[],2,FALSE)</f>
        <v>44</v>
      </c>
      <c r="E162" s="49" t="str">
        <f>VLOOKUP(DIARIO[[#This Row],[Objeto de Gasto]],CATALOGO[],3,FALSE)</f>
        <v>35650 Aceites Y Grasas Lubricantes</v>
      </c>
      <c r="F162" s="50"/>
      <c r="G162" s="53" t="s">
        <v>702</v>
      </c>
      <c r="H162" s="50"/>
      <c r="I162" s="51"/>
      <c r="J162" s="50"/>
      <c r="K162" s="51"/>
      <c r="L162" s="50"/>
      <c r="M162" s="51"/>
      <c r="N162" s="52"/>
      <c r="O162" s="13">
        <v>200000</v>
      </c>
      <c r="P162" s="52">
        <f t="shared" si="18"/>
        <v>-200000</v>
      </c>
      <c r="Q162" s="23" t="s">
        <v>33</v>
      </c>
      <c r="R162" s="39"/>
      <c r="S162" s="53"/>
      <c r="T162" s="52"/>
    </row>
    <row r="163" spans="1:20" s="3" customFormat="1" ht="45" hidden="1" outlineLevel="1" x14ac:dyDescent="0.25">
      <c r="A163" s="44">
        <f>ROW(DIARIO[[#This Row],[Nombre de Cuenta]])-1</f>
        <v>162</v>
      </c>
      <c r="B163" s="46"/>
      <c r="C163" s="47" t="s">
        <v>423</v>
      </c>
      <c r="D163" s="48">
        <f>VLOOKUP(C163,CATALOGO[],2,FALSE)</f>
        <v>61</v>
      </c>
      <c r="E163" s="49" t="str">
        <f>VLOOKUP(DIARIO[[#This Row],[Objeto de Gasto]],CATALOGO[],3,FALSE)</f>
        <v>42310 Equipo De Transporte Terrestre Para Personas</v>
      </c>
      <c r="F163" s="50"/>
      <c r="G163" s="53" t="s">
        <v>702</v>
      </c>
      <c r="H163" s="50"/>
      <c r="I163" s="51"/>
      <c r="J163" s="50"/>
      <c r="K163" s="51"/>
      <c r="L163" s="50"/>
      <c r="M163" s="51"/>
      <c r="N163" s="52">
        <v>937113</v>
      </c>
      <c r="O163" s="13"/>
      <c r="P163" s="52">
        <f t="shared" si="18"/>
        <v>937113</v>
      </c>
      <c r="Q163" s="23" t="s">
        <v>33</v>
      </c>
      <c r="R163" s="39"/>
      <c r="S163" s="53"/>
      <c r="T163" s="52"/>
    </row>
    <row r="164" spans="1:20" s="3" customFormat="1" ht="45" hidden="1" outlineLevel="1" x14ac:dyDescent="0.25">
      <c r="A164" s="44">
        <f>ROW(DIARIO[[#This Row],[Nombre de Cuenta]])-1</f>
        <v>163</v>
      </c>
      <c r="B164" s="46"/>
      <c r="C164" s="47" t="s">
        <v>271</v>
      </c>
      <c r="D164" s="48">
        <f>VLOOKUP(C164,CATALOGO[],2,FALSE)</f>
        <v>49</v>
      </c>
      <c r="E164" s="49" t="str">
        <f>VLOOKUP(DIARIO[[#This Row],[Objeto de Gasto]],CATALOGO[],3,FALSE)</f>
        <v xml:space="preserve">39520 Intrumental Y Material Para Laboratorio </v>
      </c>
      <c r="F164" s="50"/>
      <c r="G164" s="53" t="s">
        <v>705</v>
      </c>
      <c r="H164" s="50"/>
      <c r="I164" s="51"/>
      <c r="J164" s="50"/>
      <c r="K164" s="51"/>
      <c r="L164" s="50"/>
      <c r="M164" s="51"/>
      <c r="N164" s="52">
        <v>819101.61422576534</v>
      </c>
      <c r="O164" s="13"/>
      <c r="P164" s="52">
        <f t="shared" si="18"/>
        <v>819101.61422576534</v>
      </c>
      <c r="Q164" s="23" t="s">
        <v>33</v>
      </c>
      <c r="R164" s="39"/>
      <c r="S164" s="53"/>
      <c r="T164" s="52"/>
    </row>
    <row r="165" spans="1:20" s="3" customFormat="1" ht="45" hidden="1" outlineLevel="1" x14ac:dyDescent="0.25">
      <c r="A165" s="44">
        <f>ROW(DIARIO[[#This Row],[Nombre de Cuenta]])-1</f>
        <v>164</v>
      </c>
      <c r="B165" s="46"/>
      <c r="C165" s="47" t="s">
        <v>417</v>
      </c>
      <c r="D165" s="48">
        <f>VLOOKUP(C165,CATALOGO[],2,FALSE)</f>
        <v>49</v>
      </c>
      <c r="E165" s="49" t="str">
        <f>VLOOKUP(DIARIO[[#This Row],[Objeto de Gasto]],CATALOGO[],3,FALSE)</f>
        <v xml:space="preserve">39520 Intrumental Y Material Para Laboratorio </v>
      </c>
      <c r="F165" s="50"/>
      <c r="G165" s="53" t="s">
        <v>705</v>
      </c>
      <c r="H165" s="50"/>
      <c r="I165" s="51"/>
      <c r="J165" s="50"/>
      <c r="K165" s="51"/>
      <c r="L165" s="50"/>
      <c r="M165" s="51"/>
      <c r="N165" s="52">
        <v>875082.97485841927</v>
      </c>
      <c r="O165" s="13"/>
      <c r="P165" s="52">
        <f t="shared" si="18"/>
        <v>875082.97485841927</v>
      </c>
      <c r="Q165" s="23" t="s">
        <v>33</v>
      </c>
      <c r="R165" s="39"/>
      <c r="S165" s="53"/>
      <c r="T165" s="52"/>
    </row>
    <row r="166" spans="1:20" s="3" customFormat="1" ht="45" hidden="1" outlineLevel="1" x14ac:dyDescent="0.25">
      <c r="A166" s="44">
        <f>ROW(DIARIO[[#This Row],[Nombre de Cuenta]])-1</f>
        <v>165</v>
      </c>
      <c r="B166" s="46"/>
      <c r="C166" s="47" t="s">
        <v>272</v>
      </c>
      <c r="D166" s="48">
        <f>VLOOKUP(C166,CATALOGO[],2,FALSE)</f>
        <v>49</v>
      </c>
      <c r="E166" s="49" t="str">
        <f>VLOOKUP(DIARIO[[#This Row],[Objeto de Gasto]],CATALOGO[],3,FALSE)</f>
        <v xml:space="preserve">39520 Intrumental Y Material Para Laboratorio </v>
      </c>
      <c r="F166" s="50"/>
      <c r="G166" s="53" t="s">
        <v>705</v>
      </c>
      <c r="H166" s="50"/>
      <c r="I166" s="51"/>
      <c r="J166" s="50"/>
      <c r="K166" s="51"/>
      <c r="L166" s="50"/>
      <c r="M166" s="51"/>
      <c r="N166" s="52">
        <v>667915.4109158155</v>
      </c>
      <c r="O166" s="13"/>
      <c r="P166" s="52">
        <f t="shared" si="18"/>
        <v>667915.4109158155</v>
      </c>
      <c r="Q166" s="23" t="s">
        <v>33</v>
      </c>
      <c r="R166" s="39"/>
      <c r="S166" s="53"/>
      <c r="T166" s="52"/>
    </row>
    <row r="167" spans="1:20" s="3" customFormat="1" ht="30" hidden="1" outlineLevel="1" x14ac:dyDescent="0.25">
      <c r="A167" s="44">
        <f>ROW(DIARIO[[#This Row],[Nombre de Cuenta]])-1</f>
        <v>166</v>
      </c>
      <c r="B167" s="46"/>
      <c r="C167" s="47" t="s">
        <v>717</v>
      </c>
      <c r="D167" s="48">
        <f>VLOOKUP(C167,CATALOGO[],2,FALSE)</f>
        <v>68</v>
      </c>
      <c r="E167" s="49" t="str">
        <f>VLOOKUP(DIARIO[[#This Row],[Objeto de Gasto]],CATALOGO[],3,FALSE)</f>
        <v>42510 Equipo de Comunicación</v>
      </c>
      <c r="F167" s="50"/>
      <c r="G167" s="53" t="s">
        <v>718</v>
      </c>
      <c r="H167" s="50"/>
      <c r="I167" s="51"/>
      <c r="J167" s="50"/>
      <c r="K167" s="51"/>
      <c r="L167" s="50"/>
      <c r="M167" s="51"/>
      <c r="N167" s="52">
        <v>300000</v>
      </c>
      <c r="O167" s="13"/>
      <c r="P167" s="52">
        <f t="shared" ref="P167:P174" si="19">N167-O167</f>
        <v>300000</v>
      </c>
      <c r="Q167" s="23" t="s">
        <v>33</v>
      </c>
      <c r="R167" s="39"/>
      <c r="S167" s="53"/>
      <c r="T167" s="52"/>
    </row>
    <row r="168" spans="1:20" s="3" customFormat="1" ht="30" hidden="1" outlineLevel="1" x14ac:dyDescent="0.25">
      <c r="A168" s="44">
        <f>ROW(DIARIO[[#This Row],[Nombre de Cuenta]])-1</f>
        <v>167</v>
      </c>
      <c r="B168" s="46"/>
      <c r="C168" s="47" t="s">
        <v>413</v>
      </c>
      <c r="D168" s="48">
        <f>VLOOKUP(C168,CATALOGO[],2,FALSE)</f>
        <v>44</v>
      </c>
      <c r="E168" s="49" t="str">
        <f>VLOOKUP(DIARIO[[#This Row],[Objeto de Gasto]],CATALOGO[],3,FALSE)</f>
        <v>35650 Aceites Y Grasas Lubricantes</v>
      </c>
      <c r="F168" s="50"/>
      <c r="G168" s="53" t="s">
        <v>718</v>
      </c>
      <c r="H168" s="50"/>
      <c r="I168" s="51"/>
      <c r="J168" s="50"/>
      <c r="K168" s="51"/>
      <c r="L168" s="50"/>
      <c r="M168" s="51"/>
      <c r="N168" s="52"/>
      <c r="O168" s="13">
        <v>300000</v>
      </c>
      <c r="P168" s="52">
        <f t="shared" si="19"/>
        <v>-300000</v>
      </c>
      <c r="Q168" s="23" t="s">
        <v>33</v>
      </c>
      <c r="R168" s="39"/>
      <c r="S168" s="53"/>
      <c r="T168" s="52"/>
    </row>
    <row r="169" spans="1:20" s="3" customFormat="1" hidden="1" outlineLevel="1" x14ac:dyDescent="0.25">
      <c r="A169" s="44">
        <f>ROW(DIARIO[[#This Row],[Nombre de Cuenta]])-1</f>
        <v>168</v>
      </c>
      <c r="B169" s="46"/>
      <c r="C169" s="47" t="s">
        <v>370</v>
      </c>
      <c r="D169" s="48">
        <f>VLOOKUP(C169,CATALOGO[],2,FALSE)</f>
        <v>67</v>
      </c>
      <c r="E169" s="49" t="str">
        <f>VLOOKUP(DIARIO[[#This Row],[Objeto de Gasto]],CATALOGO[],3,FALSE)</f>
        <v>39300 Utiles Y Materiales Eléctricos</v>
      </c>
      <c r="F169" s="50"/>
      <c r="G169" s="53" t="s">
        <v>770</v>
      </c>
      <c r="H169" s="50"/>
      <c r="I169" s="51"/>
      <c r="J169" s="50"/>
      <c r="K169" s="51"/>
      <c r="L169" s="50"/>
      <c r="M169" s="51"/>
      <c r="N169" s="52">
        <v>2478</v>
      </c>
      <c r="O169" s="13"/>
      <c r="P169" s="52">
        <f>N169-O169</f>
        <v>2478</v>
      </c>
      <c r="Q169" s="23" t="s">
        <v>33</v>
      </c>
      <c r="R169" s="39"/>
      <c r="S169" s="53"/>
      <c r="T169" s="52"/>
    </row>
    <row r="170" spans="1:20" s="3" customFormat="1" ht="45" hidden="1" outlineLevel="1" x14ac:dyDescent="0.25">
      <c r="A170" s="44">
        <f>ROW(DIARIO[[#This Row],[Nombre de Cuenta]])-1</f>
        <v>169</v>
      </c>
      <c r="B170" s="46"/>
      <c r="C170" s="47" t="s">
        <v>147</v>
      </c>
      <c r="D170" s="48">
        <f>VLOOKUP(C170,CATALOGO[],2,FALSE)</f>
        <v>25</v>
      </c>
      <c r="E170" s="49" t="str">
        <f>VLOOKUP(DIARIO[[#This Row],[Objeto de Gasto]],CATALOGO[],3,FALSE)</f>
        <v>26210 Viaticos Nacionales</v>
      </c>
      <c r="F170" s="50"/>
      <c r="G170" s="53" t="s">
        <v>756</v>
      </c>
      <c r="H170" s="50"/>
      <c r="I170" s="51"/>
      <c r="J170" s="50"/>
      <c r="K170" s="51"/>
      <c r="L170" s="50"/>
      <c r="M170" s="51"/>
      <c r="N170" s="52"/>
      <c r="O170" s="13">
        <v>159343.76999999999</v>
      </c>
      <c r="P170" s="52">
        <f t="shared" si="19"/>
        <v>-159343.76999999999</v>
      </c>
      <c r="Q170" s="23" t="s">
        <v>18</v>
      </c>
      <c r="R170" s="39"/>
      <c r="S170" s="53"/>
      <c r="T170" s="52">
        <v>159343.76999999999</v>
      </c>
    </row>
    <row r="171" spans="1:20" s="3" customFormat="1" ht="45" hidden="1" outlineLevel="1" x14ac:dyDescent="0.25">
      <c r="A171" s="44">
        <f>ROW(DIARIO[[#This Row],[Nombre de Cuenta]])-1</f>
        <v>170</v>
      </c>
      <c r="B171" s="46"/>
      <c r="C171" s="47" t="s">
        <v>362</v>
      </c>
      <c r="D171" s="48">
        <f>VLOOKUP(C171,CATALOGO[],2,FALSE)</f>
        <v>65</v>
      </c>
      <c r="E171" s="49" t="str">
        <f>VLOOKUP(DIARIO[[#This Row],[Objeto de Gasto]],CATALOGO[],3,FALSE)</f>
        <v>26220 Viáticos Al Exterior</v>
      </c>
      <c r="F171" s="50"/>
      <c r="G171" s="53" t="s">
        <v>757</v>
      </c>
      <c r="H171" s="50"/>
      <c r="I171" s="51"/>
      <c r="J171" s="50"/>
      <c r="K171" s="51"/>
      <c r="L171" s="50"/>
      <c r="M171" s="51"/>
      <c r="N171" s="52"/>
      <c r="O171" s="13">
        <v>37554.769999999997</v>
      </c>
      <c r="P171" s="52">
        <f t="shared" si="19"/>
        <v>-37554.769999999997</v>
      </c>
      <c r="Q171" s="23" t="s">
        <v>18</v>
      </c>
      <c r="R171" s="39"/>
      <c r="S171" s="53"/>
      <c r="T171" s="52">
        <v>37554.769999999997</v>
      </c>
    </row>
    <row r="172" spans="1:20" s="3" customFormat="1" hidden="1" outlineLevel="1" x14ac:dyDescent="0.25">
      <c r="A172" s="44">
        <f>ROW(DIARIO[[#This Row],[Nombre de Cuenta]])-1</f>
        <v>171</v>
      </c>
      <c r="B172" s="46"/>
      <c r="C172" s="47" t="s">
        <v>155</v>
      </c>
      <c r="D172" s="48">
        <f>VLOOKUP(C172,CATALOGO[],2,FALSE)</f>
        <v>26</v>
      </c>
      <c r="E172" s="49" t="str">
        <f>VLOOKUP(DIARIO[[#This Row],[Objeto de Gasto]],CATALOGO[],3,FALSE)</f>
        <v>27210 Tasas</v>
      </c>
      <c r="F172" s="50"/>
      <c r="G172" s="53" t="s">
        <v>922</v>
      </c>
      <c r="H172" s="50"/>
      <c r="I172" s="51"/>
      <c r="J172" s="50"/>
      <c r="K172" s="51"/>
      <c r="L172" s="50"/>
      <c r="M172" s="51"/>
      <c r="N172" s="52"/>
      <c r="O172" s="13">
        <f>293235.38/3</f>
        <v>97745.126666666663</v>
      </c>
      <c r="P172" s="52">
        <f t="shared" si="19"/>
        <v>-97745.126666666663</v>
      </c>
      <c r="Q172" s="23" t="s">
        <v>18</v>
      </c>
      <c r="R172" s="39"/>
      <c r="S172" s="53"/>
      <c r="T172" s="13">
        <f>293235.38/3</f>
        <v>97745.126666666663</v>
      </c>
    </row>
    <row r="173" spans="1:20" s="3" customFormat="1" hidden="1" outlineLevel="1" x14ac:dyDescent="0.25">
      <c r="A173" s="44">
        <f>ROW(DIARIO[[#This Row],[Nombre de Cuenta]])-1</f>
        <v>172</v>
      </c>
      <c r="B173" s="46"/>
      <c r="C173" s="47" t="s">
        <v>154</v>
      </c>
      <c r="D173" s="48">
        <f>VLOOKUP(C173,CATALOGO[],2,FALSE)</f>
        <v>26</v>
      </c>
      <c r="E173" s="49" t="str">
        <f>VLOOKUP(DIARIO[[#This Row],[Objeto de Gasto]],CATALOGO[],3,FALSE)</f>
        <v>27210 Tasas</v>
      </c>
      <c r="F173" s="50"/>
      <c r="G173" s="53" t="s">
        <v>922</v>
      </c>
      <c r="H173" s="50"/>
      <c r="I173" s="51"/>
      <c r="J173" s="50"/>
      <c r="K173" s="51"/>
      <c r="L173" s="50"/>
      <c r="M173" s="51"/>
      <c r="N173" s="52"/>
      <c r="O173" s="13">
        <f t="shared" ref="O173:O174" si="20">293235.38/3</f>
        <v>97745.126666666663</v>
      </c>
      <c r="P173" s="52">
        <f t="shared" si="19"/>
        <v>-97745.126666666663</v>
      </c>
      <c r="Q173" s="23" t="s">
        <v>18</v>
      </c>
      <c r="R173" s="39"/>
      <c r="S173" s="53"/>
      <c r="T173" s="13">
        <f t="shared" ref="T173:T174" si="21">293235.38/3</f>
        <v>97745.126666666663</v>
      </c>
    </row>
    <row r="174" spans="1:20" s="3" customFormat="1" hidden="1" outlineLevel="1" x14ac:dyDescent="0.25">
      <c r="A174" s="44">
        <f>ROW(DIARIO[[#This Row],[Nombre de Cuenta]])-1</f>
        <v>173</v>
      </c>
      <c r="B174" s="46"/>
      <c r="C174" s="47" t="s">
        <v>156</v>
      </c>
      <c r="D174" s="48">
        <f>VLOOKUP(C174,CATALOGO[],2,FALSE)</f>
        <v>26</v>
      </c>
      <c r="E174" s="49" t="str">
        <f>VLOOKUP(DIARIO[[#This Row],[Objeto de Gasto]],CATALOGO[],3,FALSE)</f>
        <v>27210 Tasas</v>
      </c>
      <c r="F174" s="50"/>
      <c r="G174" s="53" t="s">
        <v>922</v>
      </c>
      <c r="H174" s="50"/>
      <c r="I174" s="51"/>
      <c r="J174" s="50"/>
      <c r="K174" s="51"/>
      <c r="L174" s="50"/>
      <c r="M174" s="51"/>
      <c r="N174" s="52"/>
      <c r="O174" s="13">
        <f t="shared" si="20"/>
        <v>97745.126666666663</v>
      </c>
      <c r="P174" s="52">
        <f t="shared" si="19"/>
        <v>-97745.126666666663</v>
      </c>
      <c r="Q174" s="23" t="s">
        <v>18</v>
      </c>
      <c r="R174" s="39"/>
      <c r="S174" s="53"/>
      <c r="T174" s="13">
        <f t="shared" si="21"/>
        <v>97745.126666666663</v>
      </c>
    </row>
    <row r="175" spans="1:20" s="3" customFormat="1" ht="60" hidden="1" outlineLevel="1" x14ac:dyDescent="0.25">
      <c r="A175" s="44">
        <f>ROW(DIARIO[[#This Row],[Nombre de Cuenta]])-1</f>
        <v>174</v>
      </c>
      <c r="B175" s="46" t="s">
        <v>25</v>
      </c>
      <c r="C175" s="47" t="s">
        <v>408</v>
      </c>
      <c r="D175" s="48">
        <f>VLOOKUP(C175,CATALOGO[],2,FALSE)</f>
        <v>39</v>
      </c>
      <c r="E175" s="49" t="str">
        <f>VLOOKUP(DIARIO[[#This Row],[Objeto de Gasto]],CATALOGO[],3,FALSE)</f>
        <v>35210 Productos Farmaceuticos Y Medicinales</v>
      </c>
      <c r="F175" s="50"/>
      <c r="G175" s="53" t="s">
        <v>936</v>
      </c>
      <c r="H175" s="50" t="s">
        <v>931</v>
      </c>
      <c r="I175" s="51">
        <v>45327</v>
      </c>
      <c r="J175" s="50"/>
      <c r="K175" s="51"/>
      <c r="L175" s="50"/>
      <c r="M175" s="51"/>
      <c r="N175" s="52"/>
      <c r="O175" s="13">
        <v>89000</v>
      </c>
      <c r="P175" s="52">
        <f>N175-O175</f>
        <v>-89000</v>
      </c>
      <c r="Q175" s="23" t="s">
        <v>18</v>
      </c>
      <c r="R175" s="39"/>
      <c r="S175" s="53" t="s">
        <v>933</v>
      </c>
      <c r="T175" s="13">
        <v>89000</v>
      </c>
    </row>
    <row r="176" spans="1:20" s="3" customFormat="1" ht="60" hidden="1" outlineLevel="1" x14ac:dyDescent="0.25">
      <c r="A176" s="44">
        <f>ROW(DIARIO[[#This Row],[Nombre de Cuenta]])-1</f>
        <v>175</v>
      </c>
      <c r="B176" s="46" t="s">
        <v>25</v>
      </c>
      <c r="C176" s="47" t="s">
        <v>221</v>
      </c>
      <c r="D176" s="48">
        <f>VLOOKUP(C176,CATALOGO[],2,FALSE)</f>
        <v>39</v>
      </c>
      <c r="E176" s="49" t="str">
        <f>VLOOKUP(DIARIO[[#This Row],[Objeto de Gasto]],CATALOGO[],3,FALSE)</f>
        <v>35210 Productos Farmaceuticos Y Medicinales</v>
      </c>
      <c r="F176" s="50"/>
      <c r="G176" s="53" t="s">
        <v>936</v>
      </c>
      <c r="H176" s="50" t="s">
        <v>930</v>
      </c>
      <c r="I176" s="51">
        <v>45328</v>
      </c>
      <c r="J176" s="50"/>
      <c r="K176" s="51"/>
      <c r="L176" s="50"/>
      <c r="M176" s="51"/>
      <c r="N176" s="52"/>
      <c r="O176" s="13">
        <f>2061760.18-89000+59742.57+601.32</f>
        <v>2033104.07</v>
      </c>
      <c r="P176" s="52">
        <f>N176-O176</f>
        <v>-2033104.07</v>
      </c>
      <c r="Q176" s="23" t="s">
        <v>18</v>
      </c>
      <c r="R176" s="39"/>
      <c r="S176" s="53" t="s">
        <v>932</v>
      </c>
      <c r="T176" s="13">
        <v>2033104.07</v>
      </c>
    </row>
    <row r="177" spans="1:25" s="3" customFormat="1" hidden="1" outlineLevel="1" x14ac:dyDescent="0.25">
      <c r="A177" s="129">
        <f>ROW(DIARIO[[#This Row],[Nombre de Cuenta]])-1</f>
        <v>176</v>
      </c>
      <c r="B177" s="129"/>
      <c r="C177" s="130"/>
      <c r="D177" s="2" t="e">
        <f>VLOOKUP(C177,CATALOGO[],2,FALSE)</f>
        <v>#N/A</v>
      </c>
      <c r="E177" s="130" t="e">
        <f>VLOOKUP(DIARIO[[#This Row],[Objeto de Gasto]],CATALOGO[],3,FALSE)</f>
        <v>#N/A</v>
      </c>
      <c r="F177" s="130"/>
      <c r="G177" s="130"/>
      <c r="H177" s="129"/>
      <c r="I177" s="131"/>
      <c r="J177" s="129"/>
      <c r="K177" s="131"/>
      <c r="L177" s="129"/>
      <c r="M177" s="131"/>
      <c r="N177" s="132"/>
      <c r="O177" s="132"/>
      <c r="P177" s="14">
        <f t="shared" si="15"/>
        <v>0</v>
      </c>
      <c r="Q177" s="138" t="s">
        <v>18</v>
      </c>
      <c r="R177" s="133"/>
      <c r="S177" s="130"/>
      <c r="T177" s="132"/>
    </row>
    <row r="178" spans="1:25" s="3" customFormat="1" hidden="1" collapsed="1" x14ac:dyDescent="0.25">
      <c r="A178" s="2">
        <f>ROW(DIARIO[[#This Row],[Nombre de Cuenta]])-$A$177-1</f>
        <v>1</v>
      </c>
      <c r="B178" s="15" t="s">
        <v>21</v>
      </c>
      <c r="C178" s="16" t="s">
        <v>226</v>
      </c>
      <c r="D178" s="15">
        <f>VLOOKUP(C178,CATALOGO[],2,FALSE)</f>
        <v>40</v>
      </c>
      <c r="E178" s="36" t="str">
        <f>VLOOKUP(DIARIO[[#This Row],[Objeto de Gasto]],CATALOGO[],3,FALSE)</f>
        <v>35252 Reactivo (VIH)</v>
      </c>
      <c r="F178" s="1" t="s">
        <v>11</v>
      </c>
      <c r="G178" s="16" t="s">
        <v>429</v>
      </c>
      <c r="H178" s="15" t="s">
        <v>430</v>
      </c>
      <c r="I178" s="17">
        <v>45117</v>
      </c>
      <c r="J178" s="15" t="s">
        <v>431</v>
      </c>
      <c r="K178" s="17">
        <v>45152</v>
      </c>
      <c r="L178" s="15" t="s">
        <v>432</v>
      </c>
      <c r="M178" s="17">
        <v>45146</v>
      </c>
      <c r="N178" s="18"/>
      <c r="O178" s="18">
        <v>23605072.5</v>
      </c>
      <c r="P178" s="14">
        <f t="shared" ref="P178:P188" si="22">N178-O178</f>
        <v>-23605072.5</v>
      </c>
      <c r="Q178" s="15" t="s">
        <v>18</v>
      </c>
      <c r="R178" s="38" t="s">
        <v>433</v>
      </c>
      <c r="S178" s="16" t="s">
        <v>434</v>
      </c>
      <c r="T178" s="13">
        <v>23605072.5</v>
      </c>
    </row>
    <row r="179" spans="1:25" s="3" customFormat="1" hidden="1" x14ac:dyDescent="0.25">
      <c r="A179" s="2">
        <f>ROW(DIARIO[[#This Row],[Nombre de Cuenta]])-$A$177-1</f>
        <v>2</v>
      </c>
      <c r="B179" s="15" t="s">
        <v>21</v>
      </c>
      <c r="C179" s="16" t="s">
        <v>270</v>
      </c>
      <c r="D179" s="15">
        <f>VLOOKUP(C179,CATALOGO[],2,FALSE)</f>
        <v>49</v>
      </c>
      <c r="E179" s="36" t="str">
        <f>VLOOKUP(DIARIO[[#This Row],[Objeto de Gasto]],CATALOGO[],3,FALSE)</f>
        <v xml:space="preserve">39520 Intrumental Y Material Para Laboratorio </v>
      </c>
      <c r="F179" s="1" t="s">
        <v>11</v>
      </c>
      <c r="G179" s="16"/>
      <c r="H179" s="15"/>
      <c r="I179" s="17"/>
      <c r="J179" s="15"/>
      <c r="K179" s="17"/>
      <c r="L179" s="15"/>
      <c r="M179" s="17"/>
      <c r="N179" s="18"/>
      <c r="O179" s="18">
        <v>67979.385922791829</v>
      </c>
      <c r="P179" s="14">
        <f>N179-O179</f>
        <v>-67979.385922791829</v>
      </c>
      <c r="Q179" s="15" t="s">
        <v>18</v>
      </c>
      <c r="R179" s="38" t="s">
        <v>934</v>
      </c>
      <c r="S179" s="16"/>
      <c r="T179" s="13">
        <v>67979.385922791829</v>
      </c>
    </row>
    <row r="180" spans="1:25" s="3" customFormat="1" hidden="1" x14ac:dyDescent="0.25">
      <c r="A180" s="2">
        <f>ROW(DIARIO[[#This Row],[Nombre de Cuenta]])-$A$177-1</f>
        <v>3</v>
      </c>
      <c r="B180" s="15" t="s">
        <v>21</v>
      </c>
      <c r="C180" s="16" t="s">
        <v>271</v>
      </c>
      <c r="D180" s="15">
        <f>VLOOKUP(C180,CATALOGO[],2,FALSE)</f>
        <v>49</v>
      </c>
      <c r="E180" s="36" t="str">
        <f>VLOOKUP(DIARIO[[#This Row],[Objeto de Gasto]],CATALOGO[],3,FALSE)</f>
        <v xml:space="preserve">39520 Intrumental Y Material Para Laboratorio </v>
      </c>
      <c r="F180" s="1" t="s">
        <v>11</v>
      </c>
      <c r="G180" s="16"/>
      <c r="H180" s="15"/>
      <c r="I180" s="17"/>
      <c r="J180" s="15"/>
      <c r="K180" s="17"/>
      <c r="L180" s="15"/>
      <c r="M180" s="17"/>
      <c r="N180" s="18"/>
      <c r="O180" s="18">
        <v>71983.529817512579</v>
      </c>
      <c r="P180" s="14">
        <f>N180-O180</f>
        <v>-71983.529817512579</v>
      </c>
      <c r="Q180" s="15" t="s">
        <v>18</v>
      </c>
      <c r="R180" s="38" t="s">
        <v>934</v>
      </c>
      <c r="S180" s="16"/>
      <c r="T180" s="13">
        <v>71983.529817512579</v>
      </c>
    </row>
    <row r="181" spans="1:25" s="3" customFormat="1" hidden="1" x14ac:dyDescent="0.25">
      <c r="A181" s="2">
        <f>ROW(DIARIO[[#This Row],[Nombre de Cuenta]])-$A$177-1</f>
        <v>4</v>
      </c>
      <c r="B181" s="15" t="s">
        <v>21</v>
      </c>
      <c r="C181" s="16" t="s">
        <v>272</v>
      </c>
      <c r="D181" s="15">
        <f>VLOOKUP(C181,CATALOGO[],2,FALSE)</f>
        <v>49</v>
      </c>
      <c r="E181" s="36" t="str">
        <f>VLOOKUP(DIARIO[[#This Row],[Objeto de Gasto]],CATALOGO[],3,FALSE)</f>
        <v xml:space="preserve">39520 Intrumental Y Material Para Laboratorio </v>
      </c>
      <c r="F181" s="1" t="s">
        <v>11</v>
      </c>
      <c r="G181" s="16"/>
      <c r="H181" s="15"/>
      <c r="I181" s="17"/>
      <c r="J181" s="15"/>
      <c r="K181" s="17"/>
      <c r="L181" s="15"/>
      <c r="M181" s="17"/>
      <c r="N181" s="18"/>
      <c r="O181" s="18">
        <v>57137.314259695617</v>
      </c>
      <c r="P181" s="14">
        <f>N181-O181</f>
        <v>-57137.314259695617</v>
      </c>
      <c r="Q181" s="15" t="s">
        <v>18</v>
      </c>
      <c r="R181" s="38" t="s">
        <v>934</v>
      </c>
      <c r="S181" s="16"/>
      <c r="T181" s="13">
        <v>57137.314259695617</v>
      </c>
      <c r="Y181" s="135"/>
    </row>
    <row r="182" spans="1:25" s="3" customFormat="1" ht="45" hidden="1" x14ac:dyDescent="0.25">
      <c r="A182" s="2">
        <f>ROW(DIARIO[[#This Row],[Nombre de Cuenta]])-$A$177-1</f>
        <v>5</v>
      </c>
      <c r="B182" s="15" t="s">
        <v>21</v>
      </c>
      <c r="C182" s="16" t="s">
        <v>270</v>
      </c>
      <c r="D182" s="15">
        <f>VLOOKUP(C182,CATALOGO[],2,FALSE)</f>
        <v>49</v>
      </c>
      <c r="E182" s="36" t="str">
        <f>VLOOKUP(DIARIO[[#This Row],[Objeto de Gasto]],CATALOGO[],3,FALSE)</f>
        <v xml:space="preserve">39520 Intrumental Y Material Para Laboratorio </v>
      </c>
      <c r="F182" s="1" t="s">
        <v>11</v>
      </c>
      <c r="G182" s="16" t="s">
        <v>435</v>
      </c>
      <c r="H182" s="15" t="s">
        <v>436</v>
      </c>
      <c r="I182" s="17">
        <v>45065</v>
      </c>
      <c r="J182" s="15" t="s">
        <v>437</v>
      </c>
      <c r="K182" s="17">
        <v>45078</v>
      </c>
      <c r="L182" s="15"/>
      <c r="M182" s="17"/>
      <c r="N182" s="18"/>
      <c r="O182" s="18">
        <v>741424.83</v>
      </c>
      <c r="P182" s="14">
        <f t="shared" si="22"/>
        <v>-741424.83</v>
      </c>
      <c r="Q182" s="15" t="s">
        <v>18</v>
      </c>
      <c r="R182" s="38" t="s">
        <v>438</v>
      </c>
      <c r="S182" s="16" t="s">
        <v>935</v>
      </c>
      <c r="T182" s="13">
        <v>714090.91971011111</v>
      </c>
      <c r="X182" s="79"/>
      <c r="Y182" s="135"/>
    </row>
    <row r="183" spans="1:25" s="3" customFormat="1" ht="45" hidden="1" x14ac:dyDescent="0.25">
      <c r="A183" s="2">
        <f>ROW(DIARIO[[#This Row],[Nombre de Cuenta]])-$A$177-1</f>
        <v>6</v>
      </c>
      <c r="B183" s="15" t="s">
        <v>21</v>
      </c>
      <c r="C183" s="16" t="s">
        <v>271</v>
      </c>
      <c r="D183" s="15">
        <f>VLOOKUP(C183,CATALOGO[],2,FALSE)</f>
        <v>49</v>
      </c>
      <c r="E183" s="36" t="str">
        <f>VLOOKUP(DIARIO[[#This Row],[Objeto de Gasto]],CATALOGO[],3,FALSE)</f>
        <v xml:space="preserve">39520 Intrumental Y Material Para Laboratorio </v>
      </c>
      <c r="F183" s="1" t="s">
        <v>11</v>
      </c>
      <c r="G183" s="16" t="s">
        <v>435</v>
      </c>
      <c r="H183" s="15" t="s">
        <v>436</v>
      </c>
      <c r="I183" s="17">
        <v>45065</v>
      </c>
      <c r="J183" s="15" t="s">
        <v>437</v>
      </c>
      <c r="K183" s="17">
        <v>45078</v>
      </c>
      <c r="L183" s="15"/>
      <c r="M183" s="17"/>
      <c r="N183" s="18"/>
      <c r="O183" s="18">
        <v>785096.47</v>
      </c>
      <c r="P183" s="14">
        <f t="shared" si="22"/>
        <v>-785096.47</v>
      </c>
      <c r="Q183" s="15" t="s">
        <v>18</v>
      </c>
      <c r="R183" s="38" t="s">
        <v>438</v>
      </c>
      <c r="S183" s="16" t="s">
        <v>935</v>
      </c>
      <c r="T183" s="13">
        <v>756152.53526633675</v>
      </c>
      <c r="X183" s="79"/>
      <c r="Y183" s="135"/>
    </row>
    <row r="184" spans="1:25" s="3" customFormat="1" ht="45" hidden="1" x14ac:dyDescent="0.25">
      <c r="A184" s="2">
        <f>ROW(DIARIO[[#This Row],[Nombre de Cuenta]])-$A$177-1</f>
        <v>7</v>
      </c>
      <c r="B184" s="15" t="s">
        <v>21</v>
      </c>
      <c r="C184" s="16" t="s">
        <v>272</v>
      </c>
      <c r="D184" s="15">
        <f>VLOOKUP(C184,CATALOGO[],2,FALSE)</f>
        <v>49</v>
      </c>
      <c r="E184" s="36" t="str">
        <f>VLOOKUP(DIARIO[[#This Row],[Objeto de Gasto]],CATALOGO[],3,FALSE)</f>
        <v xml:space="preserve">39520 Intrumental Y Material Para Laboratorio </v>
      </c>
      <c r="F184" s="1" t="s">
        <v>11</v>
      </c>
      <c r="G184" s="16" t="s">
        <v>435</v>
      </c>
      <c r="H184" s="15" t="s">
        <v>436</v>
      </c>
      <c r="I184" s="17">
        <v>45065</v>
      </c>
      <c r="J184" s="15" t="s">
        <v>437</v>
      </c>
      <c r="K184" s="17">
        <v>45078</v>
      </c>
      <c r="L184" s="15"/>
      <c r="M184" s="17"/>
      <c r="N184" s="18"/>
      <c r="O184" s="18">
        <v>623174.55000000005</v>
      </c>
      <c r="P184" s="14">
        <f t="shared" si="22"/>
        <v>-623174.55000000005</v>
      </c>
      <c r="Q184" s="15" t="s">
        <v>18</v>
      </c>
      <c r="R184" s="38" t="s">
        <v>438</v>
      </c>
      <c r="S184" s="16" t="s">
        <v>935</v>
      </c>
      <c r="T184" s="13">
        <v>600200.14502355235</v>
      </c>
      <c r="X184" s="79"/>
      <c r="Y184" s="135"/>
    </row>
    <row r="185" spans="1:25" s="3" customFormat="1" ht="30" hidden="1" x14ac:dyDescent="0.25">
      <c r="A185" s="2">
        <f>ROW(DIARIO[[#This Row],[Nombre de Cuenta]])-$A$177-1</f>
        <v>8</v>
      </c>
      <c r="B185" s="15" t="s">
        <v>21</v>
      </c>
      <c r="C185" s="16" t="s">
        <v>316</v>
      </c>
      <c r="D185" s="15">
        <f>VLOOKUP(C185,CATALOGO[],2,FALSE)</f>
        <v>58</v>
      </c>
      <c r="E185" s="36" t="str">
        <f>VLOOKUP(DIARIO[[#This Row],[Objeto de Gasto]],CATALOGO[],3,FALSE)</f>
        <v>42420 Equipo De Laboratorio Medico</v>
      </c>
      <c r="F185" s="1" t="s">
        <v>11</v>
      </c>
      <c r="G185" s="16" t="s">
        <v>439</v>
      </c>
      <c r="H185" s="15" t="s">
        <v>440</v>
      </c>
      <c r="I185" s="17">
        <v>45065</v>
      </c>
      <c r="J185" s="15" t="s">
        <v>441</v>
      </c>
      <c r="K185" s="17">
        <v>45078</v>
      </c>
      <c r="L185" s="15"/>
      <c r="M185" s="17"/>
      <c r="N185" s="18"/>
      <c r="O185" s="18">
        <v>6025770.7636850812</v>
      </c>
      <c r="P185" s="14">
        <f t="shared" si="22"/>
        <v>-6025770.7636850812</v>
      </c>
      <c r="Q185" s="15" t="s">
        <v>18</v>
      </c>
      <c r="R185" s="38" t="s">
        <v>442</v>
      </c>
      <c r="S185" s="16" t="s">
        <v>443</v>
      </c>
      <c r="T185" s="13">
        <v>767589.89619481331</v>
      </c>
      <c r="Y185" s="79"/>
    </row>
    <row r="186" spans="1:25" s="3" customFormat="1" ht="30" hidden="1" x14ac:dyDescent="0.25">
      <c r="A186" s="2">
        <f>ROW(DIARIO[[#This Row],[Nombre de Cuenta]])-$A$177-1</f>
        <v>9</v>
      </c>
      <c r="B186" s="15" t="s">
        <v>21</v>
      </c>
      <c r="C186" s="16" t="s">
        <v>318</v>
      </c>
      <c r="D186" s="15">
        <f>VLOOKUP(C186,CATALOGO[],2,FALSE)</f>
        <v>58</v>
      </c>
      <c r="E186" s="36" t="str">
        <f>VLOOKUP(DIARIO[[#This Row],[Objeto de Gasto]],CATALOGO[],3,FALSE)</f>
        <v>42420 Equipo De Laboratorio Medico</v>
      </c>
      <c r="F186" s="1" t="s">
        <v>11</v>
      </c>
      <c r="G186" s="16" t="s">
        <v>439</v>
      </c>
      <c r="H186" s="15" t="s">
        <v>440</v>
      </c>
      <c r="I186" s="17">
        <v>45065</v>
      </c>
      <c r="J186" s="15" t="s">
        <v>441</v>
      </c>
      <c r="K186" s="17">
        <v>45078</v>
      </c>
      <c r="L186" s="15"/>
      <c r="M186" s="17"/>
      <c r="N186" s="18"/>
      <c r="O186" s="18">
        <v>4580463.6959707029</v>
      </c>
      <c r="P186" s="14">
        <f t="shared" si="22"/>
        <v>-4580463.6959707029</v>
      </c>
      <c r="Q186" s="15" t="s">
        <v>18</v>
      </c>
      <c r="R186" s="38" t="s">
        <v>442</v>
      </c>
      <c r="S186" s="16" t="s">
        <v>443</v>
      </c>
      <c r="T186" s="13">
        <v>583480.15395861014</v>
      </c>
      <c r="Y186" s="79"/>
    </row>
    <row r="187" spans="1:25" s="3" customFormat="1" ht="30" hidden="1" x14ac:dyDescent="0.25">
      <c r="A187" s="2">
        <f>ROW(DIARIO[[#This Row],[Nombre de Cuenta]])-$A$177-1</f>
        <v>10</v>
      </c>
      <c r="B187" s="15" t="s">
        <v>21</v>
      </c>
      <c r="C187" s="16" t="s">
        <v>317</v>
      </c>
      <c r="D187" s="15">
        <f>VLOOKUP(C187,CATALOGO[],2,FALSE)</f>
        <v>58</v>
      </c>
      <c r="E187" s="36" t="str">
        <f>VLOOKUP(DIARIO[[#This Row],[Objeto de Gasto]],CATALOGO[],3,FALSE)</f>
        <v>42420 Equipo De Laboratorio Medico</v>
      </c>
      <c r="F187" s="1" t="s">
        <v>11</v>
      </c>
      <c r="G187" s="16" t="s">
        <v>439</v>
      </c>
      <c r="H187" s="15" t="s">
        <v>440</v>
      </c>
      <c r="I187" s="17">
        <v>45065</v>
      </c>
      <c r="J187" s="15" t="s">
        <v>441</v>
      </c>
      <c r="K187" s="17">
        <v>45078</v>
      </c>
      <c r="L187" s="15"/>
      <c r="M187" s="17"/>
      <c r="N187" s="18"/>
      <c r="O187" s="18">
        <v>8243780.15034422</v>
      </c>
      <c r="P187" s="14">
        <f t="shared" si="22"/>
        <v>-8243780.15034422</v>
      </c>
      <c r="Q187" s="15" t="s">
        <v>18</v>
      </c>
      <c r="R187" s="38" t="s">
        <v>442</v>
      </c>
      <c r="S187" s="16" t="s">
        <v>443</v>
      </c>
      <c r="T187" s="13">
        <v>1050129.9498465767</v>
      </c>
      <c r="Y187" s="79"/>
    </row>
    <row r="188" spans="1:25" s="3" customFormat="1" ht="60" hidden="1" x14ac:dyDescent="0.25">
      <c r="A188" s="2">
        <f>ROW(DIARIO[[#This Row],[Nombre de Cuenta]])-$A$177-1</f>
        <v>11</v>
      </c>
      <c r="B188" s="15" t="s">
        <v>21</v>
      </c>
      <c r="C188" s="16" t="s">
        <v>409</v>
      </c>
      <c r="D188" s="15">
        <f>VLOOKUP(C188,CATALOGO[],2,FALSE)</f>
        <v>37</v>
      </c>
      <c r="E188" s="36" t="str">
        <f>VLOOKUP(DIARIO[[#This Row],[Objeto de Gasto]],CATALOGO[],3,FALSE)</f>
        <v>35251 Reactivos</v>
      </c>
      <c r="F188" s="1" t="s">
        <v>11</v>
      </c>
      <c r="G188" s="16" t="s">
        <v>444</v>
      </c>
      <c r="H188" s="15" t="s">
        <v>445</v>
      </c>
      <c r="I188" s="17">
        <v>45154</v>
      </c>
      <c r="J188" s="15" t="s">
        <v>446</v>
      </c>
      <c r="K188" s="17"/>
      <c r="L188" s="15" t="s">
        <v>447</v>
      </c>
      <c r="M188" s="17">
        <v>45159</v>
      </c>
      <c r="N188" s="18"/>
      <c r="O188" s="18">
        <v>389530</v>
      </c>
      <c r="P188" s="14">
        <f t="shared" si="22"/>
        <v>-389530</v>
      </c>
      <c r="Q188" s="15" t="s">
        <v>18</v>
      </c>
      <c r="R188" s="38" t="s">
        <v>448</v>
      </c>
      <c r="S188" s="16" t="s">
        <v>449</v>
      </c>
      <c r="T188" s="13"/>
    </row>
    <row r="189" spans="1:25" s="3" customFormat="1" ht="30" hidden="1" x14ac:dyDescent="0.25">
      <c r="A189" s="2">
        <f>ROW(DIARIO[[#This Row],[Nombre de Cuenta]])-$A$177-1</f>
        <v>12</v>
      </c>
      <c r="B189" s="15" t="s">
        <v>21</v>
      </c>
      <c r="C189" s="16" t="s">
        <v>281</v>
      </c>
      <c r="D189" s="15">
        <f>VLOOKUP(C189,CATALOGO[],2,FALSE)</f>
        <v>51</v>
      </c>
      <c r="E189" s="36" t="str">
        <f>VLOOKUP(DIARIO[[#This Row],[Objeto de Gasto]],CATALOGO[],3,FALSE)</f>
        <v>39540 Otro Instrumental, Accesorios Y Material Medico</v>
      </c>
      <c r="F189" s="1" t="s">
        <v>11</v>
      </c>
      <c r="G189" s="16" t="s">
        <v>450</v>
      </c>
      <c r="H189" s="15" t="s">
        <v>451</v>
      </c>
      <c r="I189" s="17">
        <v>45065</v>
      </c>
      <c r="J189" s="15" t="s">
        <v>452</v>
      </c>
      <c r="K189" s="17">
        <v>45078</v>
      </c>
      <c r="L189" s="15"/>
      <c r="M189" s="17"/>
      <c r="N189" s="18"/>
      <c r="O189" s="18">
        <v>83069.899326067505</v>
      </c>
      <c r="P189" s="14">
        <f>N189-O189</f>
        <v>-83069.899326067505</v>
      </c>
      <c r="Q189" s="15" t="s">
        <v>18</v>
      </c>
      <c r="R189" s="38" t="s">
        <v>453</v>
      </c>
      <c r="S189" s="16" t="s">
        <v>454</v>
      </c>
      <c r="T189" s="13">
        <v>48814.484342566844</v>
      </c>
      <c r="X189" s="79"/>
    </row>
    <row r="190" spans="1:25" s="3" customFormat="1" ht="30" hidden="1" x14ac:dyDescent="0.25">
      <c r="A190" s="2">
        <f>ROW(DIARIO[[#This Row],[Nombre de Cuenta]])-$A$177-1</f>
        <v>13</v>
      </c>
      <c r="B190" s="15" t="s">
        <v>21</v>
      </c>
      <c r="C190" s="16" t="s">
        <v>282</v>
      </c>
      <c r="D190" s="15">
        <f>VLOOKUP(C190,CATALOGO[],2,FALSE)</f>
        <v>51</v>
      </c>
      <c r="E190" s="36" t="str">
        <f>VLOOKUP(DIARIO[[#This Row],[Objeto de Gasto]],CATALOGO[],3,FALSE)</f>
        <v>39540 Otro Instrumental, Accesorios Y Material Medico</v>
      </c>
      <c r="F190" s="1" t="s">
        <v>11</v>
      </c>
      <c r="G190" s="16" t="s">
        <v>450</v>
      </c>
      <c r="H190" s="15" t="s">
        <v>451</v>
      </c>
      <c r="I190" s="17">
        <v>45065</v>
      </c>
      <c r="J190" s="15" t="s">
        <v>452</v>
      </c>
      <c r="K190" s="17">
        <v>45078</v>
      </c>
      <c r="L190" s="15"/>
      <c r="M190" s="17"/>
      <c r="N190" s="18"/>
      <c r="O190" s="18">
        <v>13778.957573410133</v>
      </c>
      <c r="P190" s="14">
        <f>N190-O190</f>
        <v>-13778.957573410133</v>
      </c>
      <c r="Q190" s="15" t="s">
        <v>18</v>
      </c>
      <c r="R190" s="38" t="s">
        <v>453</v>
      </c>
      <c r="S190" s="16" t="s">
        <v>454</v>
      </c>
      <c r="T190" s="13">
        <v>8096.9486442251473</v>
      </c>
      <c r="X190" s="79"/>
    </row>
    <row r="191" spans="1:25" ht="60" hidden="1" x14ac:dyDescent="0.25">
      <c r="A191" s="2">
        <f>ROW(DIARIO[[#This Row],[Nombre de Cuenta]])-$A$177-1</f>
        <v>14</v>
      </c>
      <c r="B191" s="15" t="s">
        <v>21</v>
      </c>
      <c r="C191" s="16" t="s">
        <v>280</v>
      </c>
      <c r="D191" s="15">
        <f>VLOOKUP(C191,CATALOGO[],2,FALSE)</f>
        <v>51</v>
      </c>
      <c r="E191" s="36" t="str">
        <f>VLOOKUP(DIARIO[[#This Row],[Objeto de Gasto]],CATALOGO[],3,FALSE)</f>
        <v>39540 Otro Instrumental, Accesorios Y Material Medico</v>
      </c>
      <c r="F191" s="1" t="s">
        <v>11</v>
      </c>
      <c r="G191" s="16" t="s">
        <v>450</v>
      </c>
      <c r="H191" s="15" t="s">
        <v>451</v>
      </c>
      <c r="I191" s="17">
        <v>45065</v>
      </c>
      <c r="J191" s="15" t="s">
        <v>452</v>
      </c>
      <c r="K191" s="17">
        <v>45078</v>
      </c>
      <c r="L191" s="15"/>
      <c r="M191" s="17"/>
      <c r="N191" s="18"/>
      <c r="O191" s="18">
        <v>143625.0031005221</v>
      </c>
      <c r="P191" s="14">
        <f>N191-O191</f>
        <v>-143625.0031005221</v>
      </c>
      <c r="Q191" s="15" t="s">
        <v>18</v>
      </c>
      <c r="R191" s="38" t="s">
        <v>453</v>
      </c>
      <c r="S191" s="16" t="s">
        <v>455</v>
      </c>
      <c r="T191" s="13">
        <v>84398.567013207998</v>
      </c>
      <c r="X191" s="114"/>
      <c r="Y191" s="3"/>
    </row>
    <row r="192" spans="1:25" ht="45" hidden="1" x14ac:dyDescent="0.25">
      <c r="A192" s="2">
        <f>ROW(DIARIO[[#This Row],[Nombre de Cuenta]])-$A$177-1</f>
        <v>15</v>
      </c>
      <c r="B192" s="23" t="s">
        <v>17</v>
      </c>
      <c r="C192" s="34" t="s">
        <v>230</v>
      </c>
      <c r="D192" s="7">
        <f>VLOOKUP(C192,CATALOGO[],2,FALSE)</f>
        <v>41</v>
      </c>
      <c r="E192" s="36" t="str">
        <f>VLOOKUP(DIARIO[[#This Row],[Objeto de Gasto]],CATALOGO[],3,FALSE)</f>
        <v>35400 Insecticidas, Fumigantes Y Otros</v>
      </c>
      <c r="F192" s="1" t="s">
        <v>11</v>
      </c>
      <c r="G192" s="6" t="s">
        <v>456</v>
      </c>
      <c r="H192" s="1" t="s">
        <v>457</v>
      </c>
      <c r="I192" s="9">
        <v>45180</v>
      </c>
      <c r="J192" s="1" t="s">
        <v>458</v>
      </c>
      <c r="K192" s="9">
        <v>45208</v>
      </c>
      <c r="L192" s="1"/>
      <c r="M192" s="9"/>
      <c r="N192" s="19"/>
      <c r="O192" s="21">
        <v>12000000</v>
      </c>
      <c r="P192" s="4">
        <f t="shared" si="14"/>
        <v>-12000000</v>
      </c>
      <c r="Q192" s="23" t="s">
        <v>26</v>
      </c>
      <c r="R192" s="39"/>
      <c r="S192" s="6" t="s">
        <v>459</v>
      </c>
    </row>
    <row r="193" spans="1:23" ht="30" hidden="1" x14ac:dyDescent="0.25">
      <c r="A193" s="2">
        <f>ROW(DIARIO[[#This Row],[Nombre de Cuenta]])-$A$177-1</f>
        <v>16</v>
      </c>
      <c r="B193" s="23" t="s">
        <v>17</v>
      </c>
      <c r="C193" s="34" t="s">
        <v>226</v>
      </c>
      <c r="D193" s="7">
        <f>VLOOKUP(C193,CATALOGO[],2,FALSE)</f>
        <v>40</v>
      </c>
      <c r="E193" s="36" t="str">
        <f>VLOOKUP(DIARIO[[#This Row],[Objeto de Gasto]],CATALOGO[],3,FALSE)</f>
        <v>35252 Reactivo (VIH)</v>
      </c>
      <c r="F193" s="1" t="s">
        <v>11</v>
      </c>
      <c r="G193" s="6" t="s">
        <v>429</v>
      </c>
      <c r="H193" s="1" t="s">
        <v>460</v>
      </c>
      <c r="I193" s="9">
        <v>45189</v>
      </c>
      <c r="J193" s="1" t="s">
        <v>461</v>
      </c>
      <c r="K193" s="9">
        <v>45210</v>
      </c>
      <c r="L193" s="1"/>
      <c r="M193" s="9"/>
      <c r="N193" s="19"/>
      <c r="O193" s="21">
        <v>45215293.5</v>
      </c>
      <c r="P193" s="4">
        <f t="shared" si="14"/>
        <v>-45215293.5</v>
      </c>
      <c r="Q193" s="23" t="s">
        <v>10</v>
      </c>
      <c r="R193" s="39"/>
      <c r="S193" s="6" t="s">
        <v>462</v>
      </c>
    </row>
    <row r="194" spans="1:23" ht="30" hidden="1" x14ac:dyDescent="0.25">
      <c r="A194" s="2">
        <f>ROW(DIARIO[[#This Row],[Nombre de Cuenta]])-$A$177-1</f>
        <v>17</v>
      </c>
      <c r="B194" s="23" t="s">
        <v>17</v>
      </c>
      <c r="C194" s="34">
        <v>42310</v>
      </c>
      <c r="D194" s="7">
        <f>VLOOKUP(C194,CATALOGO[],2,FALSE)</f>
        <v>61</v>
      </c>
      <c r="E194" s="36" t="str">
        <f>VLOOKUP(DIARIO[[#This Row],[Objeto de Gasto]],CATALOGO[],3,FALSE)</f>
        <v>42310 Equipo De Transporte Terrestre Para Personas</v>
      </c>
      <c r="F194" s="1" t="s">
        <v>11</v>
      </c>
      <c r="G194" s="6" t="s">
        <v>463</v>
      </c>
      <c r="H194" s="1"/>
      <c r="I194" s="9"/>
      <c r="J194" s="1"/>
      <c r="K194" s="9"/>
      <c r="L194" s="1"/>
      <c r="M194" s="9"/>
      <c r="N194" s="19"/>
      <c r="O194" s="13"/>
      <c r="P194" s="4">
        <f t="shared" si="14"/>
        <v>0</v>
      </c>
      <c r="Q194" s="23" t="s">
        <v>14</v>
      </c>
      <c r="R194" s="39"/>
      <c r="S194" s="6"/>
    </row>
    <row r="195" spans="1:23" ht="30" hidden="1" x14ac:dyDescent="0.25">
      <c r="A195" s="2">
        <f>ROW(DIARIO[[#This Row],[Nombre de Cuenta]])-$A$177-1</f>
        <v>18</v>
      </c>
      <c r="B195" s="23" t="s">
        <v>30</v>
      </c>
      <c r="C195" s="34" t="s">
        <v>327</v>
      </c>
      <c r="D195" s="7">
        <f>VLOOKUP(C195,CATALOGO[],2,FALSE)</f>
        <v>60</v>
      </c>
      <c r="E195" s="36" t="str">
        <f>VLOOKUP(DIARIO[[#This Row],[Objeto de Gasto]],CATALOGO[],3,FALSE)</f>
        <v>45100 Aplicaciones Informaticas</v>
      </c>
      <c r="F195" s="1" t="s">
        <v>19</v>
      </c>
      <c r="G195" s="6" t="s">
        <v>464</v>
      </c>
      <c r="H195" s="1" t="s">
        <v>465</v>
      </c>
      <c r="I195" s="9">
        <v>45314</v>
      </c>
      <c r="J195" s="1" t="s">
        <v>466</v>
      </c>
      <c r="K195" s="9">
        <v>45351</v>
      </c>
      <c r="L195" s="1"/>
      <c r="M195" s="9"/>
      <c r="O195" s="22">
        <v>200000</v>
      </c>
      <c r="P195" s="4">
        <f t="shared" ref="P195:P204" si="23">N195-O195</f>
        <v>-200000</v>
      </c>
      <c r="Q195" s="23" t="s">
        <v>22</v>
      </c>
      <c r="R195" s="39"/>
      <c r="S195" s="6"/>
    </row>
    <row r="196" spans="1:23" ht="30" hidden="1" x14ac:dyDescent="0.25">
      <c r="A196" s="2">
        <f>ROW(DIARIO[[#This Row],[Nombre de Cuenta]])-$A$177-1</f>
        <v>19</v>
      </c>
      <c r="B196" s="33" t="s">
        <v>17</v>
      </c>
      <c r="C196" s="35" t="s">
        <v>181</v>
      </c>
      <c r="D196" s="28">
        <f>VLOOKUP(C196,CATALOGO[],2,FALSE)</f>
        <v>31</v>
      </c>
      <c r="E196" s="37" t="str">
        <f>VLOOKUP(DIARIO[[#This Row],[Objeto de Gasto]],CATALOGO[],3,FALSE)</f>
        <v>32310 Prendas De Vestir</v>
      </c>
      <c r="F196" s="27" t="s">
        <v>11</v>
      </c>
      <c r="G196" s="29" t="s">
        <v>467</v>
      </c>
      <c r="H196" s="27" t="s">
        <v>468</v>
      </c>
      <c r="I196" s="30">
        <v>45315</v>
      </c>
      <c r="J196" s="27"/>
      <c r="K196" s="30"/>
      <c r="L196" s="27"/>
      <c r="M196" s="30"/>
      <c r="N196" s="31"/>
      <c r="O196" s="32">
        <v>2657500</v>
      </c>
      <c r="P196" s="31">
        <f t="shared" si="23"/>
        <v>-2657500</v>
      </c>
      <c r="Q196" s="33" t="s">
        <v>10</v>
      </c>
      <c r="R196" s="40"/>
      <c r="S196" s="29" t="s">
        <v>658</v>
      </c>
      <c r="T196" s="31"/>
    </row>
    <row r="197" spans="1:23" ht="90" hidden="1" x14ac:dyDescent="0.25">
      <c r="A197" s="2">
        <f>ROW(DIARIO[[#This Row],[Nombre de Cuenta]])-$A$177-1</f>
        <v>20</v>
      </c>
      <c r="B197" s="23" t="s">
        <v>21</v>
      </c>
      <c r="C197" s="34" t="s">
        <v>410</v>
      </c>
      <c r="D197" s="7">
        <f>VLOOKUP(C197,CATALOGO[],2,FALSE)</f>
        <v>41</v>
      </c>
      <c r="E197" s="36" t="str">
        <f>VLOOKUP(DIARIO[[#This Row],[Objeto de Gasto]],CATALOGO[],3,FALSE)</f>
        <v>35400 Insecticidas, Fumigantes Y Otros</v>
      </c>
      <c r="F197" s="1" t="s">
        <v>11</v>
      </c>
      <c r="G197" s="6" t="s">
        <v>456</v>
      </c>
      <c r="H197" s="1" t="s">
        <v>469</v>
      </c>
      <c r="I197" s="9">
        <v>45322</v>
      </c>
      <c r="J197" s="1" t="s">
        <v>470</v>
      </c>
      <c r="K197" s="9">
        <v>45322</v>
      </c>
      <c r="L197" s="1"/>
      <c r="M197" s="9"/>
      <c r="O197" s="22">
        <v>11200000</v>
      </c>
      <c r="P197" s="4">
        <f t="shared" si="23"/>
        <v>-11200000</v>
      </c>
      <c r="Q197" s="23" t="s">
        <v>18</v>
      </c>
      <c r="R197" s="39" t="s">
        <v>471</v>
      </c>
      <c r="S197" s="6" t="s">
        <v>711</v>
      </c>
    </row>
    <row r="198" spans="1:23" ht="75" hidden="1" x14ac:dyDescent="0.25">
      <c r="A198" s="2">
        <f>ROW(DIARIO[[#This Row],[Nombre de Cuenta]])-$A$177-1</f>
        <v>21</v>
      </c>
      <c r="B198" s="23" t="s">
        <v>30</v>
      </c>
      <c r="C198" s="34" t="s">
        <v>322</v>
      </c>
      <c r="D198" s="7">
        <f>VLOOKUP(C198,CATALOGO[],2,FALSE)</f>
        <v>59</v>
      </c>
      <c r="E198" s="36" t="str">
        <f>VLOOKUP(DIARIO[[#This Row],[Objeto de Gasto]],CATALOGO[],3,FALSE)</f>
        <v>42600 Equipo Para Computacion</v>
      </c>
      <c r="F198" s="1" t="s">
        <v>19</v>
      </c>
      <c r="G198" s="6" t="s">
        <v>472</v>
      </c>
      <c r="H198" s="1" t="s">
        <v>473</v>
      </c>
      <c r="I198" s="9">
        <v>45320</v>
      </c>
      <c r="J198" s="1" t="s">
        <v>474</v>
      </c>
      <c r="K198" s="9">
        <v>45345</v>
      </c>
      <c r="L198" s="1"/>
      <c r="M198" s="9"/>
      <c r="O198" s="22">
        <f>(21645.55*26)+(30164.5*25)+(45482.5*25)+15482.5+42859.1</f>
        <v>2512300.9</v>
      </c>
      <c r="P198" s="4">
        <f t="shared" si="23"/>
        <v>-2512300.9</v>
      </c>
      <c r="Q198" s="23" t="s">
        <v>18</v>
      </c>
      <c r="R198" s="39"/>
      <c r="S198" s="6" t="s">
        <v>927</v>
      </c>
      <c r="V198" s="25"/>
    </row>
    <row r="199" spans="1:23" ht="30" hidden="1" x14ac:dyDescent="0.25">
      <c r="A199" s="2">
        <f>ROW(DIARIO[[#This Row],[Nombre de Cuenta]])-$A$177-1</f>
        <v>22</v>
      </c>
      <c r="B199" s="23" t="s">
        <v>21</v>
      </c>
      <c r="C199" s="34" t="s">
        <v>422</v>
      </c>
      <c r="D199" s="7">
        <f>VLOOKUP(C199,CATALOGO[],2,FALSE)</f>
        <v>57</v>
      </c>
      <c r="E199" s="36" t="str">
        <f>VLOOKUP(DIARIO[[#This Row],[Objeto de Gasto]],CATALOGO[],3,FALSE)</f>
        <v>42220 Maquinaria Y Equipo De Producción Agropecuaria Y Forestal</v>
      </c>
      <c r="F199" s="1" t="s">
        <v>11</v>
      </c>
      <c r="G199" s="6" t="s">
        <v>475</v>
      </c>
      <c r="H199" s="1" t="s">
        <v>476</v>
      </c>
      <c r="I199" s="9">
        <v>45322</v>
      </c>
      <c r="J199" s="1" t="s">
        <v>477</v>
      </c>
      <c r="K199" s="9">
        <v>45347</v>
      </c>
      <c r="L199" s="1"/>
      <c r="M199" s="9"/>
      <c r="O199" s="22">
        <v>1500000</v>
      </c>
      <c r="P199" s="4">
        <f t="shared" si="23"/>
        <v>-1500000</v>
      </c>
      <c r="Q199" s="23" t="s">
        <v>14</v>
      </c>
      <c r="R199" s="39" t="s">
        <v>478</v>
      </c>
      <c r="S199" s="6"/>
    </row>
    <row r="200" spans="1:23" ht="75" hidden="1" x14ac:dyDescent="0.25">
      <c r="A200" s="2">
        <f>ROW(DIARIO[[#This Row],[Nombre de Cuenta]])-$A$177-1</f>
        <v>23</v>
      </c>
      <c r="B200" s="23" t="s">
        <v>9</v>
      </c>
      <c r="C200" s="34" t="s">
        <v>421</v>
      </c>
      <c r="D200" s="7">
        <f>VLOOKUP(C200,CATALOGO[],2,FALSE)</f>
        <v>55</v>
      </c>
      <c r="E200" s="36" t="str">
        <f>VLOOKUP(DIARIO[[#This Row],[Objeto de Gasto]],CATALOGO[],3,FALSE)</f>
        <v>42120 Equipos Varios De Oficina</v>
      </c>
      <c r="F200" s="1" t="s">
        <v>11</v>
      </c>
      <c r="G200" s="6" t="s">
        <v>479</v>
      </c>
      <c r="H200" s="1" t="s">
        <v>480</v>
      </c>
      <c r="I200" s="9">
        <v>45327</v>
      </c>
      <c r="J200" s="1" t="s">
        <v>674</v>
      </c>
      <c r="K200" s="9">
        <v>45404</v>
      </c>
      <c r="L200" s="1"/>
      <c r="M200" s="9"/>
      <c r="O200" s="22">
        <v>896998</v>
      </c>
      <c r="P200" s="4">
        <f t="shared" si="23"/>
        <v>-896998</v>
      </c>
      <c r="Q200" s="23" t="s">
        <v>14</v>
      </c>
      <c r="R200" s="39"/>
      <c r="S200" s="6" t="s">
        <v>749</v>
      </c>
    </row>
    <row r="201" spans="1:23" ht="60" hidden="1" x14ac:dyDescent="0.25">
      <c r="A201" s="2">
        <f>ROW(DIARIO[[#This Row],[Nombre de Cuenta]])-$A$177-1</f>
        <v>24</v>
      </c>
      <c r="B201" s="33" t="s">
        <v>30</v>
      </c>
      <c r="C201" s="35" t="s">
        <v>425</v>
      </c>
      <c r="D201" s="28">
        <f>VLOOKUP(C201,CATALOGO[],2,FALSE)</f>
        <v>59</v>
      </c>
      <c r="E201" s="37" t="str">
        <f>VLOOKUP(DIARIO[[#This Row],[Objeto de Gasto]],CATALOGO[],3,FALSE)</f>
        <v>42600 Equipo Para Computacion</v>
      </c>
      <c r="F201" s="27" t="s">
        <v>19</v>
      </c>
      <c r="G201" s="29" t="s">
        <v>482</v>
      </c>
      <c r="H201" s="27" t="s">
        <v>483</v>
      </c>
      <c r="I201" s="30">
        <v>45327</v>
      </c>
      <c r="J201" s="27"/>
      <c r="K201" s="30"/>
      <c r="L201" s="27"/>
      <c r="M201" s="30"/>
      <c r="N201" s="31"/>
      <c r="O201" s="32">
        <v>393985</v>
      </c>
      <c r="P201" s="31">
        <f t="shared" si="23"/>
        <v>-393985</v>
      </c>
      <c r="Q201" s="33" t="s">
        <v>10</v>
      </c>
      <c r="R201" s="40"/>
      <c r="S201" s="29"/>
      <c r="T201" s="31"/>
    </row>
    <row r="202" spans="1:23" ht="75" hidden="1" x14ac:dyDescent="0.25">
      <c r="A202" s="2">
        <f>ROW(DIARIO[[#This Row],[Nombre de Cuenta]])-$A$177-1</f>
        <v>25</v>
      </c>
      <c r="B202" s="23" t="s">
        <v>30</v>
      </c>
      <c r="C202" s="34" t="s">
        <v>419</v>
      </c>
      <c r="D202" s="7">
        <f>VLOOKUP(C202,CATALOGO[],2,FALSE)</f>
        <v>52</v>
      </c>
      <c r="E202" s="36" t="str">
        <f>VLOOKUP(DIARIO[[#This Row],[Objeto de Gasto]],CATALOGO[],3,FALSE)</f>
        <v>39600 Otros Repuestos Y Accesorios Menores</v>
      </c>
      <c r="F202" s="1" t="s">
        <v>19</v>
      </c>
      <c r="G202" s="6" t="s">
        <v>484</v>
      </c>
      <c r="H202" s="1" t="s">
        <v>485</v>
      </c>
      <c r="I202" s="9">
        <v>45327</v>
      </c>
      <c r="J202" s="1" t="s">
        <v>486</v>
      </c>
      <c r="K202" s="9">
        <v>45345</v>
      </c>
      <c r="L202" s="1"/>
      <c r="M202" s="9"/>
      <c r="O202" s="22">
        <f>(14892.5)+(8050)+22467.5</f>
        <v>45410</v>
      </c>
      <c r="P202" s="4">
        <f t="shared" si="23"/>
        <v>-45410</v>
      </c>
      <c r="Q202" s="23" t="s">
        <v>18</v>
      </c>
      <c r="R202" s="39"/>
      <c r="S202" s="6"/>
      <c r="T202" s="4">
        <f>(14892.5)+(8050)</f>
        <v>22942.5</v>
      </c>
      <c r="V202" s="137"/>
      <c r="W202" s="25"/>
    </row>
    <row r="203" spans="1:23" ht="60" hidden="1" x14ac:dyDescent="0.25">
      <c r="A203" s="2">
        <f>ROW(DIARIO[[#This Row],[Nombre de Cuenta]])-$A$177-1</f>
        <v>26</v>
      </c>
      <c r="B203" s="23" t="s">
        <v>30</v>
      </c>
      <c r="C203" s="34" t="s">
        <v>416</v>
      </c>
      <c r="D203" s="7">
        <f>VLOOKUP(C203,CATALOGO[],2,FALSE)</f>
        <v>48</v>
      </c>
      <c r="E203" s="36" t="str">
        <f>VLOOKUP(DIARIO[[#This Row],[Objeto de Gasto]],CATALOGO[],3,FALSE)</f>
        <v>39200 Utiles De Esritorio, Oficina  Y Enseñanza</v>
      </c>
      <c r="F203" s="1" t="s">
        <v>19</v>
      </c>
      <c r="G203" s="6" t="s">
        <v>487</v>
      </c>
      <c r="H203" s="1" t="s">
        <v>488</v>
      </c>
      <c r="I203" s="9">
        <v>45327</v>
      </c>
      <c r="J203" s="1" t="s">
        <v>489</v>
      </c>
      <c r="K203" s="9">
        <v>45345</v>
      </c>
      <c r="L203" s="1"/>
      <c r="M203" s="9"/>
      <c r="O203" s="22">
        <f>5395.05+12111.32+1741.69+1019.5</f>
        <v>20267.559999999998</v>
      </c>
      <c r="P203" s="4">
        <f t="shared" si="23"/>
        <v>-20267.559999999998</v>
      </c>
      <c r="Q203" s="23" t="s">
        <v>18</v>
      </c>
      <c r="R203" s="39"/>
      <c r="S203" s="6"/>
      <c r="T203" s="4">
        <v>20267.559999999998</v>
      </c>
      <c r="V203" s="137"/>
      <c r="W203" s="25"/>
    </row>
    <row r="204" spans="1:23" ht="30" hidden="1" x14ac:dyDescent="0.25">
      <c r="A204" s="2">
        <f>ROW(DIARIO[[#This Row],[Nombre de Cuenta]])-$A$177-1</f>
        <v>27</v>
      </c>
      <c r="B204" s="23" t="s">
        <v>30</v>
      </c>
      <c r="C204" s="34" t="s">
        <v>405</v>
      </c>
      <c r="D204" s="7">
        <f>VLOOKUP(C204,CATALOGO[],2,FALSE)</f>
        <v>33</v>
      </c>
      <c r="E204" s="36" t="str">
        <f>VLOOKUP(DIARIO[[#This Row],[Objeto de Gasto]],CATALOGO[],3,FALSE)</f>
        <v xml:space="preserve">33100 Productos De Papel Y Carton </v>
      </c>
      <c r="F204" s="1" t="s">
        <v>15</v>
      </c>
      <c r="G204" s="6" t="s">
        <v>490</v>
      </c>
      <c r="H204" s="1" t="s">
        <v>491</v>
      </c>
      <c r="I204" s="9">
        <v>45327</v>
      </c>
      <c r="J204" s="1" t="s">
        <v>492</v>
      </c>
      <c r="K204" s="9">
        <v>45345</v>
      </c>
      <c r="L204" s="1"/>
      <c r="M204" s="9"/>
      <c r="O204" s="22">
        <f>7718.8+1431.06+1661.06</f>
        <v>10810.92</v>
      </c>
      <c r="P204" s="4">
        <f t="shared" si="23"/>
        <v>-10810.92</v>
      </c>
      <c r="Q204" s="23" t="s">
        <v>18</v>
      </c>
      <c r="R204" s="39"/>
      <c r="S204" t="s">
        <v>928</v>
      </c>
      <c r="T204" s="4">
        <v>10810.92</v>
      </c>
    </row>
    <row r="205" spans="1:23" ht="45" hidden="1" x14ac:dyDescent="0.25">
      <c r="A205" s="2">
        <f>ROW(DIARIO[[#This Row],[Nombre de Cuenta]])-$A$177-1</f>
        <v>28</v>
      </c>
      <c r="B205" s="23" t="s">
        <v>30</v>
      </c>
      <c r="C205" s="34" t="s">
        <v>261</v>
      </c>
      <c r="D205" s="7">
        <f>VLOOKUP(C205,CATALOGO[],2,FALSE)</f>
        <v>47</v>
      </c>
      <c r="E205" s="36" t="str">
        <f>VLOOKUP(DIARIO[[#This Row],[Objeto de Gasto]],CATALOGO[],3,FALSE)</f>
        <v>39100 Elementos De Limpieza Y Aseo Personal</v>
      </c>
      <c r="F205" s="1" t="s">
        <v>11</v>
      </c>
      <c r="G205" s="6" t="s">
        <v>493</v>
      </c>
      <c r="H205" s="1" t="s">
        <v>494</v>
      </c>
      <c r="I205" s="9">
        <v>45331</v>
      </c>
      <c r="J205" s="1" t="s">
        <v>495</v>
      </c>
      <c r="K205" s="9">
        <v>45345</v>
      </c>
      <c r="L205" s="1"/>
      <c r="M205" s="9"/>
      <c r="O205" s="22">
        <v>1024.6500000000001</v>
      </c>
      <c r="P205" s="4">
        <f>N205-O205</f>
        <v>-1024.6500000000001</v>
      </c>
      <c r="Q205" s="23" t="s">
        <v>18</v>
      </c>
      <c r="R205" s="39"/>
      <c r="S205" s="6" t="s">
        <v>722</v>
      </c>
      <c r="T205" s="4">
        <v>1024.6500000000001</v>
      </c>
    </row>
    <row r="206" spans="1:23" ht="45" hidden="1" x14ac:dyDescent="0.25">
      <c r="A206" s="2">
        <f>ROW(DIARIO[[#This Row],[Nombre de Cuenta]])-$A$177-1</f>
        <v>29</v>
      </c>
      <c r="B206" s="23" t="s">
        <v>9</v>
      </c>
      <c r="C206" s="34" t="s">
        <v>370</v>
      </c>
      <c r="D206" s="7">
        <f>VLOOKUP(C206,CATALOGO[],2,FALSE)</f>
        <v>67</v>
      </c>
      <c r="E206" s="36" t="str">
        <f>VLOOKUP(DIARIO[[#This Row],[Objeto de Gasto]],CATALOGO[],3,FALSE)</f>
        <v>39300 Utiles Y Materiales Eléctricos</v>
      </c>
      <c r="F206" s="1" t="s">
        <v>19</v>
      </c>
      <c r="G206" s="6" t="s">
        <v>496</v>
      </c>
      <c r="H206" s="1" t="s">
        <v>497</v>
      </c>
      <c r="I206" s="9">
        <v>45331</v>
      </c>
      <c r="J206" s="1" t="s">
        <v>498</v>
      </c>
      <c r="K206" s="9">
        <v>45336</v>
      </c>
      <c r="L206" s="1"/>
      <c r="M206" s="9"/>
      <c r="O206" s="22">
        <v>10000</v>
      </c>
      <c r="P206" s="4">
        <f>N206-O206</f>
        <v>-10000</v>
      </c>
      <c r="Q206" s="23" t="s">
        <v>14</v>
      </c>
      <c r="R206" s="39"/>
      <c r="S206" s="6"/>
    </row>
    <row r="207" spans="1:23" ht="30" hidden="1" x14ac:dyDescent="0.25">
      <c r="A207" s="2">
        <f>ROW(DIARIO[[#This Row],[Nombre de Cuenta]])-$A$177-1</f>
        <v>30</v>
      </c>
      <c r="B207" s="23" t="s">
        <v>17</v>
      </c>
      <c r="C207" s="34" t="s">
        <v>181</v>
      </c>
      <c r="D207" s="7">
        <v>31</v>
      </c>
      <c r="E207" s="36" t="str">
        <f>VLOOKUP(DIARIO[[#This Row],[Objeto de Gasto]],CATALOGO[],3,FALSE)</f>
        <v>32310 Prendas De Vestir</v>
      </c>
      <c r="F207" s="1" t="s">
        <v>11</v>
      </c>
      <c r="G207" s="6" t="s">
        <v>467</v>
      </c>
      <c r="H207" s="1" t="s">
        <v>499</v>
      </c>
      <c r="I207" s="9">
        <v>45334</v>
      </c>
      <c r="J207" s="1" t="s">
        <v>655</v>
      </c>
      <c r="K207" s="9">
        <v>45358</v>
      </c>
      <c r="L207" s="1"/>
      <c r="M207" s="9"/>
      <c r="O207" s="22">
        <v>2657500</v>
      </c>
      <c r="P207" s="4">
        <v>-2657500</v>
      </c>
      <c r="Q207" s="23" t="s">
        <v>14</v>
      </c>
      <c r="R207" s="39" t="s">
        <v>782</v>
      </c>
      <c r="S207" s="6" t="s">
        <v>656</v>
      </c>
    </row>
    <row r="208" spans="1:23" ht="45" hidden="1" x14ac:dyDescent="0.25">
      <c r="A208" s="2">
        <f>ROW(DIARIO[[#This Row],[Nombre de Cuenta]])-$A$177-1</f>
        <v>31</v>
      </c>
      <c r="B208" s="23" t="s">
        <v>30</v>
      </c>
      <c r="C208" s="34" t="s">
        <v>425</v>
      </c>
      <c r="D208" s="7">
        <f>VLOOKUP(C208,CATALOGO[],2,FALSE)</f>
        <v>59</v>
      </c>
      <c r="E208" s="36" t="str">
        <f>VLOOKUP(DIARIO[[#This Row],[Objeto de Gasto]],CATALOGO[],3,FALSE)</f>
        <v>42600 Equipo Para Computacion</v>
      </c>
      <c r="F208" s="1" t="s">
        <v>19</v>
      </c>
      <c r="G208" s="6" t="s">
        <v>500</v>
      </c>
      <c r="H208" s="1" t="s">
        <v>483</v>
      </c>
      <c r="I208" s="9">
        <v>45327</v>
      </c>
      <c r="J208" s="1" t="s">
        <v>474</v>
      </c>
      <c r="K208" s="9">
        <v>45345</v>
      </c>
      <c r="L208" s="1"/>
      <c r="M208" s="9"/>
      <c r="O208" s="22">
        <f>(21645.55*2)+(30164.5*4)+(45482.5*6)-42859.1</f>
        <v>393985</v>
      </c>
      <c r="P208" s="4">
        <f t="shared" ref="P208:P214" si="24">N208-O208</f>
        <v>-393985</v>
      </c>
      <c r="Q208" s="23" t="s">
        <v>18</v>
      </c>
      <c r="R208" s="39"/>
      <c r="S208" s="6" t="s">
        <v>923</v>
      </c>
      <c r="V208" s="25"/>
    </row>
    <row r="209" spans="1:22" hidden="1" x14ac:dyDescent="0.25">
      <c r="A209" s="2">
        <f>ROW(DIARIO[[#This Row],[Nombre de Cuenta]])-$A$177-1</f>
        <v>32</v>
      </c>
      <c r="B209" s="23" t="s">
        <v>30</v>
      </c>
      <c r="C209" s="34" t="s">
        <v>426</v>
      </c>
      <c r="D209" s="7">
        <f>VLOOKUP(C209,CATALOGO[],2,FALSE)</f>
        <v>60</v>
      </c>
      <c r="E209" s="36" t="str">
        <f>VLOOKUP(DIARIO[[#This Row],[Objeto de Gasto]],CATALOGO[],3,FALSE)</f>
        <v>45100 Aplicaciones Informaticas</v>
      </c>
      <c r="F209" s="1" t="s">
        <v>19</v>
      </c>
      <c r="G209" s="6" t="s">
        <v>501</v>
      </c>
      <c r="H209" s="1" t="s">
        <v>502</v>
      </c>
      <c r="I209" s="9">
        <v>45345</v>
      </c>
      <c r="J209" s="1" t="s">
        <v>466</v>
      </c>
      <c r="K209" s="9">
        <v>45351</v>
      </c>
      <c r="L209" s="1"/>
      <c r="M209" s="9"/>
      <c r="O209" s="22">
        <v>200000</v>
      </c>
      <c r="P209" s="4">
        <f t="shared" si="24"/>
        <v>-200000</v>
      </c>
      <c r="Q209" s="23" t="s">
        <v>22</v>
      </c>
      <c r="R209" s="39"/>
      <c r="S209" s="6"/>
    </row>
    <row r="210" spans="1:22" ht="30" hidden="1" x14ac:dyDescent="0.25">
      <c r="A210" s="2">
        <f>ROW(DIARIO[[#This Row],[Nombre de Cuenta]])-$A$177-1</f>
        <v>33</v>
      </c>
      <c r="B210" s="23" t="s">
        <v>17</v>
      </c>
      <c r="C210" s="34" t="s">
        <v>412</v>
      </c>
      <c r="D210" s="7">
        <f>VLOOKUP(C210,CATALOGO[],2,FALSE)</f>
        <v>42</v>
      </c>
      <c r="E210" s="36" t="str">
        <f>VLOOKUP(DIARIO[[#This Row],[Objeto de Gasto]],CATALOGO[],3,FALSE)</f>
        <v>35620 Diesel</v>
      </c>
      <c r="F210" s="1" t="s">
        <v>15</v>
      </c>
      <c r="G210" s="6" t="s">
        <v>503</v>
      </c>
      <c r="H210" s="1" t="s">
        <v>504</v>
      </c>
      <c r="I210" s="9">
        <v>45344</v>
      </c>
      <c r="J210" s="1" t="s">
        <v>505</v>
      </c>
      <c r="K210" s="9">
        <v>45349</v>
      </c>
      <c r="L210" s="1"/>
      <c r="M210" s="9"/>
      <c r="O210" s="22">
        <f>1332973-308901</f>
        <v>1024072</v>
      </c>
      <c r="P210" s="4">
        <f t="shared" si="24"/>
        <v>-1024072</v>
      </c>
      <c r="Q210" s="23" t="s">
        <v>14</v>
      </c>
      <c r="R210" s="39"/>
      <c r="S210" s="6"/>
    </row>
    <row r="211" spans="1:22" ht="30" hidden="1" x14ac:dyDescent="0.25">
      <c r="A211" s="2">
        <f>ROW(DIARIO[[#This Row],[Nombre de Cuenta]])-$A$177-1</f>
        <v>34</v>
      </c>
      <c r="B211" s="23" t="s">
        <v>17</v>
      </c>
      <c r="C211" s="34" t="s">
        <v>411</v>
      </c>
      <c r="D211" s="7">
        <f>VLOOKUP(C211,CATALOGO[],2,FALSE)</f>
        <v>66</v>
      </c>
      <c r="E211" s="36" t="str">
        <f>VLOOKUP(DIARIO[[#This Row],[Objeto de Gasto]],CATALOGO[],3,FALSE)</f>
        <v>35610 Gasolina</v>
      </c>
      <c r="F211" s="1" t="s">
        <v>15</v>
      </c>
      <c r="G211" s="6" t="s">
        <v>506</v>
      </c>
      <c r="H211" s="1" t="s">
        <v>507</v>
      </c>
      <c r="I211" s="9">
        <v>45344</v>
      </c>
      <c r="J211" s="1" t="s">
        <v>508</v>
      </c>
      <c r="K211" s="9">
        <v>45349</v>
      </c>
      <c r="L211" s="1"/>
      <c r="M211" s="9"/>
      <c r="O211" s="22">
        <v>1071788</v>
      </c>
      <c r="P211" s="4">
        <f t="shared" si="24"/>
        <v>-1071788</v>
      </c>
      <c r="Q211" s="23" t="s">
        <v>14</v>
      </c>
      <c r="R211" s="39"/>
      <c r="S211" s="6"/>
    </row>
    <row r="212" spans="1:22" ht="45" hidden="1" x14ac:dyDescent="0.25">
      <c r="A212" s="2">
        <f>ROW(DIARIO[[#This Row],[Nombre de Cuenta]])-$A$177-1</f>
        <v>35</v>
      </c>
      <c r="B212" s="23" t="s">
        <v>9</v>
      </c>
      <c r="C212" s="34" t="s">
        <v>161</v>
      </c>
      <c r="D212" s="7">
        <f>VLOOKUP(C212,CATALOGO[],2,FALSE)</f>
        <v>27</v>
      </c>
      <c r="E212" s="36" t="str">
        <f>VLOOKUP(DIARIO[[#This Row],[Objeto de Gasto]],CATALOGO[],3,FALSE)</f>
        <v>29100 Ceremonial Y Protocolo</v>
      </c>
      <c r="F212" s="1" t="s">
        <v>19</v>
      </c>
      <c r="G212" s="6" t="s">
        <v>509</v>
      </c>
      <c r="H212" s="1" t="s">
        <v>510</v>
      </c>
      <c r="I212" s="9">
        <v>45349</v>
      </c>
      <c r="J212" s="1" t="s">
        <v>511</v>
      </c>
      <c r="K212" s="9">
        <v>45350</v>
      </c>
      <c r="L212" s="1"/>
      <c r="M212" s="9"/>
      <c r="O212" s="22">
        <v>118910</v>
      </c>
      <c r="P212" s="4">
        <f t="shared" si="24"/>
        <v>-118910</v>
      </c>
      <c r="Q212" s="23" t="s">
        <v>18</v>
      </c>
      <c r="R212" s="39" t="s">
        <v>667</v>
      </c>
      <c r="S212" s="6"/>
      <c r="T212" s="22">
        <v>118910</v>
      </c>
    </row>
    <row r="213" spans="1:22" ht="45" hidden="1" x14ac:dyDescent="0.25">
      <c r="A213" s="2">
        <f>ROW(DIARIO[[#This Row],[Nombre de Cuenta]])-$A$177-1</f>
        <v>36</v>
      </c>
      <c r="B213" s="23" t="s">
        <v>30</v>
      </c>
      <c r="C213" s="34" t="s">
        <v>323</v>
      </c>
      <c r="D213" s="7">
        <f>VLOOKUP(C213,CATALOGO[],2,FALSE)</f>
        <v>59</v>
      </c>
      <c r="E213" s="36" t="str">
        <f>VLOOKUP(DIARIO[[#This Row],[Objeto de Gasto]],CATALOGO[],3,FALSE)</f>
        <v>42600 Equipo Para Computacion</v>
      </c>
      <c r="F213" s="1" t="s">
        <v>19</v>
      </c>
      <c r="G213" s="6" t="s">
        <v>512</v>
      </c>
      <c r="H213" s="1" t="s">
        <v>513</v>
      </c>
      <c r="I213" s="9">
        <v>45349</v>
      </c>
      <c r="J213" s="1" t="s">
        <v>514</v>
      </c>
      <c r="K213" s="9">
        <v>45356</v>
      </c>
      <c r="L213" s="1"/>
      <c r="M213" s="9"/>
      <c r="O213" s="22">
        <f>43291.11+239062</f>
        <v>282353.11</v>
      </c>
      <c r="P213" s="4">
        <f t="shared" si="24"/>
        <v>-282353.11</v>
      </c>
      <c r="Q213" s="23" t="s">
        <v>18</v>
      </c>
      <c r="R213" s="39"/>
      <c r="S213" s="134" t="s">
        <v>925</v>
      </c>
      <c r="V213" s="25"/>
    </row>
    <row r="214" spans="1:22" ht="30" hidden="1" x14ac:dyDescent="0.25">
      <c r="A214" s="2">
        <f>ROW(DIARIO[[#This Row],[Nombre de Cuenta]])-$A$177-1</f>
        <v>37</v>
      </c>
      <c r="B214" s="23" t="s">
        <v>30</v>
      </c>
      <c r="C214" s="34" t="s">
        <v>328</v>
      </c>
      <c r="D214" s="7">
        <f>VLOOKUP(C214,CATALOGO[],2,FALSE)</f>
        <v>60</v>
      </c>
      <c r="E214" s="36" t="str">
        <f>VLOOKUP(DIARIO[[#This Row],[Objeto de Gasto]],CATALOGO[],3,FALSE)</f>
        <v>45100 Aplicaciones Informaticas</v>
      </c>
      <c r="F214" s="1" t="s">
        <v>19</v>
      </c>
      <c r="G214" s="6" t="s">
        <v>515</v>
      </c>
      <c r="H214" s="1" t="s">
        <v>516</v>
      </c>
      <c r="I214" s="9">
        <v>45349</v>
      </c>
      <c r="J214" s="1" t="s">
        <v>466</v>
      </c>
      <c r="K214" s="9">
        <v>45351</v>
      </c>
      <c r="L214" s="1"/>
      <c r="M214" s="9"/>
      <c r="O214" s="22">
        <v>110047</v>
      </c>
      <c r="P214" s="4">
        <f t="shared" si="24"/>
        <v>-110047</v>
      </c>
      <c r="Q214" s="23" t="s">
        <v>22</v>
      </c>
      <c r="R214" s="39"/>
      <c r="S214" s="6" t="s">
        <v>616</v>
      </c>
    </row>
    <row r="215" spans="1:22" ht="45" hidden="1" x14ac:dyDescent="0.25">
      <c r="A215" s="2">
        <f>ROW(DIARIO[[#This Row],[Nombre de Cuenta]])-$A$177-1</f>
        <v>38</v>
      </c>
      <c r="B215" s="23" t="s">
        <v>17</v>
      </c>
      <c r="C215" s="34" t="s">
        <v>403</v>
      </c>
      <c r="D215" s="7">
        <f>VLOOKUP(C215,CATALOGO[],2,FALSE)</f>
        <v>31</v>
      </c>
      <c r="E215" s="36" t="str">
        <f>VLOOKUP(DIARIO[[#This Row],[Objeto de Gasto]],CATALOGO[],3,FALSE)</f>
        <v>32310 Prendas De Vestir</v>
      </c>
      <c r="F215" s="1" t="s">
        <v>11</v>
      </c>
      <c r="G215" s="6" t="s">
        <v>517</v>
      </c>
      <c r="H215" s="1" t="s">
        <v>518</v>
      </c>
      <c r="I215" s="9">
        <v>45355</v>
      </c>
      <c r="J215" s="1" t="s">
        <v>655</v>
      </c>
      <c r="K215" s="9">
        <v>45358</v>
      </c>
      <c r="L215" s="1"/>
      <c r="M215" s="9"/>
      <c r="O215" s="22">
        <v>0</v>
      </c>
      <c r="P215" s="4">
        <f t="shared" ref="P215:P225" si="25">N215-O215</f>
        <v>0</v>
      </c>
      <c r="Q215" s="23" t="s">
        <v>14</v>
      </c>
      <c r="R215" s="39" t="s">
        <v>782</v>
      </c>
      <c r="S215" s="6" t="s">
        <v>657</v>
      </c>
    </row>
    <row r="216" spans="1:22" ht="45" hidden="1" x14ac:dyDescent="0.25">
      <c r="A216" s="2">
        <f>ROW(DIARIO[[#This Row],[Nombre de Cuenta]])-$A$177-1</f>
        <v>39</v>
      </c>
      <c r="B216" s="23" t="s">
        <v>17</v>
      </c>
      <c r="C216" s="34" t="s">
        <v>403</v>
      </c>
      <c r="D216" s="7">
        <f>VLOOKUP(C216,CATALOGO[],2,FALSE)</f>
        <v>31</v>
      </c>
      <c r="E216" s="36" t="str">
        <f>VLOOKUP(DIARIO[[#This Row],[Objeto de Gasto]],CATALOGO[],3,FALSE)</f>
        <v>32310 Prendas De Vestir</v>
      </c>
      <c r="F216" s="1" t="s">
        <v>11</v>
      </c>
      <c r="G216" s="6" t="s">
        <v>519</v>
      </c>
      <c r="H216" s="1" t="s">
        <v>520</v>
      </c>
      <c r="I216" s="9">
        <v>45327</v>
      </c>
      <c r="J216" s="1" t="s">
        <v>655</v>
      </c>
      <c r="K216" s="9">
        <v>45358</v>
      </c>
      <c r="L216" s="1"/>
      <c r="M216" s="9"/>
      <c r="O216" s="22">
        <v>1331518</v>
      </c>
      <c r="P216" s="4">
        <f t="shared" si="25"/>
        <v>-1331518</v>
      </c>
      <c r="Q216" s="23" t="s">
        <v>14</v>
      </c>
      <c r="R216" s="39" t="s">
        <v>782</v>
      </c>
      <c r="S216" s="6" t="s">
        <v>657</v>
      </c>
    </row>
    <row r="217" spans="1:22" ht="30" hidden="1" x14ac:dyDescent="0.25">
      <c r="A217" s="2">
        <f>ROW(DIARIO[[#This Row],[Nombre de Cuenta]])-$A$177-1</f>
        <v>40</v>
      </c>
      <c r="B217" s="23" t="s">
        <v>17</v>
      </c>
      <c r="C217" s="34" t="s">
        <v>182</v>
      </c>
      <c r="D217" s="7">
        <f>VLOOKUP(C217,CATALOGO[],2,FALSE)</f>
        <v>31</v>
      </c>
      <c r="E217" s="36" t="str">
        <f>VLOOKUP(DIARIO[[#This Row],[Objeto de Gasto]],CATALOGO[],3,FALSE)</f>
        <v>32310 Prendas De Vestir</v>
      </c>
      <c r="F217" s="1" t="s">
        <v>11</v>
      </c>
      <c r="G217" s="6" t="s">
        <v>521</v>
      </c>
      <c r="H217" s="1" t="s">
        <v>522</v>
      </c>
      <c r="I217" s="9">
        <v>45330</v>
      </c>
      <c r="J217" s="1" t="s">
        <v>655</v>
      </c>
      <c r="K217" s="9">
        <v>45358</v>
      </c>
      <c r="L217" s="1"/>
      <c r="M217" s="9"/>
      <c r="O217" s="22">
        <v>1950000</v>
      </c>
      <c r="P217" s="4">
        <f t="shared" si="25"/>
        <v>-1950000</v>
      </c>
      <c r="Q217" s="23" t="s">
        <v>14</v>
      </c>
      <c r="R217" s="39" t="s">
        <v>782</v>
      </c>
      <c r="S217" s="6" t="s">
        <v>656</v>
      </c>
    </row>
    <row r="218" spans="1:22" ht="60" hidden="1" x14ac:dyDescent="0.25">
      <c r="A218" s="2">
        <f>ROW(DIARIO[[#This Row],[Nombre de Cuenta]])-$A$177-1</f>
        <v>41</v>
      </c>
      <c r="B218" s="23" t="s">
        <v>17</v>
      </c>
      <c r="C218" s="34" t="s">
        <v>406</v>
      </c>
      <c r="D218" s="7">
        <f>VLOOKUP(C218,CATALOGO[],2,FALSE)</f>
        <v>34</v>
      </c>
      <c r="E218" s="36" t="str">
        <f>VLOOKUP(DIARIO[[#This Row],[Objeto de Gasto]],CATALOGO[],3,FALSE)</f>
        <v>33300 Productos De Artes Graficas</v>
      </c>
      <c r="F218" s="1" t="s">
        <v>11</v>
      </c>
      <c r="G218" s="6" t="s">
        <v>523</v>
      </c>
      <c r="H218" s="1" t="s">
        <v>524</v>
      </c>
      <c r="I218" s="9">
        <v>45355</v>
      </c>
      <c r="J218" s="1" t="s">
        <v>680</v>
      </c>
      <c r="K218" s="9">
        <v>45405</v>
      </c>
      <c r="L218" s="1"/>
      <c r="M218" s="9"/>
      <c r="O218" s="22">
        <f>IF(DIARIO[[#This Row],[Estatus]]="Proceso",SUMIFS(DIARIO[Entrada],DIARIO[Objeto de Gasto],DIARIO[[#This Row],[Objeto de Gasto]],DIARIO[Estatus],"Saldo Inicial"),0)</f>
        <v>959000</v>
      </c>
      <c r="P218" s="4">
        <f t="shared" si="25"/>
        <v>-959000</v>
      </c>
      <c r="Q218" s="23" t="s">
        <v>14</v>
      </c>
      <c r="R218" s="39"/>
      <c r="S218" s="6" t="s">
        <v>525</v>
      </c>
    </row>
    <row r="219" spans="1:22" ht="30" hidden="1" x14ac:dyDescent="0.25">
      <c r="A219" s="2">
        <f>ROW(DIARIO[[#This Row],[Nombre de Cuenta]])-$A$177-1</f>
        <v>42</v>
      </c>
      <c r="B219" s="23" t="s">
        <v>17</v>
      </c>
      <c r="C219" s="34" t="s">
        <v>421</v>
      </c>
      <c r="D219" s="7">
        <f>VLOOKUP(C219,CATALOGO[],2,FALSE)</f>
        <v>55</v>
      </c>
      <c r="E219" s="36" t="str">
        <f>VLOOKUP(DIARIO[[#This Row],[Objeto de Gasto]],CATALOGO[],3,FALSE)</f>
        <v>42120 Equipos Varios De Oficina</v>
      </c>
      <c r="F219" s="1" t="s">
        <v>19</v>
      </c>
      <c r="G219" s="6" t="s">
        <v>526</v>
      </c>
      <c r="H219" s="1" t="s">
        <v>527</v>
      </c>
      <c r="I219" s="9">
        <v>45355</v>
      </c>
      <c r="J219" s="1" t="s">
        <v>674</v>
      </c>
      <c r="K219" s="9">
        <v>45404</v>
      </c>
      <c r="L219" s="1"/>
      <c r="M219" s="9"/>
      <c r="O219" s="22">
        <v>0</v>
      </c>
      <c r="P219" s="4">
        <f t="shared" si="25"/>
        <v>0</v>
      </c>
      <c r="Q219" s="23" t="s">
        <v>14</v>
      </c>
      <c r="R219" s="39"/>
      <c r="S219" s="6" t="s">
        <v>481</v>
      </c>
    </row>
    <row r="220" spans="1:22" ht="240" hidden="1" x14ac:dyDescent="0.25">
      <c r="A220" s="2">
        <f>ROW(DIARIO[[#This Row],[Nombre de Cuenta]])-$A$177-1</f>
        <v>43</v>
      </c>
      <c r="B220" s="23" t="s">
        <v>30</v>
      </c>
      <c r="C220" s="34" t="s">
        <v>415</v>
      </c>
      <c r="D220" s="7">
        <f>VLOOKUP(C220,CATALOGO[],2,FALSE)</f>
        <v>47</v>
      </c>
      <c r="E220" s="36" t="str">
        <f>VLOOKUP(DIARIO[[#This Row],[Objeto de Gasto]],CATALOGO[],3,FALSE)</f>
        <v>39100 Elementos De Limpieza Y Aseo Personal</v>
      </c>
      <c r="F220" s="1" t="s">
        <v>19</v>
      </c>
      <c r="G220" s="6" t="s">
        <v>528</v>
      </c>
      <c r="H220" s="1" t="s">
        <v>529</v>
      </c>
      <c r="I220" s="9">
        <v>45355</v>
      </c>
      <c r="J220" s="1" t="s">
        <v>530</v>
      </c>
      <c r="K220" s="9">
        <v>45370</v>
      </c>
      <c r="L220" s="1"/>
      <c r="M220" s="9"/>
      <c r="O220" s="22">
        <v>470316</v>
      </c>
      <c r="P220" s="4">
        <f t="shared" si="25"/>
        <v>-470316</v>
      </c>
      <c r="Q220" s="23" t="s">
        <v>14</v>
      </c>
      <c r="R220" s="39"/>
      <c r="S220" s="6" t="s">
        <v>951</v>
      </c>
    </row>
    <row r="221" spans="1:22" ht="135" hidden="1" x14ac:dyDescent="0.25">
      <c r="A221" s="2">
        <f>ROW(DIARIO[[#This Row],[Nombre de Cuenta]])-$A$177-1</f>
        <v>44</v>
      </c>
      <c r="B221" s="23" t="s">
        <v>30</v>
      </c>
      <c r="C221" s="34" t="s">
        <v>415</v>
      </c>
      <c r="D221" s="7">
        <f>VLOOKUP(C221,CATALOGO[],2,FALSE)</f>
        <v>47</v>
      </c>
      <c r="E221" s="36" t="str">
        <f>VLOOKUP(DIARIO[[#This Row],[Objeto de Gasto]],CATALOGO[],3,FALSE)</f>
        <v>39100 Elementos De Limpieza Y Aseo Personal</v>
      </c>
      <c r="F221" s="1" t="s">
        <v>19</v>
      </c>
      <c r="G221" s="6" t="s">
        <v>531</v>
      </c>
      <c r="H221" s="1" t="s">
        <v>532</v>
      </c>
      <c r="I221" s="9">
        <v>45355</v>
      </c>
      <c r="J221" s="1" t="s">
        <v>530</v>
      </c>
      <c r="K221" s="9">
        <v>45370</v>
      </c>
      <c r="L221" s="1"/>
      <c r="M221" s="9"/>
      <c r="O221" s="22"/>
      <c r="P221" s="4">
        <f t="shared" si="25"/>
        <v>0</v>
      </c>
      <c r="Q221" s="23" t="s">
        <v>14</v>
      </c>
      <c r="R221" s="39"/>
      <c r="S221" s="6" t="s">
        <v>952</v>
      </c>
    </row>
    <row r="222" spans="1:22" ht="30" hidden="1" x14ac:dyDescent="0.25">
      <c r="A222" s="80">
        <f>ROW(DIARIO[[#This Row],[Nombre de Cuenta]])-$A$177-1</f>
        <v>45</v>
      </c>
      <c r="B222" s="33" t="s">
        <v>30</v>
      </c>
      <c r="C222" s="35" t="s">
        <v>416</v>
      </c>
      <c r="D222" s="7">
        <f>VLOOKUP(C222,CATALOGO[],2,FALSE)</f>
        <v>48</v>
      </c>
      <c r="E222" s="37" t="str">
        <f>VLOOKUP(DIARIO[[#This Row],[Objeto de Gasto]],CATALOGO[],3,FALSE)</f>
        <v>39200 Utiles De Esritorio, Oficina  Y Enseñanza</v>
      </c>
      <c r="F222" s="27" t="s">
        <v>15</v>
      </c>
      <c r="G222" s="29" t="s">
        <v>533</v>
      </c>
      <c r="H222" s="27" t="s">
        <v>534</v>
      </c>
      <c r="I222" s="30">
        <v>45355</v>
      </c>
      <c r="J222" s="27"/>
      <c r="K222" s="30"/>
      <c r="L222" s="27"/>
      <c r="M222" s="30"/>
      <c r="N222" s="31"/>
      <c r="O222" s="32">
        <v>691300</v>
      </c>
      <c r="P222" s="4">
        <f t="shared" si="25"/>
        <v>-691300</v>
      </c>
      <c r="Q222" s="33" t="s">
        <v>10</v>
      </c>
      <c r="R222" s="40"/>
      <c r="S222" s="81" t="s">
        <v>535</v>
      </c>
      <c r="T222" s="31"/>
    </row>
    <row r="223" spans="1:22" ht="30" hidden="1" x14ac:dyDescent="0.25">
      <c r="A223" s="2">
        <f>ROW(DIARIO[[#This Row],[Nombre de Cuenta]])-$A$177-1</f>
        <v>46</v>
      </c>
      <c r="B223" s="23" t="s">
        <v>30</v>
      </c>
      <c r="C223" s="34" t="s">
        <v>426</v>
      </c>
      <c r="D223" s="7">
        <f>VLOOKUP(C223,CATALOGO[],2,FALSE)</f>
        <v>60</v>
      </c>
      <c r="E223" s="36" t="str">
        <f>VLOOKUP(DIARIO[[#This Row],[Objeto de Gasto]],CATALOGO[],3,FALSE)</f>
        <v>45100 Aplicaciones Informaticas</v>
      </c>
      <c r="F223" s="1" t="s">
        <v>19</v>
      </c>
      <c r="G223" s="6" t="s">
        <v>536</v>
      </c>
      <c r="H223" s="1" t="s">
        <v>537</v>
      </c>
      <c r="I223" s="9">
        <v>45355</v>
      </c>
      <c r="J223" s="1"/>
      <c r="K223" s="9"/>
      <c r="L223" s="1"/>
      <c r="M223" s="9"/>
      <c r="O223" s="22">
        <v>0</v>
      </c>
      <c r="P223" s="4">
        <f t="shared" si="25"/>
        <v>0</v>
      </c>
      <c r="Q223" s="23" t="s">
        <v>10</v>
      </c>
      <c r="R223" s="39"/>
      <c r="S223" s="45" t="s">
        <v>538</v>
      </c>
    </row>
    <row r="224" spans="1:22" ht="45" x14ac:dyDescent="0.25">
      <c r="A224" s="2">
        <f>ROW(DIARIO[[#This Row],[Nombre de Cuenta]])-$A$177-1</f>
        <v>47</v>
      </c>
      <c r="B224" s="23" t="s">
        <v>9</v>
      </c>
      <c r="C224" s="34" t="s">
        <v>420</v>
      </c>
      <c r="D224" s="7">
        <f>VLOOKUP(C224,CATALOGO[],2,FALSE)</f>
        <v>54</v>
      </c>
      <c r="E224" s="36" t="str">
        <f>VLOOKUP(DIARIO[[#This Row],[Objeto de Gasto]],CATALOGO[],3,FALSE)</f>
        <v>42110 Muebles Varios De Oficina</v>
      </c>
      <c r="F224" s="1" t="s">
        <v>11</v>
      </c>
      <c r="G224" s="6" t="s">
        <v>539</v>
      </c>
      <c r="H224" s="1" t="s">
        <v>540</v>
      </c>
      <c r="I224" s="9">
        <v>45341</v>
      </c>
      <c r="J224" s="1" t="s">
        <v>652</v>
      </c>
      <c r="K224" s="9">
        <v>45404</v>
      </c>
      <c r="L224" s="1"/>
      <c r="M224" s="9"/>
      <c r="O224" s="22">
        <v>200000</v>
      </c>
      <c r="P224" s="4">
        <f t="shared" si="25"/>
        <v>-200000</v>
      </c>
      <c r="Q224" s="23" t="s">
        <v>14</v>
      </c>
      <c r="R224" s="39" t="s">
        <v>766</v>
      </c>
      <c r="S224" s="6"/>
    </row>
    <row r="225" spans="1:20" hidden="1" x14ac:dyDescent="0.25">
      <c r="A225" s="2">
        <f>ROW(DIARIO[[#This Row],[Nombre de Cuenta]])-$A$177-1</f>
        <v>48</v>
      </c>
      <c r="B225" s="23" t="s">
        <v>9</v>
      </c>
      <c r="C225" s="34" t="s">
        <v>399</v>
      </c>
      <c r="D225" s="7">
        <f>VLOOKUP(C225,CATALOGO[],2,FALSE)</f>
        <v>20</v>
      </c>
      <c r="E225" s="36" t="str">
        <f>VLOOKUP(DIARIO[[#This Row],[Objeto de Gasto]],CATALOGO[],3,FALSE)</f>
        <v>25100 Servicios De Transporte</v>
      </c>
      <c r="F225" s="1" t="s">
        <v>11</v>
      </c>
      <c r="G225" s="6" t="s">
        <v>541</v>
      </c>
      <c r="H225" s="1" t="s">
        <v>542</v>
      </c>
      <c r="I225" s="9">
        <v>45356</v>
      </c>
      <c r="J225" s="1" t="s">
        <v>543</v>
      </c>
      <c r="K225" s="9">
        <v>45358</v>
      </c>
      <c r="L225" s="1"/>
      <c r="M225" s="9"/>
      <c r="O225" s="22">
        <v>100000</v>
      </c>
      <c r="P225" s="4">
        <f t="shared" si="25"/>
        <v>-100000</v>
      </c>
      <c r="Q225" s="23" t="s">
        <v>14</v>
      </c>
      <c r="R225" s="39"/>
      <c r="S225" s="6"/>
    </row>
    <row r="226" spans="1:20" ht="45" hidden="1" x14ac:dyDescent="0.25">
      <c r="A226" s="44">
        <f>ROW(DIARIO[[#This Row],[Nombre de Cuenta]])-$A$177-1</f>
        <v>49</v>
      </c>
      <c r="B226" s="23" t="s">
        <v>9</v>
      </c>
      <c r="C226" s="34" t="s">
        <v>95</v>
      </c>
      <c r="D226" s="7">
        <f>VLOOKUP(C226,CATALOGO[],2,FALSE)</f>
        <v>14</v>
      </c>
      <c r="E226" s="36" t="str">
        <f>VLOOKUP(DIARIO[[#This Row],[Objeto de Gasto]],CATALOGO[],3,FALSE)</f>
        <v>23100 Mantenimiento Y Reparacion De Edificios Y Locales</v>
      </c>
      <c r="F226" s="1" t="s">
        <v>11</v>
      </c>
      <c r="G226" s="6" t="s">
        <v>544</v>
      </c>
      <c r="H226" s="1" t="s">
        <v>545</v>
      </c>
      <c r="I226" s="9">
        <v>45362</v>
      </c>
      <c r="J226" s="1" t="s">
        <v>546</v>
      </c>
      <c r="K226" s="9">
        <v>45365</v>
      </c>
      <c r="L226" s="1"/>
      <c r="M226" s="9"/>
      <c r="O226" s="22">
        <v>3498345</v>
      </c>
      <c r="P226" s="4">
        <f t="shared" ref="P226:P232" si="26">N226-O226</f>
        <v>-3498345</v>
      </c>
      <c r="Q226" s="23" t="s">
        <v>14</v>
      </c>
      <c r="R226" s="39" t="s">
        <v>767</v>
      </c>
      <c r="S226" s="6"/>
    </row>
    <row r="227" spans="1:20" ht="45" hidden="1" x14ac:dyDescent="0.25">
      <c r="A227" s="44">
        <f>ROW(DIARIO[[#This Row],[Nombre de Cuenta]])-$A$177-1</f>
        <v>50</v>
      </c>
      <c r="B227" s="23" t="s">
        <v>9</v>
      </c>
      <c r="C227" s="34" t="s">
        <v>396</v>
      </c>
      <c r="D227" s="7">
        <f>VLOOKUP(C227,CATALOGO[],2,FALSE)</f>
        <v>14</v>
      </c>
      <c r="E227" s="36" t="str">
        <f>VLOOKUP(DIARIO[[#This Row],[Objeto de Gasto]],CATALOGO[],3,FALSE)</f>
        <v>23100 Mantenimiento Y Reparacion De Edificios Y Locales</v>
      </c>
      <c r="F227" s="1" t="s">
        <v>11</v>
      </c>
      <c r="G227" s="6" t="s">
        <v>544</v>
      </c>
      <c r="H227" s="1" t="s">
        <v>545</v>
      </c>
      <c r="I227" s="9">
        <v>45362</v>
      </c>
      <c r="J227" s="1" t="s">
        <v>546</v>
      </c>
      <c r="K227" s="9">
        <v>45365</v>
      </c>
      <c r="L227" s="1"/>
      <c r="M227" s="9"/>
      <c r="O227" s="22">
        <v>569656</v>
      </c>
      <c r="P227" s="4">
        <f t="shared" si="26"/>
        <v>-569656</v>
      </c>
      <c r="Q227" s="23" t="s">
        <v>14</v>
      </c>
      <c r="R227" s="39" t="s">
        <v>767</v>
      </c>
      <c r="S227" s="6"/>
    </row>
    <row r="228" spans="1:20" ht="45" hidden="1" x14ac:dyDescent="0.25">
      <c r="A228" s="44">
        <f>ROW(DIARIO[[#This Row],[Nombre de Cuenta]])-$A$177-1</f>
        <v>51</v>
      </c>
      <c r="B228" s="23" t="s">
        <v>9</v>
      </c>
      <c r="C228" s="34" t="s">
        <v>96</v>
      </c>
      <c r="D228" s="7">
        <f>VLOOKUP(C228,CATALOGO[],2,FALSE)</f>
        <v>14</v>
      </c>
      <c r="E228" s="36" t="str">
        <f>VLOOKUP(DIARIO[[#This Row],[Objeto de Gasto]],CATALOGO[],3,FALSE)</f>
        <v>23100 Mantenimiento Y Reparacion De Edificios Y Locales</v>
      </c>
      <c r="F228" s="1" t="s">
        <v>11</v>
      </c>
      <c r="G228" s="6" t="s">
        <v>544</v>
      </c>
      <c r="H228" s="1" t="s">
        <v>545</v>
      </c>
      <c r="I228" s="9">
        <v>45362</v>
      </c>
      <c r="J228" s="1" t="s">
        <v>546</v>
      </c>
      <c r="K228" s="9">
        <v>45365</v>
      </c>
      <c r="L228" s="1"/>
      <c r="M228" s="9"/>
      <c r="O228" s="22">
        <v>400000</v>
      </c>
      <c r="P228" s="4">
        <f t="shared" si="26"/>
        <v>-400000</v>
      </c>
      <c r="Q228" s="23" t="s">
        <v>14</v>
      </c>
      <c r="R228" s="39" t="s">
        <v>767</v>
      </c>
      <c r="S228" s="6"/>
    </row>
    <row r="229" spans="1:20" ht="30" hidden="1" x14ac:dyDescent="0.25">
      <c r="A229" s="44">
        <f>ROW(DIARIO[[#This Row],[Nombre de Cuenta]])-$A$177-1</f>
        <v>52</v>
      </c>
      <c r="B229" s="23" t="s">
        <v>30</v>
      </c>
      <c r="C229" s="34" t="s">
        <v>426</v>
      </c>
      <c r="D229" s="7">
        <f>VLOOKUP(C229,CATALOGO[],2,FALSE)</f>
        <v>60</v>
      </c>
      <c r="E229" s="36" t="str">
        <f>VLOOKUP(DIARIO[[#This Row],[Objeto de Gasto]],CATALOGO[],3,FALSE)</f>
        <v>45100 Aplicaciones Informaticas</v>
      </c>
      <c r="F229" s="1" t="s">
        <v>19</v>
      </c>
      <c r="G229" s="6" t="s">
        <v>547</v>
      </c>
      <c r="H229" s="1" t="s">
        <v>548</v>
      </c>
      <c r="I229" s="9">
        <v>45365</v>
      </c>
      <c r="J229" s="1" t="s">
        <v>659</v>
      </c>
      <c r="K229" s="9">
        <v>45370</v>
      </c>
      <c r="L229" s="1"/>
      <c r="M229" s="9"/>
      <c r="O229" s="22">
        <v>0</v>
      </c>
      <c r="P229" s="4">
        <f t="shared" si="26"/>
        <v>0</v>
      </c>
      <c r="Q229" s="23" t="s">
        <v>22</v>
      </c>
      <c r="R229" s="39"/>
      <c r="S229" s="6" t="s">
        <v>660</v>
      </c>
    </row>
    <row r="230" spans="1:20" ht="45" hidden="1" x14ac:dyDescent="0.25">
      <c r="A230" s="44">
        <f>ROW(DIARIO[[#This Row],[Nombre de Cuenta]])-$A$177-1</f>
        <v>53</v>
      </c>
      <c r="B230" s="23" t="s">
        <v>30</v>
      </c>
      <c r="C230" s="34" t="s">
        <v>191</v>
      </c>
      <c r="D230" s="7">
        <f>VLOOKUP(C230,CATALOGO[],2,FALSE)</f>
        <v>33</v>
      </c>
      <c r="E230" s="36" t="str">
        <f>VLOOKUP(DIARIO[[#This Row],[Objeto de Gasto]],CATALOGO[],3,FALSE)</f>
        <v xml:space="preserve">33100 Productos De Papel Y Carton </v>
      </c>
      <c r="F230" s="1" t="s">
        <v>11</v>
      </c>
      <c r="G230" s="6" t="s">
        <v>549</v>
      </c>
      <c r="H230" s="1" t="s">
        <v>550</v>
      </c>
      <c r="I230" s="9">
        <v>45357</v>
      </c>
      <c r="J230" s="1" t="s">
        <v>551</v>
      </c>
      <c r="K230" s="9">
        <v>45369</v>
      </c>
      <c r="L230" s="1"/>
      <c r="M230" s="9"/>
      <c r="O230" s="22">
        <f>((50*149.5)+(50*86.95)+(50*149)+(50*37.5))*(1.15)</f>
        <v>24319.624999999996</v>
      </c>
      <c r="P230" s="4">
        <f t="shared" si="26"/>
        <v>-24319.624999999996</v>
      </c>
      <c r="Q230" s="23" t="s">
        <v>18</v>
      </c>
      <c r="R230" s="39"/>
      <c r="S230" s="6" t="s">
        <v>732</v>
      </c>
      <c r="T230" s="4">
        <v>24319.624999999996</v>
      </c>
    </row>
    <row r="231" spans="1:20" ht="30" hidden="1" x14ac:dyDescent="0.25">
      <c r="A231" s="44">
        <f>ROW(DIARIO[[#This Row],[Nombre de Cuenta]])-$A$177-1</f>
        <v>54</v>
      </c>
      <c r="B231" s="23" t="s">
        <v>30</v>
      </c>
      <c r="C231" s="34" t="s">
        <v>188</v>
      </c>
      <c r="D231" s="7">
        <f>VLOOKUP(C231,CATALOGO[],2,FALSE)</f>
        <v>33</v>
      </c>
      <c r="E231" s="36" t="str">
        <f>VLOOKUP(DIARIO[[#This Row],[Objeto de Gasto]],CATALOGO[],3,FALSE)</f>
        <v xml:space="preserve">33100 Productos De Papel Y Carton </v>
      </c>
      <c r="F231" s="1" t="s">
        <v>11</v>
      </c>
      <c r="G231" s="6" t="s">
        <v>552</v>
      </c>
      <c r="H231" s="1"/>
      <c r="I231" s="9"/>
      <c r="J231" s="1" t="s">
        <v>551</v>
      </c>
      <c r="K231" s="9">
        <v>45369</v>
      </c>
      <c r="L231" s="1"/>
      <c r="M231" s="9"/>
      <c r="O231" s="22">
        <f>((10*149.5)+(170*86.95)+(50*149)+(50*37.5))*(1.15)</f>
        <v>29441.724999999999</v>
      </c>
      <c r="P231" s="4">
        <f t="shared" si="26"/>
        <v>-29441.724999999999</v>
      </c>
      <c r="Q231" s="23" t="s">
        <v>18</v>
      </c>
      <c r="R231" s="39"/>
      <c r="S231" s="6" t="s">
        <v>732</v>
      </c>
      <c r="T231" s="4">
        <v>29441.724999999999</v>
      </c>
    </row>
    <row r="232" spans="1:20" ht="30" hidden="1" x14ac:dyDescent="0.25">
      <c r="A232" s="44">
        <f>ROW(DIARIO[[#This Row],[Nombre de Cuenta]])-$A$177-1</f>
        <v>55</v>
      </c>
      <c r="B232" s="23" t="s">
        <v>30</v>
      </c>
      <c r="C232" s="34" t="s">
        <v>263</v>
      </c>
      <c r="D232" s="7">
        <f>VLOOKUP(C232,CATALOGO[],2,FALSE)</f>
        <v>48</v>
      </c>
      <c r="E232" s="36" t="str">
        <f>VLOOKUP(DIARIO[[#This Row],[Objeto de Gasto]],CATALOGO[],3,FALSE)</f>
        <v>39200 Utiles De Esritorio, Oficina  Y Enseñanza</v>
      </c>
      <c r="F232" s="1" t="s">
        <v>15</v>
      </c>
      <c r="G232" s="6" t="s">
        <v>553</v>
      </c>
      <c r="H232" s="1"/>
      <c r="I232" s="9"/>
      <c r="J232" s="1" t="s">
        <v>554</v>
      </c>
      <c r="K232" s="9">
        <v>45369</v>
      </c>
      <c r="L232" s="1"/>
      <c r="M232" s="9"/>
      <c r="O232" s="22">
        <f>168+1138.05+886.18+1567.5</f>
        <v>3759.73</v>
      </c>
      <c r="P232" s="4">
        <f t="shared" si="26"/>
        <v>-3759.73</v>
      </c>
      <c r="Q232" s="23" t="s">
        <v>18</v>
      </c>
      <c r="R232" s="39"/>
      <c r="S232" s="6"/>
      <c r="T232" s="22">
        <v>3759.73</v>
      </c>
    </row>
    <row r="233" spans="1:20" ht="30" hidden="1" x14ac:dyDescent="0.25">
      <c r="A233" s="44">
        <f>ROW(DIARIO[[#This Row],[Nombre de Cuenta]])-$A$177-1</f>
        <v>56</v>
      </c>
      <c r="B233" s="23" t="s">
        <v>30</v>
      </c>
      <c r="C233" s="34" t="s">
        <v>423</v>
      </c>
      <c r="D233" s="7">
        <f>VLOOKUP(C233,CATALOGO[],2,FALSE)</f>
        <v>61</v>
      </c>
      <c r="E233" s="36" t="str">
        <f>VLOOKUP(DIARIO[[#This Row],[Objeto de Gasto]],CATALOGO[],3,FALSE)</f>
        <v>42310 Equipo De Transporte Terrestre Para Personas</v>
      </c>
      <c r="F233" s="1" t="s">
        <v>11</v>
      </c>
      <c r="G233" s="6" t="s">
        <v>555</v>
      </c>
      <c r="H233" s="1" t="s">
        <v>556</v>
      </c>
      <c r="I233" s="9">
        <v>45344</v>
      </c>
      <c r="J233" s="1" t="s">
        <v>557</v>
      </c>
      <c r="K233" s="9">
        <v>45370</v>
      </c>
      <c r="L233" s="1"/>
      <c r="M233" s="9"/>
      <c r="O233" s="22">
        <f>800000+937113</f>
        <v>1737113</v>
      </c>
      <c r="P233" s="4">
        <f>N233-O233</f>
        <v>-1737113</v>
      </c>
      <c r="Q233" s="23" t="s">
        <v>14</v>
      </c>
      <c r="R233" s="39"/>
      <c r="S233" s="6"/>
    </row>
    <row r="234" spans="1:20" ht="30" hidden="1" x14ac:dyDescent="0.25">
      <c r="A234" s="44">
        <f>ROW(DIARIO[[#This Row],[Nombre de Cuenta]])-$A$177-1</f>
        <v>57</v>
      </c>
      <c r="B234" s="23" t="s">
        <v>9</v>
      </c>
      <c r="C234" s="34" t="s">
        <v>400</v>
      </c>
      <c r="D234" s="7">
        <f>VLOOKUP(C234,CATALOGO[],2,FALSE)</f>
        <v>24</v>
      </c>
      <c r="E234" s="36" t="str">
        <f>VLOOKUP(DIARIO[[#This Row],[Objeto de Gasto]],CATALOGO[],3,FALSE)</f>
        <v>26110 Pasajes  Nacionales</v>
      </c>
      <c r="F234" s="1" t="s">
        <v>11</v>
      </c>
      <c r="G234" s="6" t="s">
        <v>615</v>
      </c>
      <c r="H234" s="1" t="s">
        <v>614</v>
      </c>
      <c r="I234" s="9">
        <v>45371</v>
      </c>
      <c r="J234" s="1" t="s">
        <v>613</v>
      </c>
      <c r="K234" s="9">
        <v>45372</v>
      </c>
      <c r="L234" s="1"/>
      <c r="M234" s="9"/>
      <c r="O234" s="22">
        <v>57934</v>
      </c>
      <c r="P234" s="4">
        <f>N234-O234</f>
        <v>-57934</v>
      </c>
      <c r="Q234" s="23" t="s">
        <v>18</v>
      </c>
      <c r="R234" s="39"/>
      <c r="S234" s="6"/>
    </row>
    <row r="235" spans="1:20" hidden="1" x14ac:dyDescent="0.25">
      <c r="A235" s="44">
        <f>ROW(DIARIO[[#This Row],[Nombre de Cuenta]])-$A$177-1</f>
        <v>58</v>
      </c>
      <c r="B235" s="23" t="s">
        <v>9</v>
      </c>
      <c r="C235" s="34" t="s">
        <v>401</v>
      </c>
      <c r="D235" s="7">
        <f>VLOOKUP(C235,CATALOGO[],2,FALSE)</f>
        <v>25</v>
      </c>
      <c r="E235" s="36" t="str">
        <f>VLOOKUP(DIARIO[[#This Row],[Objeto de Gasto]],CATALOGO[],3,FALSE)</f>
        <v>26210 Viaticos Nacionales</v>
      </c>
      <c r="F235" s="1" t="s">
        <v>11</v>
      </c>
      <c r="H235" s="1"/>
      <c r="I235" s="9"/>
      <c r="J235" s="1"/>
      <c r="K235" s="9"/>
      <c r="L235" s="1"/>
      <c r="M235" s="9"/>
      <c r="O235" s="22">
        <v>688200</v>
      </c>
      <c r="P235" s="4">
        <f>N235-O235</f>
        <v>-688200</v>
      </c>
      <c r="Q235" s="23" t="s">
        <v>10</v>
      </c>
      <c r="R235" s="39"/>
      <c r="S235" s="6" t="s">
        <v>629</v>
      </c>
    </row>
    <row r="236" spans="1:20" ht="30" hidden="1" x14ac:dyDescent="0.25">
      <c r="A236" s="44">
        <f>ROW(DIARIO[[#This Row],[Nombre de Cuenta]])-$A$177-1</f>
        <v>59</v>
      </c>
      <c r="B236" s="23" t="s">
        <v>30</v>
      </c>
      <c r="C236" s="34" t="s">
        <v>266</v>
      </c>
      <c r="D236" s="7">
        <f>VLOOKUP(C236,CATALOGO[],2,FALSE)</f>
        <v>48</v>
      </c>
      <c r="E236" s="36" t="str">
        <f>VLOOKUP(DIARIO[[#This Row],[Objeto de Gasto]],CATALOGO[],3,FALSE)</f>
        <v>39200 Utiles De Esritorio, Oficina  Y Enseñanza</v>
      </c>
      <c r="F236" s="1" t="s">
        <v>15</v>
      </c>
      <c r="G236" s="6" t="s">
        <v>620</v>
      </c>
      <c r="H236" s="1" t="s">
        <v>617</v>
      </c>
      <c r="I236" s="9">
        <v>45385</v>
      </c>
      <c r="J236" s="1" t="s">
        <v>624</v>
      </c>
      <c r="K236" s="9">
        <v>45386</v>
      </c>
      <c r="L236" s="1"/>
      <c r="M236" s="9"/>
      <c r="O236" s="22">
        <f>77683+30779.75+44239.08+25536.74+49416.3</f>
        <v>227654.87</v>
      </c>
      <c r="P236" s="4">
        <f>N236-O236</f>
        <v>-227654.87</v>
      </c>
      <c r="Q236" s="23" t="s">
        <v>18</v>
      </c>
      <c r="R236" s="39"/>
      <c r="S236" s="6"/>
      <c r="T236" s="22">
        <f>77683+30779.75+44239.08+25536.74+49416.3-1971.07</f>
        <v>225683.8</v>
      </c>
    </row>
    <row r="237" spans="1:20" ht="30" hidden="1" x14ac:dyDescent="0.25">
      <c r="A237" s="44">
        <f>ROW(DIARIO[[#This Row],[Nombre de Cuenta]])-$A$177-1</f>
        <v>60</v>
      </c>
      <c r="B237" s="23" t="s">
        <v>30</v>
      </c>
      <c r="C237" s="34" t="s">
        <v>192</v>
      </c>
      <c r="D237" s="7">
        <f>VLOOKUP(C237,CATALOGO[],2,FALSE)</f>
        <v>33</v>
      </c>
      <c r="E237" s="36" t="str">
        <f>VLOOKUP(DIARIO[[#This Row],[Objeto de Gasto]],CATALOGO[],3,FALSE)</f>
        <v xml:space="preserve">33100 Productos De Papel Y Carton </v>
      </c>
      <c r="F237" s="1" t="s">
        <v>15</v>
      </c>
      <c r="G237" s="6" t="s">
        <v>618</v>
      </c>
      <c r="H237" s="1" t="s">
        <v>619</v>
      </c>
      <c r="I237" s="9">
        <v>45385</v>
      </c>
      <c r="J237" s="1" t="s">
        <v>623</v>
      </c>
      <c r="K237" s="9">
        <v>45386</v>
      </c>
      <c r="L237" s="1"/>
      <c r="M237" s="9"/>
      <c r="O237" s="22">
        <f>21864.38+4312.5+5097.9</f>
        <v>31274.78</v>
      </c>
      <c r="P237" s="4">
        <f>N237-O237</f>
        <v>-31274.78</v>
      </c>
      <c r="Q237" s="23" t="s">
        <v>18</v>
      </c>
      <c r="R237" s="39"/>
      <c r="S237" s="6" t="s">
        <v>929</v>
      </c>
      <c r="T237" s="4">
        <v>31274.78</v>
      </c>
    </row>
    <row r="238" spans="1:20" ht="30" hidden="1" x14ac:dyDescent="0.25">
      <c r="A238" s="44">
        <f>ROW(DIARIO[[#This Row],[Nombre de Cuenta]])-$A$177-1</f>
        <v>61</v>
      </c>
      <c r="B238" s="23" t="s">
        <v>9</v>
      </c>
      <c r="C238" s="34" t="s">
        <v>401</v>
      </c>
      <c r="D238" s="7">
        <f>VLOOKUP(C238,CATALOGO[],2,FALSE)</f>
        <v>25</v>
      </c>
      <c r="E238" s="36" t="str">
        <f>VLOOKUP(DIARIO[[#This Row],[Objeto de Gasto]],CATALOGO[],3,FALSE)</f>
        <v>26210 Viaticos Nacionales</v>
      </c>
      <c r="F238" s="1" t="s">
        <v>19</v>
      </c>
      <c r="G238" s="6" t="s">
        <v>627</v>
      </c>
      <c r="H238" s="1" t="s">
        <v>625</v>
      </c>
      <c r="I238" s="9">
        <v>45386</v>
      </c>
      <c r="J238" s="1" t="s">
        <v>650</v>
      </c>
      <c r="K238" s="9">
        <v>45390</v>
      </c>
      <c r="L238" s="1"/>
      <c r="M238" s="9"/>
      <c r="O238" s="22">
        <v>688200</v>
      </c>
      <c r="P238" s="4">
        <f t="shared" ref="P238:P239" si="27">N238-O238</f>
        <v>-688200</v>
      </c>
      <c r="Q238" s="23" t="s">
        <v>26</v>
      </c>
      <c r="R238" s="39"/>
      <c r="S238" s="6" t="s">
        <v>755</v>
      </c>
    </row>
    <row r="239" spans="1:20" ht="30" hidden="1" x14ac:dyDescent="0.25">
      <c r="A239" s="44">
        <f>ROW(DIARIO[[#This Row],[Nombre de Cuenta]])-$A$177-1</f>
        <v>62</v>
      </c>
      <c r="B239" s="23" t="s">
        <v>9</v>
      </c>
      <c r="C239" s="34" t="s">
        <v>400</v>
      </c>
      <c r="D239" s="7">
        <f>VLOOKUP(C239,CATALOGO[],2,FALSE)</f>
        <v>24</v>
      </c>
      <c r="E239" s="36" t="str">
        <f>VLOOKUP(DIARIO[[#This Row],[Objeto de Gasto]],CATALOGO[],3,FALSE)</f>
        <v>26110 Pasajes  Nacionales</v>
      </c>
      <c r="F239" s="1" t="s">
        <v>19</v>
      </c>
      <c r="G239" s="6" t="s">
        <v>628</v>
      </c>
      <c r="H239" s="1" t="s">
        <v>626</v>
      </c>
      <c r="I239" s="9">
        <v>45386</v>
      </c>
      <c r="J239" s="1"/>
      <c r="K239" s="9"/>
      <c r="L239" s="1"/>
      <c r="M239" s="9"/>
      <c r="O239" s="22">
        <v>0</v>
      </c>
      <c r="P239" s="4">
        <f t="shared" si="27"/>
        <v>0</v>
      </c>
      <c r="Q239" s="23" t="s">
        <v>10</v>
      </c>
      <c r="R239" s="39"/>
      <c r="S239" s="6" t="s">
        <v>630</v>
      </c>
    </row>
    <row r="240" spans="1:20" ht="90" hidden="1" x14ac:dyDescent="0.25">
      <c r="A240" s="44">
        <f>ROW(DIARIO[[#This Row],[Nombre de Cuenta]])-$A$177-1</f>
        <v>63</v>
      </c>
      <c r="B240" s="23" t="s">
        <v>30</v>
      </c>
      <c r="C240" s="34" t="s">
        <v>286</v>
      </c>
      <c r="D240" s="7">
        <f>VLOOKUP(C240,CATALOGO[],2,FALSE)</f>
        <v>52</v>
      </c>
      <c r="E240" s="36" t="str">
        <f>VLOOKUP(DIARIO[[#This Row],[Objeto de Gasto]],CATALOGO[],3,FALSE)</f>
        <v>39600 Otros Repuestos Y Accesorios Menores</v>
      </c>
      <c r="F240" s="1" t="s">
        <v>11</v>
      </c>
      <c r="G240" s="6" t="s">
        <v>631</v>
      </c>
      <c r="H240" s="1" t="s">
        <v>632</v>
      </c>
      <c r="I240" s="9">
        <v>45386</v>
      </c>
      <c r="J240" s="1" t="s">
        <v>648</v>
      </c>
      <c r="K240" s="9">
        <v>45394</v>
      </c>
      <c r="L240" s="1"/>
      <c r="M240" s="9"/>
      <c r="O240" s="22">
        <v>0</v>
      </c>
      <c r="P240" s="4">
        <f t="shared" ref="P240:P245" si="28">N240-O240</f>
        <v>0</v>
      </c>
      <c r="Q240" s="23" t="s">
        <v>14</v>
      </c>
      <c r="R240" s="39" t="s">
        <v>949</v>
      </c>
      <c r="S240" s="6" t="s">
        <v>948</v>
      </c>
    </row>
    <row r="241" spans="1:20" ht="30" hidden="1" x14ac:dyDescent="0.25">
      <c r="A241" s="44">
        <f>ROW(DIARIO[[#This Row],[Nombre de Cuenta]])-$A$177-1</f>
        <v>64</v>
      </c>
      <c r="B241" s="23" t="s">
        <v>30</v>
      </c>
      <c r="C241" s="34" t="s">
        <v>287</v>
      </c>
      <c r="D241" s="7">
        <f>VLOOKUP(C241,CATALOGO[],2,FALSE)</f>
        <v>52</v>
      </c>
      <c r="E241" s="36" t="str">
        <f>VLOOKUP(DIARIO[[#This Row],[Objeto de Gasto]],CATALOGO[],3,FALSE)</f>
        <v>39600 Otros Repuestos Y Accesorios Menores</v>
      </c>
      <c r="F241" s="1" t="s">
        <v>19</v>
      </c>
      <c r="G241" s="6" t="s">
        <v>633</v>
      </c>
      <c r="H241" s="1" t="s">
        <v>634</v>
      </c>
      <c r="I241" s="9">
        <v>45391</v>
      </c>
      <c r="J241" s="1" t="s">
        <v>648</v>
      </c>
      <c r="K241" s="9">
        <v>45394</v>
      </c>
      <c r="L241" s="1"/>
      <c r="M241" s="9"/>
      <c r="O241" s="22">
        <v>0</v>
      </c>
      <c r="P241" s="4">
        <f t="shared" si="28"/>
        <v>0</v>
      </c>
      <c r="Q241" s="23" t="s">
        <v>14</v>
      </c>
      <c r="R241" s="39" t="s">
        <v>949</v>
      </c>
      <c r="S241" s="6" t="s">
        <v>948</v>
      </c>
    </row>
    <row r="242" spans="1:20" hidden="1" x14ac:dyDescent="0.25">
      <c r="A242" s="44">
        <f>ROW(DIARIO[[#This Row],[Nombre de Cuenta]])-$A$177-1</f>
        <v>65</v>
      </c>
      <c r="B242" s="23" t="s">
        <v>30</v>
      </c>
      <c r="C242" s="34" t="s">
        <v>267</v>
      </c>
      <c r="D242" s="7">
        <f>VLOOKUP(C242,CATALOGO[],2,FALSE)</f>
        <v>48</v>
      </c>
      <c r="E242" s="36" t="str">
        <f>VLOOKUP(DIARIO[[#This Row],[Objeto de Gasto]],CATALOGO[],3,FALSE)</f>
        <v>39200 Utiles De Esritorio, Oficina  Y Enseñanza</v>
      </c>
      <c r="F242" s="1" t="s">
        <v>15</v>
      </c>
      <c r="G242" s="6" t="s">
        <v>635</v>
      </c>
      <c r="H242" s="1" t="s">
        <v>636</v>
      </c>
      <c r="I242" s="9">
        <v>45391</v>
      </c>
      <c r="J242" s="1" t="s">
        <v>649</v>
      </c>
      <c r="K242" s="9">
        <v>45394</v>
      </c>
      <c r="L242" s="1"/>
      <c r="M242" s="9"/>
      <c r="O242" s="22">
        <f>4618.6+3860+1183</f>
        <v>9661.6</v>
      </c>
      <c r="P242" s="4">
        <f t="shared" si="28"/>
        <v>-9661.6</v>
      </c>
      <c r="Q242" s="23" t="s">
        <v>18</v>
      </c>
      <c r="R242" s="39"/>
      <c r="S242" s="6"/>
      <c r="T242" s="4">
        <v>9661.6</v>
      </c>
    </row>
    <row r="243" spans="1:20" ht="30" x14ac:dyDescent="0.25">
      <c r="A243" s="44">
        <f>ROW(DIARIO[[#This Row],[Nombre de Cuenta]])-$A$177-1</f>
        <v>66</v>
      </c>
      <c r="B243" s="23" t="s">
        <v>9</v>
      </c>
      <c r="C243" s="34" t="s">
        <v>298</v>
      </c>
      <c r="D243" s="7">
        <f>VLOOKUP(C243,CATALOGO[],2,FALSE)</f>
        <v>54</v>
      </c>
      <c r="E243" s="36" t="str">
        <f>VLOOKUP(DIARIO[[#This Row],[Objeto de Gasto]],CATALOGO[],3,FALSE)</f>
        <v>42110 Muebles Varios De Oficina</v>
      </c>
      <c r="F243" s="1" t="s">
        <v>11</v>
      </c>
      <c r="G243" s="6" t="s">
        <v>637</v>
      </c>
      <c r="H243" s="1" t="s">
        <v>638</v>
      </c>
      <c r="I243" s="9">
        <v>45391</v>
      </c>
      <c r="J243" s="1" t="s">
        <v>652</v>
      </c>
      <c r="K243" s="9">
        <v>45404</v>
      </c>
      <c r="L243" s="1"/>
      <c r="M243" s="9"/>
      <c r="O243" s="22">
        <v>100000</v>
      </c>
      <c r="P243" s="4">
        <f t="shared" si="28"/>
        <v>-100000</v>
      </c>
      <c r="Q243" s="23" t="s">
        <v>14</v>
      </c>
      <c r="R243" s="39" t="s">
        <v>766</v>
      </c>
      <c r="S243" s="6"/>
    </row>
    <row r="244" spans="1:20" ht="30" hidden="1" x14ac:dyDescent="0.25">
      <c r="A244" s="44">
        <f>ROW(DIARIO[[#This Row],[Nombre de Cuenta]])-$A$177-1</f>
        <v>67</v>
      </c>
      <c r="B244" s="23" t="s">
        <v>9</v>
      </c>
      <c r="C244" s="34" t="s">
        <v>419</v>
      </c>
      <c r="D244" s="7">
        <f>VLOOKUP(C244,CATALOGO[],2,FALSE)</f>
        <v>52</v>
      </c>
      <c r="E244" s="36" t="str">
        <f>VLOOKUP(DIARIO[[#This Row],[Objeto de Gasto]],CATALOGO[],3,FALSE)</f>
        <v>39600 Otros Repuestos Y Accesorios Menores</v>
      </c>
      <c r="F244" s="1" t="s">
        <v>19</v>
      </c>
      <c r="G244" s="6" t="s">
        <v>639</v>
      </c>
      <c r="H244" s="1" t="s">
        <v>640</v>
      </c>
      <c r="I244" s="9">
        <v>45387</v>
      </c>
      <c r="J244" s="1" t="s">
        <v>719</v>
      </c>
      <c r="K244" s="9">
        <v>45422</v>
      </c>
      <c r="L244" s="1"/>
      <c r="M244" s="9"/>
      <c r="O244" s="22">
        <v>0</v>
      </c>
      <c r="P244" s="4">
        <f t="shared" si="28"/>
        <v>0</v>
      </c>
      <c r="Q244" s="23" t="s">
        <v>14</v>
      </c>
      <c r="R244" s="39" t="s">
        <v>955</v>
      </c>
      <c r="S244" s="6" t="s">
        <v>641</v>
      </c>
    </row>
    <row r="245" spans="1:20" ht="30" hidden="1" x14ac:dyDescent="0.25">
      <c r="A245" s="44">
        <f>ROW(DIARIO[[#This Row],[Nombre de Cuenta]])-$A$177-1</f>
        <v>68</v>
      </c>
      <c r="B245" s="23" t="s">
        <v>30</v>
      </c>
      <c r="C245" s="34" t="s">
        <v>262</v>
      </c>
      <c r="D245" s="7">
        <f>VLOOKUP(C245,CATALOGO[],2,FALSE)</f>
        <v>47</v>
      </c>
      <c r="E245" s="36" t="str">
        <f>VLOOKUP(DIARIO[[#This Row],[Objeto de Gasto]],CATALOGO[],3,FALSE)</f>
        <v>39100 Elementos De Limpieza Y Aseo Personal</v>
      </c>
      <c r="F245" s="1" t="s">
        <v>19</v>
      </c>
      <c r="G245" s="6" t="s">
        <v>642</v>
      </c>
      <c r="H245" s="1" t="s">
        <v>653</v>
      </c>
      <c r="I245" s="9">
        <v>45393</v>
      </c>
      <c r="J245" s="1" t="s">
        <v>654</v>
      </c>
      <c r="K245" s="9">
        <v>45397</v>
      </c>
      <c r="L245" s="1"/>
      <c r="M245" s="9"/>
      <c r="O245" s="22">
        <v>1950</v>
      </c>
      <c r="P245" s="4">
        <f t="shared" si="28"/>
        <v>-1950</v>
      </c>
      <c r="Q245" s="23" t="s">
        <v>18</v>
      </c>
      <c r="R245" s="39"/>
      <c r="S245" s="6"/>
      <c r="T245" s="4">
        <v>1950</v>
      </c>
    </row>
    <row r="246" spans="1:20" hidden="1" x14ac:dyDescent="0.25">
      <c r="A246" s="44">
        <f>ROW(DIARIO[[#This Row],[Nombre de Cuenta]])-$A$177-1</f>
        <v>69</v>
      </c>
      <c r="B246" s="23" t="s">
        <v>21</v>
      </c>
      <c r="C246" s="34" t="s">
        <v>276</v>
      </c>
      <c r="D246" s="7">
        <f>VLOOKUP(C246,CATALOGO[],2,FALSE)</f>
        <v>50</v>
      </c>
      <c r="E246" s="36" t="str">
        <f>VLOOKUP(DIARIO[[#This Row],[Objeto de Gasto]],CATALOGO[],3,FALSE)</f>
        <v>39530 Material Medico Quirurgico Menor</v>
      </c>
      <c r="F246" s="1" t="s">
        <v>23</v>
      </c>
      <c r="G246" s="6" t="s">
        <v>643</v>
      </c>
      <c r="H246" s="1" t="s">
        <v>644</v>
      </c>
      <c r="I246" s="9">
        <v>45393</v>
      </c>
      <c r="J246" s="1"/>
      <c r="K246" s="9"/>
      <c r="L246" s="1"/>
      <c r="M246" s="9"/>
      <c r="O246" s="22">
        <v>48000</v>
      </c>
      <c r="P246" s="4">
        <f t="shared" ref="P246" si="29">N246-O246</f>
        <v>-48000</v>
      </c>
      <c r="Q246" s="23" t="s">
        <v>10</v>
      </c>
      <c r="R246" s="39"/>
      <c r="S246" s="6" t="s">
        <v>681</v>
      </c>
    </row>
    <row r="247" spans="1:20" ht="30" hidden="1" x14ac:dyDescent="0.25">
      <c r="A247" s="44">
        <f>ROW(DIARIO[[#This Row],[Nombre de Cuenta]])-$A$177-1</f>
        <v>70</v>
      </c>
      <c r="B247" s="23" t="s">
        <v>30</v>
      </c>
      <c r="C247" s="34" t="s">
        <v>423</v>
      </c>
      <c r="D247" s="7">
        <f>VLOOKUP(C247,CATALOGO[],2,FALSE)</f>
        <v>61</v>
      </c>
      <c r="E247" s="36" t="str">
        <f>VLOOKUP(DIARIO[[#This Row],[Objeto de Gasto]],CATALOGO[],3,FALSE)</f>
        <v>42310 Equipo De Transporte Terrestre Para Personas</v>
      </c>
      <c r="F247" s="1" t="s">
        <v>11</v>
      </c>
      <c r="G247" s="6" t="s">
        <v>645</v>
      </c>
      <c r="H247" s="1" t="s">
        <v>646</v>
      </c>
      <c r="I247" s="9">
        <v>45393</v>
      </c>
      <c r="J247" s="1" t="s">
        <v>666</v>
      </c>
      <c r="K247" s="9">
        <v>45394</v>
      </c>
      <c r="L247" s="1"/>
      <c r="M247" s="9"/>
      <c r="O247" s="22">
        <v>0</v>
      </c>
      <c r="P247" s="4">
        <f t="shared" ref="P247:P252" si="30">N247-O247</f>
        <v>0</v>
      </c>
      <c r="Q247" s="23" t="s">
        <v>14</v>
      </c>
      <c r="R247" s="39"/>
      <c r="S247" s="6" t="s">
        <v>647</v>
      </c>
    </row>
    <row r="248" spans="1:20" ht="45" hidden="1" x14ac:dyDescent="0.25">
      <c r="A248" s="44">
        <f>ROW(DIARIO[[#This Row],[Nombre de Cuenta]])-$A$177-1</f>
        <v>71</v>
      </c>
      <c r="B248" s="23" t="s">
        <v>17</v>
      </c>
      <c r="C248" s="34" t="s">
        <v>196</v>
      </c>
      <c r="D248" s="7">
        <f>VLOOKUP(C248,CATALOGO[],2,FALSE)</f>
        <v>34</v>
      </c>
      <c r="E248" s="36" t="str">
        <f>VLOOKUP(DIARIO[[#This Row],[Objeto de Gasto]],CATALOGO[],3,FALSE)</f>
        <v>33300 Productos De Artes Graficas</v>
      </c>
      <c r="F248" s="1" t="s">
        <v>11</v>
      </c>
      <c r="G248" s="6" t="s">
        <v>663</v>
      </c>
      <c r="H248" s="1" t="s">
        <v>664</v>
      </c>
      <c r="I248" s="9" t="s">
        <v>665</v>
      </c>
      <c r="J248" s="1" t="s">
        <v>680</v>
      </c>
      <c r="K248" s="9">
        <v>45405</v>
      </c>
      <c r="L248" s="1"/>
      <c r="M248" s="9"/>
      <c r="O248" s="22">
        <f>IF(DIARIO[[#This Row],[Estatus]]="Proceso",SUMIFS(DIARIO[Entrada],DIARIO[Objeto de Gasto],DIARIO[[#This Row],[Objeto de Gasto]],DIARIO[Estatus],"Saldo Inicial"),0)</f>
        <v>2708000</v>
      </c>
      <c r="P248" s="4">
        <f t="shared" si="30"/>
        <v>-2708000</v>
      </c>
      <c r="Q248" s="23" t="s">
        <v>14</v>
      </c>
      <c r="R248" s="39"/>
      <c r="S248" s="6"/>
    </row>
    <row r="249" spans="1:20" ht="30" hidden="1" x14ac:dyDescent="0.25">
      <c r="A249" s="44">
        <f>ROW(DIARIO[[#This Row],[Nombre de Cuenta]])-$A$177-1</f>
        <v>72</v>
      </c>
      <c r="B249" s="23" t="s">
        <v>21</v>
      </c>
      <c r="C249" s="34" t="s">
        <v>409</v>
      </c>
      <c r="D249" s="7">
        <f>VLOOKUP(C249,CATALOGO[],2,FALSE)</f>
        <v>37</v>
      </c>
      <c r="E249" s="36" t="str">
        <f>VLOOKUP(DIARIO[[#This Row],[Objeto de Gasto]],CATALOGO[],3,FALSE)</f>
        <v>35251 Reactivos</v>
      </c>
      <c r="F249" s="1" t="s">
        <v>23</v>
      </c>
      <c r="G249" s="6" t="s">
        <v>672</v>
      </c>
      <c r="H249" s="1" t="s">
        <v>668</v>
      </c>
      <c r="I249" s="9">
        <v>45400</v>
      </c>
      <c r="J249" s="1" t="s">
        <v>670</v>
      </c>
      <c r="K249" s="9">
        <v>45400</v>
      </c>
      <c r="L249" s="1"/>
      <c r="M249" s="9"/>
      <c r="O249" s="22">
        <v>4098337.95</v>
      </c>
      <c r="P249" s="4">
        <f t="shared" si="30"/>
        <v>-4098337.95</v>
      </c>
      <c r="Q249" s="23" t="s">
        <v>18</v>
      </c>
      <c r="R249" s="39"/>
      <c r="S249" s="6" t="s">
        <v>724</v>
      </c>
      <c r="T249" s="4">
        <v>4098337.95</v>
      </c>
    </row>
    <row r="250" spans="1:20" ht="60" hidden="1" x14ac:dyDescent="0.25">
      <c r="A250" s="44">
        <f>ROW(DIARIO[[#This Row],[Nombre de Cuenta]])-$A$177-1</f>
        <v>73</v>
      </c>
      <c r="B250" s="23" t="s">
        <v>21</v>
      </c>
      <c r="C250" s="34" t="s">
        <v>212</v>
      </c>
      <c r="D250" s="7">
        <f>VLOOKUP(C250,CATALOGO[],2,FALSE)</f>
        <v>37</v>
      </c>
      <c r="E250" s="36" t="str">
        <f>VLOOKUP(DIARIO[[#This Row],[Objeto de Gasto]],CATALOGO[],3,FALSE)</f>
        <v>35251 Reactivos</v>
      </c>
      <c r="F250" s="1" t="s">
        <v>23</v>
      </c>
      <c r="G250" s="6" t="s">
        <v>673</v>
      </c>
      <c r="H250" s="1" t="s">
        <v>669</v>
      </c>
      <c r="I250" s="9">
        <v>45400</v>
      </c>
      <c r="J250" s="1" t="s">
        <v>671</v>
      </c>
      <c r="K250" s="9">
        <v>45400</v>
      </c>
      <c r="L250" s="1"/>
      <c r="M250" s="9"/>
      <c r="O250" s="22">
        <f>4906493.63+1509.95</f>
        <v>4908003.58</v>
      </c>
      <c r="P250" s="4">
        <f t="shared" si="30"/>
        <v>-4908003.58</v>
      </c>
      <c r="Q250" s="23" t="s">
        <v>18</v>
      </c>
      <c r="R250" s="39"/>
      <c r="S250" s="6" t="s">
        <v>723</v>
      </c>
      <c r="T250" s="4">
        <v>4908003.58</v>
      </c>
    </row>
    <row r="251" spans="1:20" ht="75" hidden="1" x14ac:dyDescent="0.25">
      <c r="A251" s="44">
        <f>ROW(DIARIO[[#This Row],[Nombre de Cuenta]])-$A$177-1</f>
        <v>74</v>
      </c>
      <c r="B251" s="23" t="s">
        <v>9</v>
      </c>
      <c r="C251" s="34" t="s">
        <v>302</v>
      </c>
      <c r="D251" s="7">
        <f>VLOOKUP(C251,CATALOGO[],2,FALSE)</f>
        <v>55</v>
      </c>
      <c r="E251" s="36" t="str">
        <f>VLOOKUP(DIARIO[[#This Row],[Objeto de Gasto]],CATALOGO[],3,FALSE)</f>
        <v>42120 Equipos Varios De Oficina</v>
      </c>
      <c r="F251" s="1" t="s">
        <v>11</v>
      </c>
      <c r="G251" s="6" t="s">
        <v>676</v>
      </c>
      <c r="H251" s="1" t="s">
        <v>675</v>
      </c>
      <c r="I251" s="9">
        <v>45400</v>
      </c>
      <c r="J251" s="1" t="s">
        <v>677</v>
      </c>
      <c r="K251" s="9">
        <v>45404</v>
      </c>
      <c r="L251" s="1"/>
      <c r="M251" s="9"/>
      <c r="O251" s="22">
        <f>IF(DIARIO[[#This Row],[Estatus]]="Proceso",SUMIFS(DIARIO[Entrada],DIARIO[Objeto de Gasto],DIARIO[[#This Row],[Objeto de Gasto]],DIARIO[Estatus],"Saldo Inicial"),0)</f>
        <v>100000</v>
      </c>
      <c r="P251" s="4">
        <f t="shared" si="30"/>
        <v>-100000</v>
      </c>
      <c r="Q251" s="23" t="s">
        <v>14</v>
      </c>
      <c r="R251" s="39"/>
      <c r="S251" s="6" t="s">
        <v>749</v>
      </c>
    </row>
    <row r="252" spans="1:20" ht="75" hidden="1" x14ac:dyDescent="0.25">
      <c r="A252" s="44">
        <f>ROW(DIARIO[[#This Row],[Nombre de Cuenta]])-$A$177-1</f>
        <v>75</v>
      </c>
      <c r="B252" s="23" t="s">
        <v>9</v>
      </c>
      <c r="C252" s="34" t="s">
        <v>303</v>
      </c>
      <c r="D252" s="7">
        <f>VLOOKUP(C252,CATALOGO[],2,FALSE)</f>
        <v>55</v>
      </c>
      <c r="E252" s="36" t="str">
        <f>VLOOKUP(DIARIO[[#This Row],[Objeto de Gasto]],CATALOGO[],3,FALSE)</f>
        <v>42120 Equipos Varios De Oficina</v>
      </c>
      <c r="F252" s="1" t="s">
        <v>11</v>
      </c>
      <c r="G252" s="6" t="s">
        <v>679</v>
      </c>
      <c r="H252" s="1" t="s">
        <v>678</v>
      </c>
      <c r="I252" s="9">
        <v>45400</v>
      </c>
      <c r="J252" s="1" t="s">
        <v>677</v>
      </c>
      <c r="K252" s="9">
        <v>45404</v>
      </c>
      <c r="L252" s="1"/>
      <c r="M252" s="9"/>
      <c r="O252" s="22">
        <f>IF(DIARIO[[#This Row],[Estatus]]="Proceso",SUMIFS(DIARIO[Entrada],DIARIO[Objeto de Gasto],DIARIO[[#This Row],[Objeto de Gasto]],DIARIO[Estatus],"Saldo Inicial"),0)</f>
        <v>100000</v>
      </c>
      <c r="P252" s="4">
        <f t="shared" si="30"/>
        <v>-100000</v>
      </c>
      <c r="Q252" s="23" t="s">
        <v>14</v>
      </c>
      <c r="R252" s="39"/>
      <c r="S252" s="6" t="s">
        <v>749</v>
      </c>
    </row>
    <row r="253" spans="1:20" hidden="1" x14ac:dyDescent="0.25">
      <c r="A253" s="44">
        <f>ROW(DIARIO[[#This Row],[Nombre de Cuenta]])-$A$177-1</f>
        <v>76</v>
      </c>
      <c r="B253" s="23" t="s">
        <v>9</v>
      </c>
      <c r="C253" s="34" t="s">
        <v>276</v>
      </c>
      <c r="D253" s="7">
        <f>VLOOKUP(C253,CATALOGO[],2,FALSE)</f>
        <v>50</v>
      </c>
      <c r="E253" s="36" t="str">
        <f>VLOOKUP(DIARIO[[#This Row],[Objeto de Gasto]],CATALOGO[],3,FALSE)</f>
        <v>39530 Material Medico Quirurgico Menor</v>
      </c>
      <c r="F253" s="1" t="s">
        <v>23</v>
      </c>
      <c r="G253" s="6" t="s">
        <v>643</v>
      </c>
      <c r="H253" s="1" t="s">
        <v>644</v>
      </c>
      <c r="I253" s="9">
        <v>45406</v>
      </c>
      <c r="J253" s="1" t="s">
        <v>682</v>
      </c>
      <c r="K253" s="9">
        <v>45406</v>
      </c>
      <c r="L253" s="1"/>
      <c r="M253" s="9"/>
      <c r="O253" s="22">
        <f>IF(DIARIO[[#This Row],[Estatus]]="Proceso",SUMIFS(DIARIO[Entrada],DIARIO[Objeto de Gasto],DIARIO[[#This Row],[Objeto de Gasto]],DIARIO[Estatus],"Saldo Inicial"),0)</f>
        <v>48000</v>
      </c>
      <c r="P253" s="4">
        <f>N253-O253</f>
        <v>-48000</v>
      </c>
      <c r="Q253" s="23" t="s">
        <v>14</v>
      </c>
      <c r="R253" s="39" t="s">
        <v>953</v>
      </c>
      <c r="S253" s="6" t="s">
        <v>954</v>
      </c>
    </row>
    <row r="254" spans="1:20" ht="45" hidden="1" x14ac:dyDescent="0.25">
      <c r="A254" s="44">
        <f>ROW(DIARIO[[#This Row],[Nombre de Cuenta]])-$A$177-1</f>
        <v>77</v>
      </c>
      <c r="B254" s="23" t="s">
        <v>9</v>
      </c>
      <c r="C254" s="34" t="s">
        <v>261</v>
      </c>
      <c r="D254" s="7">
        <f>VLOOKUP(C254,CATALOGO[],2,FALSE)</f>
        <v>47</v>
      </c>
      <c r="E254" s="36" t="str">
        <f>VLOOKUP(DIARIO[[#This Row],[Objeto de Gasto]],CATALOGO[],3,FALSE)</f>
        <v>39100 Elementos De Limpieza Y Aseo Personal</v>
      </c>
      <c r="F254" s="1" t="s">
        <v>693</v>
      </c>
      <c r="G254" s="6" t="s">
        <v>493</v>
      </c>
      <c r="H254" s="1" t="s">
        <v>683</v>
      </c>
      <c r="I254" s="9">
        <v>45406</v>
      </c>
      <c r="J254" s="1" t="s">
        <v>686</v>
      </c>
      <c r="K254" s="9">
        <v>45411</v>
      </c>
      <c r="L254" s="1"/>
      <c r="M254" s="9"/>
      <c r="O254" s="22">
        <v>1024.6500000000001</v>
      </c>
      <c r="P254" s="4">
        <f>N254-O254</f>
        <v>-1024.6500000000001</v>
      </c>
      <c r="Q254" s="23" t="s">
        <v>18</v>
      </c>
      <c r="R254" s="39"/>
      <c r="S254" s="6" t="s">
        <v>685</v>
      </c>
      <c r="T254" s="4">
        <v>1024.6500000000001</v>
      </c>
    </row>
    <row r="255" spans="1:20" ht="45" hidden="1" x14ac:dyDescent="0.25">
      <c r="A255" s="70">
        <f>ROW(DIARIO[[#This Row],[Nombre de Cuenta]])-$A$177-1</f>
        <v>78</v>
      </c>
      <c r="B255" s="33" t="s">
        <v>9</v>
      </c>
      <c r="C255" s="35" t="s">
        <v>261</v>
      </c>
      <c r="D255" s="7">
        <f>VLOOKUP(C255,CATALOGO[],2,FALSE)</f>
        <v>47</v>
      </c>
      <c r="E255" s="37" t="str">
        <f>VLOOKUP(DIARIO[[#This Row],[Objeto de Gasto]],CATALOGO[],3,FALSE)</f>
        <v>39100 Elementos De Limpieza Y Aseo Personal</v>
      </c>
      <c r="F255" s="27" t="s">
        <v>15</v>
      </c>
      <c r="G255" s="29" t="s">
        <v>493</v>
      </c>
      <c r="H255" s="27" t="s">
        <v>684</v>
      </c>
      <c r="I255" s="30">
        <v>45393</v>
      </c>
      <c r="J255" s="27"/>
      <c r="K255" s="30"/>
      <c r="L255" s="27"/>
      <c r="M255" s="30"/>
      <c r="N255" s="31"/>
      <c r="O255" s="32">
        <f>IF(DIARIO[[#This Row],[Estatus]]="Proceso",SUMIFS(DIARIO[Entrada],DIARIO[Objeto de Gasto],DIARIO[[#This Row],[Objeto de Gasto]],DIARIO[Estatus],"Saldo Inicial"),0)</f>
        <v>0</v>
      </c>
      <c r="P255" s="4">
        <f>N255-O255</f>
        <v>0</v>
      </c>
      <c r="Q255" s="33" t="s">
        <v>10</v>
      </c>
      <c r="R255" s="40"/>
      <c r="S255" s="29" t="s">
        <v>681</v>
      </c>
      <c r="T255" s="31"/>
    </row>
    <row r="256" spans="1:20" ht="165" hidden="1" x14ac:dyDescent="0.25">
      <c r="A256" s="44">
        <f>ROW(DIARIO[[#This Row],[Nombre de Cuenta]])-$A$177-1</f>
        <v>79</v>
      </c>
      <c r="B256" s="23" t="s">
        <v>21</v>
      </c>
      <c r="C256" s="34" t="s">
        <v>271</v>
      </c>
      <c r="D256" s="7">
        <f>VLOOKUP(C256,CATALOGO[],2,FALSE)</f>
        <v>49</v>
      </c>
      <c r="E256" s="36" t="str">
        <f>VLOOKUP(DIARIO[[#This Row],[Objeto de Gasto]],CATALOGO[],3,FALSE)</f>
        <v xml:space="preserve">39520 Intrumental Y Material Para Laboratorio </v>
      </c>
      <c r="F256" s="1" t="s">
        <v>693</v>
      </c>
      <c r="G256" s="6" t="s">
        <v>687</v>
      </c>
      <c r="H256" s="1" t="s">
        <v>688</v>
      </c>
      <c r="I256" s="9">
        <v>45407</v>
      </c>
      <c r="J256" s="1" t="s">
        <v>703</v>
      </c>
      <c r="K256" s="9">
        <v>45418</v>
      </c>
      <c r="L256" s="1"/>
      <c r="M256" s="9"/>
      <c r="O25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3991426.6144082528</v>
      </c>
      <c r="P256" s="4">
        <f>N256-O256</f>
        <v>-3991426.6144082528</v>
      </c>
      <c r="Q256" s="33" t="s">
        <v>14</v>
      </c>
      <c r="R256" s="39"/>
      <c r="S256" s="6" t="s">
        <v>689</v>
      </c>
    </row>
    <row r="257" spans="1:19" ht="165" hidden="1" x14ac:dyDescent="0.25">
      <c r="A257" s="44">
        <f>ROW(DIARIO[[#This Row],[Nombre de Cuenta]])-$A$177-1</f>
        <v>80</v>
      </c>
      <c r="B257" s="23" t="s">
        <v>21</v>
      </c>
      <c r="C257" s="34" t="s">
        <v>270</v>
      </c>
      <c r="D257" s="7">
        <f>VLOOKUP(C257,CATALOGO[],2,FALSE)</f>
        <v>49</v>
      </c>
      <c r="E257" s="36" t="str">
        <f>VLOOKUP(DIARIO[[#This Row],[Objeto de Gasto]],CATALOGO[],3,FALSE)</f>
        <v xml:space="preserve">39520 Intrumental Y Material Para Laboratorio </v>
      </c>
      <c r="F257" s="1" t="s">
        <v>693</v>
      </c>
      <c r="G257" s="6" t="s">
        <v>687</v>
      </c>
      <c r="H257" s="1" t="s">
        <v>688</v>
      </c>
      <c r="I257" s="9">
        <v>45407</v>
      </c>
      <c r="J257" s="1" t="s">
        <v>703</v>
      </c>
      <c r="K257" s="9">
        <v>45418</v>
      </c>
      <c r="L257" s="1"/>
      <c r="M257" s="9"/>
      <c r="O25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4370472.7589356275</v>
      </c>
      <c r="P257" s="4">
        <f t="shared" ref="P257:P258" si="31">N257-O257</f>
        <v>-4370472.7589356275</v>
      </c>
      <c r="Q257" s="33" t="s">
        <v>14</v>
      </c>
      <c r="R257" s="39"/>
      <c r="S257" s="6" t="s">
        <v>689</v>
      </c>
    </row>
    <row r="258" spans="1:19" ht="165" hidden="1" x14ac:dyDescent="0.25">
      <c r="A258" s="44">
        <f>ROW(DIARIO[[#This Row],[Nombre de Cuenta]])-$A$177-1</f>
        <v>81</v>
      </c>
      <c r="B258" s="23" t="s">
        <v>21</v>
      </c>
      <c r="C258" s="34" t="s">
        <v>272</v>
      </c>
      <c r="D258" s="7">
        <f>VLOOKUP(C258,CATALOGO[],2,FALSE)</f>
        <v>49</v>
      </c>
      <c r="E258" s="36" t="str">
        <f>VLOOKUP(DIARIO[[#This Row],[Objeto de Gasto]],CATALOGO[],3,FALSE)</f>
        <v xml:space="preserve">39520 Intrumental Y Material Para Laboratorio </v>
      </c>
      <c r="F258" s="1" t="s">
        <v>693</v>
      </c>
      <c r="G258" s="6" t="s">
        <v>687</v>
      </c>
      <c r="H258" s="1" t="s">
        <v>688</v>
      </c>
      <c r="I258" s="9">
        <v>45407</v>
      </c>
      <c r="J258" s="1" t="s">
        <v>703</v>
      </c>
      <c r="K258" s="9">
        <v>45418</v>
      </c>
      <c r="L258" s="1"/>
      <c r="M258" s="9"/>
      <c r="O25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3273278.5466561196</v>
      </c>
      <c r="P258" s="4">
        <f t="shared" si="31"/>
        <v>-3273278.5466561196</v>
      </c>
      <c r="Q258" s="33" t="s">
        <v>14</v>
      </c>
      <c r="R258" s="39"/>
      <c r="S258" s="6" t="s">
        <v>689</v>
      </c>
    </row>
    <row r="259" spans="1:19" ht="90" hidden="1" x14ac:dyDescent="0.25">
      <c r="A259" s="44">
        <f>ROW(DIARIO[[#This Row],[Nombre de Cuenta]])-$A$177-1</f>
        <v>82</v>
      </c>
      <c r="B259" s="23" t="s">
        <v>21</v>
      </c>
      <c r="C259" s="34" t="s">
        <v>281</v>
      </c>
      <c r="D259" s="7">
        <f>VLOOKUP(C259,CATALOGO[],2,FALSE)</f>
        <v>51</v>
      </c>
      <c r="E259" s="36" t="str">
        <f>VLOOKUP(DIARIO[[#This Row],[Objeto de Gasto]],CATALOGO[],3,FALSE)</f>
        <v>39540 Otro Instrumental, Accesorios Y Material Medico</v>
      </c>
      <c r="F259" s="1" t="s">
        <v>693</v>
      </c>
      <c r="G259" s="6" t="s">
        <v>691</v>
      </c>
      <c r="H259" s="1" t="s">
        <v>690</v>
      </c>
      <c r="I259" s="9">
        <v>45407</v>
      </c>
      <c r="J259" s="1" t="s">
        <v>704</v>
      </c>
      <c r="K259" s="9">
        <v>45418</v>
      </c>
      <c r="L259" s="1"/>
      <c r="M259" s="9"/>
      <c r="O259" s="22">
        <f>IF(DIARIO[[#This Row],[Estatus]]="Proceso",SUMIFS(DIARIO[Entrada],DIARIO[Objeto de Gasto],DIARIO[[#This Row],[Objeto de Gasto]],DIARIO[Estatus],"Saldo Inicial"),0)-SUMIFS(DIARIO[Salida],DIARIO[Objeto de Gasto],DIARIO[[#This Row],[Objeto de Gasto]],DIARIO[Estatus],"Adjudicado")</f>
        <v>1675818.1006739326</v>
      </c>
      <c r="P259" s="4">
        <f>N259-O259</f>
        <v>-1675818.1006739326</v>
      </c>
      <c r="Q259" s="33" t="s">
        <v>14</v>
      </c>
      <c r="R259" s="39"/>
      <c r="S259" s="6" t="s">
        <v>692</v>
      </c>
    </row>
    <row r="260" spans="1:19" ht="90" hidden="1" x14ac:dyDescent="0.25">
      <c r="A260" s="44">
        <f>ROW(DIARIO[[#This Row],[Nombre de Cuenta]])-$A$177-1</f>
        <v>83</v>
      </c>
      <c r="B260" s="23" t="s">
        <v>21</v>
      </c>
      <c r="C260" s="34" t="s">
        <v>280</v>
      </c>
      <c r="D260" s="7">
        <f>VLOOKUP(C260,CATALOGO[],2,FALSE)</f>
        <v>51</v>
      </c>
      <c r="E260" s="36" t="str">
        <f>VLOOKUP(DIARIO[[#This Row],[Objeto de Gasto]],CATALOGO[],3,FALSE)</f>
        <v>39540 Otro Instrumental, Accesorios Y Material Medico</v>
      </c>
      <c r="F260" s="1" t="s">
        <v>693</v>
      </c>
      <c r="G260" s="6" t="s">
        <v>691</v>
      </c>
      <c r="H260" s="1" t="s">
        <v>690</v>
      </c>
      <c r="I260" s="9">
        <v>45407</v>
      </c>
      <c r="J260" s="1" t="s">
        <v>704</v>
      </c>
      <c r="K260" s="9">
        <v>45418</v>
      </c>
      <c r="L260" s="1"/>
      <c r="M260" s="9"/>
      <c r="O260" s="22">
        <f>IF(DIARIO[[#This Row],[Estatus]]="Proceso",SUMIFS(DIARIO[Entrada],DIARIO[Objeto de Gasto],DIARIO[[#This Row],[Objeto de Gasto]],DIARIO[Estatus],"Saldo Inicial"),0)-SUMIFS(DIARIO[Salida],DIARIO[Objeto de Gasto],DIARIO[[#This Row],[Objeto de Gasto]],DIARIO[Estatus],"Adjudicado")</f>
        <v>3690925.9968994781</v>
      </c>
      <c r="P260" s="4">
        <f t="shared" ref="P260:P261" si="32">N260-O260</f>
        <v>-3690925.9968994781</v>
      </c>
      <c r="Q260" s="33" t="s">
        <v>14</v>
      </c>
      <c r="R260" s="39"/>
      <c r="S260" s="6" t="s">
        <v>692</v>
      </c>
    </row>
    <row r="261" spans="1:19" ht="90" hidden="1" x14ac:dyDescent="0.25">
      <c r="A261" s="44">
        <f>ROW(DIARIO[[#This Row],[Nombre de Cuenta]])-$A$177-1</f>
        <v>84</v>
      </c>
      <c r="B261" s="23" t="s">
        <v>21</v>
      </c>
      <c r="C261" s="34" t="s">
        <v>282</v>
      </c>
      <c r="D261" s="7">
        <f>VLOOKUP(C261,CATALOGO[],2,FALSE)</f>
        <v>51</v>
      </c>
      <c r="E261" s="36" t="str">
        <f>VLOOKUP(DIARIO[[#This Row],[Objeto de Gasto]],CATALOGO[],3,FALSE)</f>
        <v>39540 Otro Instrumental, Accesorios Y Material Medico</v>
      </c>
      <c r="F261" s="1" t="s">
        <v>693</v>
      </c>
      <c r="G261" s="6" t="s">
        <v>691</v>
      </c>
      <c r="H261" s="1" t="s">
        <v>690</v>
      </c>
      <c r="I261" s="9">
        <v>45407</v>
      </c>
      <c r="J261" s="1" t="s">
        <v>704</v>
      </c>
      <c r="K261" s="9">
        <v>45418</v>
      </c>
      <c r="L261" s="1"/>
      <c r="M261" s="9"/>
      <c r="O261" s="22">
        <f>IF(DIARIO[[#This Row],[Estatus]]="Proceso",SUMIFS(DIARIO[Entrada],DIARIO[Objeto de Gasto],DIARIO[[#This Row],[Objeto de Gasto]],DIARIO[Estatus],"Saldo Inicial"),0)-SUMIFS(DIARIO[Salida],DIARIO[Objeto de Gasto],DIARIO[[#This Row],[Objeto de Gasto]],DIARIO[Estatus],"Adjudicado")</f>
        <v>277971.04242658988</v>
      </c>
      <c r="P261" s="4">
        <f t="shared" si="32"/>
        <v>-277971.04242658988</v>
      </c>
      <c r="Q261" s="33" t="s">
        <v>14</v>
      </c>
      <c r="R261" s="39"/>
      <c r="S261" s="6" t="s">
        <v>692</v>
      </c>
    </row>
    <row r="262" spans="1:19" ht="45" hidden="1" x14ac:dyDescent="0.25">
      <c r="A262" s="44">
        <f>ROW(DIARIO[[#This Row],[Nombre de Cuenta]])-$A$177-1</f>
        <v>85</v>
      </c>
      <c r="B262" s="23" t="s">
        <v>21</v>
      </c>
      <c r="C262" s="34" t="s">
        <v>409</v>
      </c>
      <c r="D262" s="7">
        <f>VLOOKUP(C262,CATALOGO[],2,FALSE)</f>
        <v>37</v>
      </c>
      <c r="E262" s="36" t="str">
        <f>VLOOKUP(DIARIO[[#This Row],[Objeto de Gasto]],CATALOGO[],3,FALSE)</f>
        <v>35251 Reactivos</v>
      </c>
      <c r="F262" s="1" t="s">
        <v>693</v>
      </c>
      <c r="G262" s="6" t="s">
        <v>695</v>
      </c>
      <c r="H262" s="1" t="s">
        <v>694</v>
      </c>
      <c r="I262" s="9">
        <v>45406</v>
      </c>
      <c r="J262" s="1" t="s">
        <v>697</v>
      </c>
      <c r="K262" s="9">
        <v>45425</v>
      </c>
      <c r="L262" s="1"/>
      <c r="M262" s="9"/>
      <c r="O262" s="22">
        <f>IF(DIARIO[[#This Row],[Estatus]]="Proceso",SUMIFS(DIARIO[Entrada],DIARIO[Objeto de Gasto],DIARIO[[#This Row],[Objeto de Gasto]],DIARIO[Estatus],"Saldo Inicial"),0)-SUMIFS(DIARIO[Salida],DIARIO[Objeto de Gasto],DIARIO[[#This Row],[Objeto de Gasto]],DIARIO[Estatus],"Adjudicado")</f>
        <v>7911920.0499999998</v>
      </c>
      <c r="P262" s="4">
        <f t="shared" ref="P262:P269" si="33">N262-O262</f>
        <v>-7911920.0499999998</v>
      </c>
      <c r="Q262" s="33" t="s">
        <v>14</v>
      </c>
      <c r="R262" s="39"/>
      <c r="S262" s="6" t="s">
        <v>698</v>
      </c>
    </row>
    <row r="263" spans="1:19" ht="45" hidden="1" x14ac:dyDescent="0.25">
      <c r="A263" s="44">
        <f>ROW(DIARIO[[#This Row],[Nombre de Cuenta]])-$A$177-1</f>
        <v>86</v>
      </c>
      <c r="B263" s="23" t="s">
        <v>21</v>
      </c>
      <c r="C263" s="34" t="s">
        <v>212</v>
      </c>
      <c r="D263" s="7">
        <f>VLOOKUP(C263,CATALOGO[],2,FALSE)</f>
        <v>37</v>
      </c>
      <c r="E263" s="36" t="str">
        <f>VLOOKUP(DIARIO[[#This Row],[Objeto de Gasto]],CATALOGO[],3,FALSE)</f>
        <v>35251 Reactivos</v>
      </c>
      <c r="F263" s="1" t="s">
        <v>693</v>
      </c>
      <c r="G263" s="6" t="s">
        <v>696</v>
      </c>
      <c r="H263" s="1" t="s">
        <v>694</v>
      </c>
      <c r="I263" s="9">
        <v>45406</v>
      </c>
      <c r="J263" s="1" t="s">
        <v>697</v>
      </c>
      <c r="K263" s="9">
        <v>45425</v>
      </c>
      <c r="L263" s="1"/>
      <c r="M263" s="9"/>
      <c r="O263" s="22">
        <f>IF(DIARIO[[#This Row],[Estatus]]="Proceso",SUMIFS(DIARIO[Entrada],DIARIO[Objeto de Gasto],DIARIO[[#This Row],[Objeto de Gasto]],DIARIO[Estatus],"Saldo Inicial"),0)-SUMIFS(DIARIO[Salida],DIARIO[Objeto de Gasto],DIARIO[[#This Row],[Objeto de Gasto]],DIARIO[Estatus],"Adjudicado")</f>
        <v>6010867.4199999999</v>
      </c>
      <c r="P263" s="4">
        <f t="shared" si="33"/>
        <v>-6010867.4199999999</v>
      </c>
      <c r="Q263" s="33" t="s">
        <v>14</v>
      </c>
      <c r="R263" s="39"/>
      <c r="S263" s="6" t="s">
        <v>698</v>
      </c>
    </row>
    <row r="264" spans="1:19" ht="60" hidden="1" x14ac:dyDescent="0.25">
      <c r="A264" s="44">
        <f>ROW(DIARIO[[#This Row],[Nombre de Cuenta]])-$A$177-1</f>
        <v>87</v>
      </c>
      <c r="B264" s="23" t="s">
        <v>21</v>
      </c>
      <c r="C264" s="34" t="s">
        <v>226</v>
      </c>
      <c r="D264" s="7">
        <f>VLOOKUP(C264,CATALOGO[],2,FALSE)</f>
        <v>40</v>
      </c>
      <c r="E264" s="36" t="str">
        <f>VLOOKUP(DIARIO[[#This Row],[Objeto de Gasto]],CATALOGO[],3,FALSE)</f>
        <v>35252 Reactivo (VIH)</v>
      </c>
      <c r="F264" s="1" t="s">
        <v>693</v>
      </c>
      <c r="G264" s="6" t="s">
        <v>700</v>
      </c>
      <c r="H264" s="1" t="s">
        <v>699</v>
      </c>
      <c r="I264" s="9">
        <v>45400</v>
      </c>
      <c r="J264" s="1" t="s">
        <v>701</v>
      </c>
      <c r="K264" s="9">
        <v>45411</v>
      </c>
      <c r="L264" s="1"/>
      <c r="M264" s="9"/>
      <c r="O264" s="22">
        <f>IF(DIARIO[[#This Row],[Estatus]]="Proceso",SUMIFS(DIARIO[Entrada],DIARIO[Objeto de Gasto],DIARIO[[#This Row],[Objeto de Gasto]],DIARIO[Estatus],"Saldo Inicial"),0)-SUMIFS(DIARIO[Salida],DIARIO[Objeto de Gasto],DIARIO[[#This Row],[Objeto de Gasto]],DIARIO[Estatus],"Adjudicado")</f>
        <v>45215293.5</v>
      </c>
      <c r="P264" s="4">
        <f t="shared" si="33"/>
        <v>-45215293.5</v>
      </c>
      <c r="Q264" s="33" t="s">
        <v>14</v>
      </c>
      <c r="R264" s="39"/>
      <c r="S264" s="6" t="s">
        <v>728</v>
      </c>
    </row>
    <row r="265" spans="1:19" hidden="1" x14ac:dyDescent="0.25">
      <c r="A265" s="44">
        <f>ROW(DIARIO[[#This Row],[Nombre de Cuenta]])-$A$177-1</f>
        <v>88</v>
      </c>
      <c r="B265" s="23" t="s">
        <v>21</v>
      </c>
      <c r="C265" s="34" t="s">
        <v>171</v>
      </c>
      <c r="D265" s="7">
        <f>VLOOKUP(C265,CATALOGO[],2,FALSE)</f>
        <v>29</v>
      </c>
      <c r="E265" s="36" t="str">
        <f>VLOOKUP(DIARIO[[#This Row],[Objeto de Gasto]],CATALOGO[],3,FALSE)</f>
        <v>31110 Productos Alimenticios Y Bebidas</v>
      </c>
      <c r="F265" s="1" t="s">
        <v>693</v>
      </c>
      <c r="G265" s="6" t="s">
        <v>720</v>
      </c>
      <c r="H265" s="1" t="s">
        <v>726</v>
      </c>
      <c r="I265" s="9">
        <v>45422</v>
      </c>
      <c r="J265" s="1" t="s">
        <v>725</v>
      </c>
      <c r="K265" s="9">
        <v>45428</v>
      </c>
      <c r="L265" s="1"/>
      <c r="M265" s="9"/>
      <c r="O265" s="22">
        <f>IF(DIARIO[[#This Row],[Estatus]]="Proceso",SUMIFS(DIARIO[Entrada],DIARIO[Objeto de Gasto],DIARIO[[#This Row],[Objeto de Gasto]],DIARIO[Estatus],"Saldo Inicial"),0)-SUMIFS(DIARIO[Salida],DIARIO[Objeto de Gasto],DIARIO[[#This Row],[Objeto de Gasto]],DIARIO[Estatus],"Adjudicado")</f>
        <v>6465825</v>
      </c>
      <c r="P265" s="4">
        <f t="shared" si="33"/>
        <v>-6465825</v>
      </c>
      <c r="Q265" s="23" t="s">
        <v>14</v>
      </c>
      <c r="R265" s="39"/>
      <c r="S265" s="6"/>
    </row>
    <row r="266" spans="1:19" ht="30" hidden="1" x14ac:dyDescent="0.25">
      <c r="A266" s="44">
        <f>ROW(DIARIO[[#This Row],[Nombre de Cuenta]])-$A$177-1</f>
        <v>89</v>
      </c>
      <c r="B266" s="23" t="s">
        <v>9</v>
      </c>
      <c r="C266" s="34" t="s">
        <v>327</v>
      </c>
      <c r="D266" s="7">
        <f>VLOOKUP(C266,CATALOGO[],2,FALSE)</f>
        <v>60</v>
      </c>
      <c r="E266" s="36" t="str">
        <f>VLOOKUP(DIARIO[[#This Row],[Objeto de Gasto]],CATALOGO[],3,FALSE)</f>
        <v>45100 Aplicaciones Informaticas</v>
      </c>
      <c r="F266" s="1" t="s">
        <v>19</v>
      </c>
      <c r="G266" s="6" t="s">
        <v>464</v>
      </c>
      <c r="H266" s="1" t="s">
        <v>465</v>
      </c>
      <c r="I266" s="9">
        <v>45314</v>
      </c>
      <c r="J266" s="1" t="s">
        <v>721</v>
      </c>
      <c r="K266" s="9">
        <v>45426</v>
      </c>
      <c r="L266" s="1"/>
      <c r="M266" s="9"/>
      <c r="O266" s="22">
        <f>IF(DIARIO[[#This Row],[Estatus]]="Proceso",SUMIFS(DIARIO[Entrada],DIARIO[Objeto de Gasto],DIARIO[[#This Row],[Objeto de Gasto]],DIARIO[Estatus],"Saldo Inicial"),0)-SUMIFS(DIARIO[Salida],DIARIO[Objeto de Gasto],DIARIO[[#This Row],[Objeto de Gasto]],DIARIO[Estatus],"Adjudicado")</f>
        <v>200000</v>
      </c>
      <c r="P266" s="4">
        <f t="shared" si="33"/>
        <v>-200000</v>
      </c>
      <c r="Q266" s="23" t="s">
        <v>14</v>
      </c>
      <c r="R266" s="39"/>
      <c r="S266" s="6"/>
    </row>
    <row r="267" spans="1:19" ht="30" hidden="1" x14ac:dyDescent="0.25">
      <c r="A267" s="44">
        <f>ROW(DIARIO[[#This Row],[Nombre de Cuenta]])-$A$177-1</f>
        <v>90</v>
      </c>
      <c r="B267" s="23" t="s">
        <v>9</v>
      </c>
      <c r="C267" s="34" t="s">
        <v>426</v>
      </c>
      <c r="D267" s="7">
        <f>VLOOKUP(C267,CATALOGO[],2,FALSE)</f>
        <v>60</v>
      </c>
      <c r="E267" s="36" t="str">
        <f>VLOOKUP(DIARIO[[#This Row],[Objeto de Gasto]],CATALOGO[],3,FALSE)</f>
        <v>45100 Aplicaciones Informaticas</v>
      </c>
      <c r="F267" s="1" t="s">
        <v>19</v>
      </c>
      <c r="G267" s="6" t="s">
        <v>501</v>
      </c>
      <c r="H267" s="1" t="s">
        <v>502</v>
      </c>
      <c r="I267" s="9">
        <v>45345</v>
      </c>
      <c r="J267" s="1" t="s">
        <v>721</v>
      </c>
      <c r="K267" s="9">
        <v>45426</v>
      </c>
      <c r="L267" s="1"/>
      <c r="M267" s="9"/>
      <c r="O267" s="22"/>
      <c r="P267" s="4">
        <f t="shared" si="33"/>
        <v>0</v>
      </c>
      <c r="Q267" s="23" t="s">
        <v>14</v>
      </c>
      <c r="R267" s="39"/>
      <c r="S267" s="6" t="s">
        <v>727</v>
      </c>
    </row>
    <row r="268" spans="1:19" ht="30" hidden="1" x14ac:dyDescent="0.25">
      <c r="A268" s="44">
        <f>ROW(DIARIO[[#This Row],[Nombre de Cuenta]])-$A$177-1</f>
        <v>91</v>
      </c>
      <c r="B268" s="23" t="s">
        <v>9</v>
      </c>
      <c r="C268" s="34" t="s">
        <v>328</v>
      </c>
      <c r="D268" s="7">
        <f>VLOOKUP(C268,CATALOGO[],2,FALSE)</f>
        <v>60</v>
      </c>
      <c r="E268" s="36" t="str">
        <f>VLOOKUP(DIARIO[[#This Row],[Objeto de Gasto]],CATALOGO[],3,FALSE)</f>
        <v>45100 Aplicaciones Informaticas</v>
      </c>
      <c r="F268" s="1" t="s">
        <v>19</v>
      </c>
      <c r="G268" s="6" t="s">
        <v>515</v>
      </c>
      <c r="H268" s="1" t="s">
        <v>516</v>
      </c>
      <c r="I268" s="9">
        <v>45349</v>
      </c>
      <c r="J268" s="1" t="s">
        <v>721</v>
      </c>
      <c r="K268" s="9">
        <v>45426</v>
      </c>
      <c r="L268" s="1"/>
      <c r="M268" s="9"/>
      <c r="O268" s="22">
        <f>IF(DIARIO[[#This Row],[Estatus]]="Proceso",SUMIFS(DIARIO[Entrada],DIARIO[Objeto de Gasto],DIARIO[[#This Row],[Objeto de Gasto]],DIARIO[Estatus],"Saldo Inicial"),0)-SUMIFS(DIARIO[Salida],DIARIO[Objeto de Gasto],DIARIO[[#This Row],[Objeto de Gasto]],DIARIO[Estatus],"Adjudicado")</f>
        <v>110047</v>
      </c>
      <c r="P268" s="4">
        <f t="shared" si="33"/>
        <v>-110047</v>
      </c>
      <c r="Q268" s="23" t="s">
        <v>14</v>
      </c>
      <c r="R268" s="39"/>
      <c r="S268" s="6"/>
    </row>
    <row r="269" spans="1:19" ht="30" hidden="1" x14ac:dyDescent="0.25">
      <c r="A269" s="44">
        <f>ROW(DIARIO[[#This Row],[Nombre de Cuenta]])-$A$177-1</f>
        <v>92</v>
      </c>
      <c r="B269" s="23" t="s">
        <v>9</v>
      </c>
      <c r="C269" s="34" t="s">
        <v>426</v>
      </c>
      <c r="D269" s="7">
        <f>VLOOKUP(C269,CATALOGO[],2,FALSE)</f>
        <v>60</v>
      </c>
      <c r="E269" s="36" t="str">
        <f>VLOOKUP(DIARIO[[#This Row],[Objeto de Gasto]],CATALOGO[],3,FALSE)</f>
        <v>45100 Aplicaciones Informaticas</v>
      </c>
      <c r="F269" s="1" t="s">
        <v>19</v>
      </c>
      <c r="G269" s="6" t="s">
        <v>547</v>
      </c>
      <c r="H269" s="1" t="s">
        <v>537</v>
      </c>
      <c r="I269" s="9">
        <v>45365</v>
      </c>
      <c r="J269" s="1" t="s">
        <v>721</v>
      </c>
      <c r="K269" s="9">
        <v>45426</v>
      </c>
      <c r="L269" s="1"/>
      <c r="M269" s="9"/>
      <c r="O269" s="22">
        <f>IF(DIARIO[[#This Row],[Estatus]]="Proceso",SUMIFS(DIARIO[Entrada],DIARIO[Objeto de Gasto],DIARIO[[#This Row],[Objeto de Gasto]],DIARIO[Estatus],"Saldo Inicial"),0)-SUMIFS(DIARIO[Salida],DIARIO[Objeto de Gasto],DIARIO[[#This Row],[Objeto de Gasto]],DIARIO[Estatus],"Adjudicado")</f>
        <v>200000</v>
      </c>
      <c r="P269" s="4">
        <f t="shared" si="33"/>
        <v>-200000</v>
      </c>
      <c r="Q269" s="23" t="s">
        <v>14</v>
      </c>
      <c r="R269" s="39"/>
      <c r="S269" s="6"/>
    </row>
    <row r="270" spans="1:19" ht="30" hidden="1" x14ac:dyDescent="0.25">
      <c r="A270" s="44">
        <f>ROW(DIARIO[[#This Row],[Nombre de Cuenta]])-$A$177-1</f>
        <v>93</v>
      </c>
      <c r="B270" s="23" t="s">
        <v>9</v>
      </c>
      <c r="C270" s="34" t="s">
        <v>717</v>
      </c>
      <c r="D270" s="7">
        <f>VLOOKUP(C270,CATALOGO[],2,FALSE)</f>
        <v>68</v>
      </c>
      <c r="E270" s="36" t="str">
        <f>VLOOKUP(DIARIO[[#This Row],[Objeto de Gasto]],CATALOGO[],3,FALSE)</f>
        <v>42510 Equipo de Comunicación</v>
      </c>
      <c r="F270" s="1" t="s">
        <v>11</v>
      </c>
      <c r="G270" s="6" t="s">
        <v>729</v>
      </c>
      <c r="H270" s="1" t="s">
        <v>730</v>
      </c>
      <c r="I270" s="9">
        <v>45427</v>
      </c>
      <c r="J270" s="1" t="s">
        <v>731</v>
      </c>
      <c r="K270" s="9">
        <v>45428</v>
      </c>
      <c r="L270" s="1"/>
      <c r="M270" s="9"/>
      <c r="O27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0" s="4">
        <f t="shared" ref="P270:P275" si="34">N270-O270</f>
        <v>-300000</v>
      </c>
      <c r="Q270" s="23" t="s">
        <v>14</v>
      </c>
      <c r="R270" s="39" t="s">
        <v>942</v>
      </c>
      <c r="S270" s="6"/>
    </row>
    <row r="271" spans="1:19" ht="45" hidden="1" x14ac:dyDescent="0.25">
      <c r="A271" s="44">
        <f>ROW(DIARIO[[#This Row],[Nombre de Cuenta]])-$A$177-1</f>
        <v>94</v>
      </c>
      <c r="B271" s="23" t="s">
        <v>9</v>
      </c>
      <c r="C271" s="34" t="s">
        <v>286</v>
      </c>
      <c r="D271" s="7">
        <f>VLOOKUP(C271,CATALOGO[],2,FALSE)</f>
        <v>52</v>
      </c>
      <c r="E271" s="36" t="str">
        <f>VLOOKUP(DIARIO[[#This Row],[Objeto de Gasto]],CATALOGO[],3,FALSE)</f>
        <v>39600 Otros Repuestos Y Accesorios Menores</v>
      </c>
      <c r="F271" s="1" t="s">
        <v>15</v>
      </c>
      <c r="G271" s="6" t="s">
        <v>733</v>
      </c>
      <c r="H271" s="1" t="s">
        <v>734</v>
      </c>
      <c r="I271" s="9">
        <v>45436</v>
      </c>
      <c r="J271" s="1" t="s">
        <v>745</v>
      </c>
      <c r="K271" s="9">
        <v>45439</v>
      </c>
      <c r="L271" s="1"/>
      <c r="M271" s="9"/>
      <c r="O27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287680</v>
      </c>
      <c r="P271" s="4">
        <f t="shared" si="34"/>
        <v>-287680</v>
      </c>
      <c r="Q271" s="23" t="s">
        <v>14</v>
      </c>
      <c r="R271" s="39"/>
      <c r="S271" s="6"/>
    </row>
    <row r="272" spans="1:19" ht="30" hidden="1" x14ac:dyDescent="0.25">
      <c r="A272" s="44">
        <f>ROW(DIARIO[[#This Row],[Nombre de Cuenta]])-$A$177-1</f>
        <v>95</v>
      </c>
      <c r="B272" s="23" t="s">
        <v>9</v>
      </c>
      <c r="C272" s="34" t="s">
        <v>287</v>
      </c>
      <c r="D272" s="7">
        <f>VLOOKUP(C272,CATALOGO[],2,FALSE)</f>
        <v>52</v>
      </c>
      <c r="E272" s="36" t="str">
        <f>VLOOKUP(DIARIO[[#This Row],[Objeto de Gasto]],CATALOGO[],3,FALSE)</f>
        <v>39600 Otros Repuestos Y Accesorios Menores</v>
      </c>
      <c r="F272" s="1" t="s">
        <v>15</v>
      </c>
      <c r="G272" s="6" t="s">
        <v>736</v>
      </c>
      <c r="H272" s="1" t="s">
        <v>735</v>
      </c>
      <c r="I272" s="9">
        <v>45436</v>
      </c>
      <c r="J272" s="1" t="s">
        <v>745</v>
      </c>
      <c r="K272" s="9">
        <v>45439</v>
      </c>
      <c r="L272" s="1"/>
      <c r="M272" s="9"/>
      <c r="O272"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159220</v>
      </c>
      <c r="P272" s="4">
        <f t="shared" si="34"/>
        <v>-159220</v>
      </c>
      <c r="Q272" s="23" t="s">
        <v>14</v>
      </c>
      <c r="R272" s="39"/>
      <c r="S272" s="6"/>
    </row>
    <row r="273" spans="1:22" ht="45" hidden="1" x14ac:dyDescent="0.25">
      <c r="A273" s="44">
        <f>ROW(DIARIO[[#This Row],[Nombre de Cuenta]])-$A$177-1</f>
        <v>96</v>
      </c>
      <c r="B273" s="23" t="s">
        <v>9</v>
      </c>
      <c r="C273" s="34" t="s">
        <v>101</v>
      </c>
      <c r="D273" s="7">
        <f>VLOOKUP(C273,CATALOGO[],2,FALSE)</f>
        <v>15</v>
      </c>
      <c r="E273" s="36" t="str">
        <f>VLOOKUP(DIARIO[[#This Row],[Objeto de Gasto]],CATALOGO[],3,FALSE)</f>
        <v>23200 Mantenimiento Y Reparacion De Equipos Y Medios De Transporte Terrestre</v>
      </c>
      <c r="F273" s="1" t="s">
        <v>11</v>
      </c>
      <c r="G273" s="6" t="s">
        <v>737</v>
      </c>
      <c r="H273" s="1" t="s">
        <v>738</v>
      </c>
      <c r="I273" s="9">
        <v>45436</v>
      </c>
      <c r="J273" s="1" t="s">
        <v>744</v>
      </c>
      <c r="K273" s="9">
        <v>45439</v>
      </c>
      <c r="L273" s="1"/>
      <c r="M273" s="9"/>
      <c r="O273"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300000</v>
      </c>
      <c r="P273" s="4">
        <f t="shared" si="34"/>
        <v>-300000</v>
      </c>
      <c r="Q273" s="23" t="s">
        <v>14</v>
      </c>
      <c r="R273" s="39"/>
      <c r="S273" s="6"/>
    </row>
    <row r="274" spans="1:22" hidden="1" x14ac:dyDescent="0.25">
      <c r="A274" s="44">
        <f>ROW(DIARIO[[#This Row],[Nombre de Cuenta]])-$A$177-1</f>
        <v>97</v>
      </c>
      <c r="B274" s="23" t="s">
        <v>30</v>
      </c>
      <c r="C274" s="34" t="s">
        <v>201</v>
      </c>
      <c r="D274" s="7">
        <f>VLOOKUP(C274,CATALOGO[],2,FALSE)</f>
        <v>35</v>
      </c>
      <c r="E274" s="36" t="str">
        <f>VLOOKUP(DIARIO[[#This Row],[Objeto de Gasto]],CATALOGO[],3,FALSE)</f>
        <v>34400 Llantas Y Camaras De Aire</v>
      </c>
      <c r="F274" s="1" t="s">
        <v>11</v>
      </c>
      <c r="G274" s="6" t="s">
        <v>742</v>
      </c>
      <c r="H274" s="1" t="s">
        <v>740</v>
      </c>
      <c r="I274" s="9">
        <v>45421</v>
      </c>
      <c r="J274" s="1" t="s">
        <v>743</v>
      </c>
      <c r="K274" s="9">
        <v>45441</v>
      </c>
      <c r="L274" s="1"/>
      <c r="M274" s="9"/>
      <c r="O274"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100000</v>
      </c>
      <c r="P274" s="4">
        <f t="shared" si="34"/>
        <v>-100000</v>
      </c>
      <c r="Q274" s="23" t="s">
        <v>14</v>
      </c>
      <c r="R274" s="39"/>
      <c r="S274" s="6"/>
    </row>
    <row r="275" spans="1:22" hidden="1" x14ac:dyDescent="0.25">
      <c r="A275" s="44">
        <f>ROW(DIARIO[[#This Row],[Nombre de Cuenta]])-$A$177-1</f>
        <v>98</v>
      </c>
      <c r="B275" s="23" t="s">
        <v>30</v>
      </c>
      <c r="C275" s="34" t="s">
        <v>202</v>
      </c>
      <c r="D275" s="7">
        <f>VLOOKUP(C275,CATALOGO[],2,FALSE)</f>
        <v>35</v>
      </c>
      <c r="E275" s="36" t="str">
        <f>VLOOKUP(DIARIO[[#This Row],[Objeto de Gasto]],CATALOGO[],3,FALSE)</f>
        <v>34400 Llantas Y Camaras De Aire</v>
      </c>
      <c r="F275" s="1" t="s">
        <v>11</v>
      </c>
      <c r="G275" s="6" t="s">
        <v>741</v>
      </c>
      <c r="H275" s="1" t="s">
        <v>739</v>
      </c>
      <c r="I275" s="9">
        <v>45421</v>
      </c>
      <c r="J275" s="1" t="s">
        <v>743</v>
      </c>
      <c r="K275" s="9">
        <v>45441</v>
      </c>
      <c r="L275" s="1"/>
      <c r="M275" s="9"/>
      <c r="O275"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80000</v>
      </c>
      <c r="P275" s="4">
        <f t="shared" si="34"/>
        <v>-80000</v>
      </c>
      <c r="Q275" s="23" t="s">
        <v>14</v>
      </c>
      <c r="R275" s="39"/>
      <c r="S275" s="6"/>
    </row>
    <row r="276" spans="1:22" hidden="1" x14ac:dyDescent="0.25">
      <c r="A276" s="44">
        <f>ROW(DIARIO[[#This Row],[Nombre de Cuenta]])-$A$177-1</f>
        <v>99</v>
      </c>
      <c r="B276" s="23" t="s">
        <v>30</v>
      </c>
      <c r="C276" s="34" t="s">
        <v>407</v>
      </c>
      <c r="D276" s="7">
        <f>VLOOKUP(C276,CATALOGO[],2,FALSE)</f>
        <v>35</v>
      </c>
      <c r="E276" s="36" t="str">
        <f>VLOOKUP(DIARIO[[#This Row],[Objeto de Gasto]],CATALOGO[],3,FALSE)</f>
        <v>34400 Llantas Y Camaras De Aire</v>
      </c>
      <c r="F276" s="1" t="s">
        <v>11</v>
      </c>
      <c r="G276" s="6" t="s">
        <v>747</v>
      </c>
      <c r="H276" s="1" t="s">
        <v>746</v>
      </c>
      <c r="I276" s="9">
        <v>45441</v>
      </c>
      <c r="J276" s="1" t="s">
        <v>743</v>
      </c>
      <c r="K276" s="9">
        <v>45441</v>
      </c>
      <c r="L276" s="1"/>
      <c r="M276" s="9"/>
      <c r="O276"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f>
        <v>209293</v>
      </c>
      <c r="P276" s="4">
        <f t="shared" ref="P276:P281" si="35">N276-O276</f>
        <v>-209293</v>
      </c>
      <c r="Q276" s="23" t="s">
        <v>14</v>
      </c>
      <c r="R276" s="39"/>
      <c r="S276" s="6"/>
    </row>
    <row r="277" spans="1:22" ht="30" hidden="1" x14ac:dyDescent="0.25">
      <c r="A277" s="44">
        <f>ROW(DIARIO[[#This Row],[Nombre de Cuenta]])-$A$177-1</f>
        <v>100</v>
      </c>
      <c r="B277" s="23" t="s">
        <v>30</v>
      </c>
      <c r="C277" s="34" t="s">
        <v>198</v>
      </c>
      <c r="D277" s="7">
        <f>VLOOKUP(C277,CATALOGO[],2,FALSE)</f>
        <v>35</v>
      </c>
      <c r="E277" s="36" t="str">
        <f>VLOOKUP(DIARIO[[#This Row],[Objeto de Gasto]],CATALOGO[],3,FALSE)</f>
        <v>34400 Llantas Y Camaras De Aire</v>
      </c>
      <c r="F277" s="1" t="s">
        <v>11</v>
      </c>
      <c r="G277" s="6" t="s">
        <v>748</v>
      </c>
      <c r="H277" s="1"/>
      <c r="I277" s="9"/>
      <c r="J277" s="1" t="s">
        <v>743</v>
      </c>
      <c r="K277" s="9">
        <v>45441</v>
      </c>
      <c r="L277" s="1"/>
      <c r="M277" s="9"/>
      <c r="O277"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255000</v>
      </c>
      <c r="P277" s="4">
        <f t="shared" si="35"/>
        <v>-255000</v>
      </c>
      <c r="Q277" s="23" t="s">
        <v>14</v>
      </c>
      <c r="R277" s="39"/>
      <c r="S277" s="6"/>
    </row>
    <row r="278" spans="1:22" ht="30" hidden="1" x14ac:dyDescent="0.25">
      <c r="A278" s="44">
        <f>ROW(DIARIO[[#This Row],[Nombre de Cuenta]])-$A$177-1</f>
        <v>101</v>
      </c>
      <c r="B278" s="23" t="s">
        <v>9</v>
      </c>
      <c r="C278" s="34" t="s">
        <v>397</v>
      </c>
      <c r="D278" s="7">
        <f>VLOOKUP(C278,CATALOGO[],2,FALSE)</f>
        <v>15</v>
      </c>
      <c r="E278" s="36" t="str">
        <f>VLOOKUP(DIARIO[[#This Row],[Objeto de Gasto]],CATALOGO[],3,FALSE)</f>
        <v>23200 Mantenimiento Y Reparacion De Equipos Y Medios De Transporte Terrestre</v>
      </c>
      <c r="F278" s="1" t="s">
        <v>11</v>
      </c>
      <c r="G278" s="6" t="s">
        <v>750</v>
      </c>
      <c r="H278" s="1" t="s">
        <v>752</v>
      </c>
      <c r="I278" s="9">
        <v>45415</v>
      </c>
      <c r="J278" s="1" t="s">
        <v>751</v>
      </c>
      <c r="K278" s="9">
        <v>45435</v>
      </c>
      <c r="L278" s="1"/>
      <c r="M278" s="9"/>
      <c r="O278"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49780</v>
      </c>
      <c r="P278" s="4">
        <f t="shared" si="35"/>
        <v>-49780</v>
      </c>
      <c r="Q278" s="23" t="s">
        <v>14</v>
      </c>
      <c r="R278" s="39" t="s">
        <v>941</v>
      </c>
      <c r="S278" s="6"/>
    </row>
    <row r="279" spans="1:22" hidden="1" x14ac:dyDescent="0.25">
      <c r="A279" s="44">
        <f>ROW(DIARIO[[#This Row],[Nombre de Cuenta]])-$A$177-1</f>
        <v>102</v>
      </c>
      <c r="B279" s="23" t="s">
        <v>30</v>
      </c>
      <c r="C279" s="34" t="s">
        <v>419</v>
      </c>
      <c r="D279" s="7">
        <f>VLOOKUP(C279,CATALOGO[],2,FALSE)</f>
        <v>52</v>
      </c>
      <c r="E279" s="36" t="str">
        <f>VLOOKUP(DIARIO[[#This Row],[Objeto de Gasto]],CATALOGO[],3,FALSE)</f>
        <v>39600 Otros Repuestos Y Accesorios Menores</v>
      </c>
      <c r="F279" s="1" t="s">
        <v>11</v>
      </c>
      <c r="G279" s="6" t="s">
        <v>753</v>
      </c>
      <c r="H279" s="1"/>
      <c r="I279" s="9"/>
      <c r="J279" s="1" t="s">
        <v>754</v>
      </c>
      <c r="K279" s="9">
        <v>45446</v>
      </c>
      <c r="L279" s="1"/>
      <c r="M279" s="9"/>
      <c r="O279"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274186</v>
      </c>
      <c r="P279" s="4">
        <f t="shared" si="35"/>
        <v>-274186</v>
      </c>
      <c r="Q279" s="23" t="s">
        <v>14</v>
      </c>
      <c r="R279" s="39" t="s">
        <v>956</v>
      </c>
      <c r="S279" s="6" t="s">
        <v>947</v>
      </c>
    </row>
    <row r="280" spans="1:22" ht="30" hidden="1" x14ac:dyDescent="0.25">
      <c r="A280" s="44">
        <f>ROW(DIARIO[[#This Row],[Nombre de Cuenta]])-$A$177-1</f>
        <v>103</v>
      </c>
      <c r="B280" s="23" t="s">
        <v>9</v>
      </c>
      <c r="C280" s="34" t="s">
        <v>247</v>
      </c>
      <c r="D280" s="7">
        <f>VLOOKUP(C280,CATALOGO[],2,FALSE)</f>
        <v>44</v>
      </c>
      <c r="E280" s="36" t="str">
        <f>VLOOKUP(DIARIO[[#This Row],[Objeto de Gasto]],CATALOGO[],3,FALSE)</f>
        <v>35650 Aceites Y Grasas Lubricantes</v>
      </c>
      <c r="F280" s="1" t="s">
        <v>11</v>
      </c>
      <c r="G280" s="6" t="s">
        <v>778</v>
      </c>
      <c r="H280" s="1" t="s">
        <v>779</v>
      </c>
      <c r="I280" s="113">
        <v>45421</v>
      </c>
      <c r="J280" s="1" t="s">
        <v>780</v>
      </c>
      <c r="K280" s="113">
        <v>45433</v>
      </c>
      <c r="L280" s="1"/>
      <c r="M280" s="113"/>
      <c r="O280"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38400</v>
      </c>
      <c r="P280" s="4">
        <f t="shared" si="35"/>
        <v>-38400</v>
      </c>
      <c r="Q280" s="23" t="s">
        <v>14</v>
      </c>
      <c r="R280" s="39"/>
      <c r="S280" s="6"/>
    </row>
    <row r="281" spans="1:22" ht="45" hidden="1" x14ac:dyDescent="0.25">
      <c r="A281" s="44">
        <f>ROW(DIARIO[[#This Row],[Nombre de Cuenta]])-$A$177-1</f>
        <v>104</v>
      </c>
      <c r="B281" s="23" t="s">
        <v>30</v>
      </c>
      <c r="C281" s="34" t="s">
        <v>416</v>
      </c>
      <c r="D281" s="7">
        <f>VLOOKUP(C281,CATALOGO[],2,FALSE)</f>
        <v>48</v>
      </c>
      <c r="E281" s="36" t="str">
        <f>VLOOKUP(DIARIO[[#This Row],[Objeto de Gasto]],CATALOGO[],3,FALSE)</f>
        <v>39200 Utiles De Esritorio, Oficina  Y Enseñanza</v>
      </c>
      <c r="F281" s="1" t="s">
        <v>15</v>
      </c>
      <c r="G281" s="6" t="s">
        <v>920</v>
      </c>
      <c r="H281" s="1"/>
      <c r="I281" s="113"/>
      <c r="J281" s="1" t="s">
        <v>921</v>
      </c>
      <c r="K281" s="113">
        <v>45457</v>
      </c>
      <c r="L281" s="1"/>
      <c r="M281" s="113"/>
      <c r="O281" s="22">
        <f>IF(DIARIO[[#This Row],[Estatus]]="Proceso",SUMIFS(DIARIO[Entrada],DIARIO[Objeto de Gasto],DIARIO[[#This Row],[Objeto de Gasto]],DIARIO[Estatus],"Saldo Inicial"),0)-SUMIFS(DIARIO[Salida],DIARIO[Objeto de Gasto],DIARIO[[#This Row],[Objeto de Gasto]],DIARIO[Estatus],"Adjudicado")+SUMIFS(DIARIO[Entrada],DIARIO[Objeto de Gasto],DIARIO[[#This Row],[Objeto de Gasto]],DIARIO[Estatus],"Modificaciones")-SUMIFS(DIARIO[Salida],DIARIO[Objeto de Gasto],DIARIO[[#This Row],[Objeto de Gasto]],DIARIO[Estatus],"Modificaciones")</f>
        <v>671032.43999999994</v>
      </c>
      <c r="P281" s="4">
        <f t="shared" si="35"/>
        <v>-671032.43999999994</v>
      </c>
      <c r="Q281" s="23" t="s">
        <v>14</v>
      </c>
      <c r="R281" s="39"/>
      <c r="S281" s="6"/>
    </row>
    <row r="282" spans="1:22" ht="45" hidden="1" x14ac:dyDescent="0.25">
      <c r="A282" s="44">
        <f>ROW(DIARIO[[#This Row],[Nombre de Cuenta]])-$A$177-1</f>
        <v>105</v>
      </c>
      <c r="B282" s="23" t="s">
        <v>30</v>
      </c>
      <c r="C282" s="34" t="s">
        <v>319</v>
      </c>
      <c r="D282" s="7">
        <f>VLOOKUP(C282,CATALOGO[],2,FALSE)</f>
        <v>59</v>
      </c>
      <c r="E282" s="36" t="str">
        <f>VLOOKUP(DIARIO[[#This Row],[Objeto de Gasto]],CATALOGO[],3,FALSE)</f>
        <v>42600 Equipo Para Computacion</v>
      </c>
      <c r="F282" s="1" t="s">
        <v>19</v>
      </c>
      <c r="G282" s="6" t="s">
        <v>924</v>
      </c>
      <c r="H282" s="1"/>
      <c r="I282" s="113"/>
      <c r="J282" s="1" t="s">
        <v>474</v>
      </c>
      <c r="K282" s="9">
        <v>45345</v>
      </c>
      <c r="L282" s="1"/>
      <c r="M282" s="113"/>
      <c r="O282" s="22">
        <v>30000</v>
      </c>
      <c r="P282" s="4">
        <f>N282-O282</f>
        <v>-30000</v>
      </c>
      <c r="Q282" s="23" t="s">
        <v>18</v>
      </c>
      <c r="R282" s="39"/>
      <c r="S282" s="6" t="s">
        <v>926</v>
      </c>
      <c r="V282" s="25"/>
    </row>
    <row r="283" spans="1:22" ht="45" hidden="1" x14ac:dyDescent="0.25">
      <c r="A283" s="44">
        <f>ROW(DIARIO[[#This Row],[Nombre de Cuenta]])-$A$177-1</f>
        <v>106</v>
      </c>
      <c r="B283" s="23" t="s">
        <v>9</v>
      </c>
      <c r="C283" s="34" t="s">
        <v>286</v>
      </c>
      <c r="D283" s="7">
        <f>VLOOKUP(C283,CATALOGO[],2,FALSE)</f>
        <v>52</v>
      </c>
      <c r="E283" s="36" t="str">
        <f>VLOOKUP(DIARIO[[#This Row],[Objeto de Gasto]],CATALOGO[],3,FALSE)</f>
        <v>39600 Otros Repuestos Y Accesorios Menores</v>
      </c>
      <c r="F283" s="1" t="s">
        <v>19</v>
      </c>
      <c r="G283" s="6" t="s">
        <v>937</v>
      </c>
      <c r="H283" s="1" t="s">
        <v>939</v>
      </c>
      <c r="I283" s="113">
        <v>45448</v>
      </c>
      <c r="J283" s="1" t="s">
        <v>938</v>
      </c>
      <c r="K283" s="113">
        <v>45449</v>
      </c>
      <c r="L283" s="1"/>
      <c r="M283" s="113"/>
      <c r="O283" s="22">
        <v>0</v>
      </c>
      <c r="P283" s="4">
        <f>N283-O283</f>
        <v>0</v>
      </c>
      <c r="Q283" s="23" t="s">
        <v>14</v>
      </c>
      <c r="R283" s="39" t="s">
        <v>956</v>
      </c>
      <c r="S283" s="6" t="s">
        <v>940</v>
      </c>
    </row>
    <row r="284" spans="1:22" ht="45" hidden="1" x14ac:dyDescent="0.25">
      <c r="A284" s="44">
        <f>ROW(DIARIO[[#This Row],[Nombre de Cuenta]])-$A$177-1</f>
        <v>107</v>
      </c>
      <c r="B284" s="23" t="s">
        <v>9</v>
      </c>
      <c r="C284" s="34" t="s">
        <v>287</v>
      </c>
      <c r="D284" s="7">
        <f>VLOOKUP(C284,CATALOGO[],2,FALSE)</f>
        <v>52</v>
      </c>
      <c r="E284" s="36" t="str">
        <f>VLOOKUP(DIARIO[[#This Row],[Objeto de Gasto]],CATALOGO[],3,FALSE)</f>
        <v>39600 Otros Repuestos Y Accesorios Menores</v>
      </c>
      <c r="F284" s="1" t="s">
        <v>19</v>
      </c>
      <c r="G284" s="6" t="s">
        <v>937</v>
      </c>
      <c r="H284" s="1" t="s">
        <v>939</v>
      </c>
      <c r="I284" s="113">
        <v>45448</v>
      </c>
      <c r="J284" s="1" t="s">
        <v>938</v>
      </c>
      <c r="K284" s="113">
        <v>45449</v>
      </c>
      <c r="L284" s="1"/>
      <c r="M284" s="113"/>
      <c r="O284" s="22">
        <v>0</v>
      </c>
      <c r="P284" s="4">
        <f>N284-O284</f>
        <v>0</v>
      </c>
      <c r="Q284" s="23" t="s">
        <v>14</v>
      </c>
      <c r="R284" s="39" t="s">
        <v>956</v>
      </c>
      <c r="S284" s="6" t="s">
        <v>940</v>
      </c>
    </row>
    <row r="286" spans="1:22" x14ac:dyDescent="0.25">
      <c r="E286" s="6">
        <v>277</v>
      </c>
    </row>
  </sheetData>
  <phoneticPr fontId="9" type="noConversion"/>
  <conditionalFormatting sqref="Q2:R284">
    <cfRule type="containsText" dxfId="118" priority="1" operator="containsText" text="Observaciones">
      <formula>NOT(ISERROR(SEARCH("Observaciones",Q2)))</formula>
    </cfRule>
    <cfRule type="containsText" dxfId="117" priority="2" operator="containsText" text="Proceso">
      <formula>NOT(ISERROR(SEARCH("Proceso",Q2)))</formula>
    </cfRule>
    <cfRule type="containsText" dxfId="116" priority="3" operator="containsText" text="Modificaciones">
      <formula>NOT(ISERROR(SEARCH("Modificaciones",Q2)))</formula>
    </cfRule>
    <cfRule type="containsText" dxfId="115" priority="4" operator="containsText" text="Proceso">
      <formula>NOT(ISERROR(SEARCH("Proceso",Q2)))</formula>
    </cfRule>
    <cfRule type="containsText" dxfId="114" priority="5" operator="containsText" text="Observaciones">
      <formula>NOT(ISERROR(SEARCH("Observaciones",Q2)))</formula>
    </cfRule>
    <cfRule type="containsText" dxfId="113" priority="6" operator="containsText" text="Observaciones">
      <formula>NOT(ISERROR(SEARCH("Observaciones",Q2)))</formula>
    </cfRule>
    <cfRule type="containsText" dxfId="112" priority="7" operator="containsText" text="Adjudicado">
      <formula>NOT(ISERROR(SEARCH("Adjudicado",Q2)))</formula>
    </cfRule>
    <cfRule type="containsText" dxfId="111" priority="8" operator="containsText" text="Desierto">
      <formula>NOT(ISERROR(SEARCH("Desierto",Q2)))</formula>
    </cfRule>
    <cfRule type="containsText" dxfId="110" priority="9" operator="containsText" text="Fracasado">
      <formula>NOT(ISERROR(SEARCH("Fracasado",Q2)))</formula>
    </cfRule>
    <cfRule type="containsText" dxfId="109" priority="10" operator="containsText" text="F'CATALAGO y LISTAS'!$H$6">
      <formula>NOT(ISERROR(SEARCH("F'CATALAGO y LISTAS'!$H$6",Q2)))</formula>
    </cfRule>
  </conditionalFormatting>
  <dataValidations count="3">
    <dataValidation type="list" allowBlank="1" showInputMessage="1" showErrorMessage="1" sqref="B2:B284" xr:uid="{E5A4EA42-AB34-4238-A870-4BB6E4FC2190}">
      <formula1>INDIRECT("COMPRAS[Tipo de Compra]")</formula1>
    </dataValidation>
    <dataValidation type="list" allowBlank="1" showInputMessage="1" showErrorMessage="1" sqref="F2:F284" xr:uid="{33482B32-5431-4811-8847-47F4D35E9D6D}">
      <formula1>INDIRECT("RESPONSABLES[Responsables]")</formula1>
    </dataValidation>
    <dataValidation type="list" allowBlank="1" showInputMessage="1" showErrorMessage="1" sqref="Q2:Q284" xr:uid="{5DAC9189-CBE9-40D3-930B-624B05AC8F03}">
      <formula1>INDIRECT("ESTATUS[Estatus]")</formula1>
    </dataValidation>
  </dataValidations>
  <printOptions horizontalCentered="1" verticalCentered="1"/>
  <pageMargins left="0.23622047244094491" right="0.23622047244094491" top="0.74803149606299213" bottom="0.74803149606299213" header="0.31496062992125984" footer="0.31496062992125984"/>
  <pageSetup scale="55" orientation="landscape" r:id="rId1"/>
  <ignoredErrors>
    <ignoredError sqref="A182:A264 A178 A179:A181 A265:A284" calculatedColumn="1"/>
  </ignoredError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58D25-C2DF-4A93-B80F-BE76A835CE65}">
  <sheetPr codeName="Hoja4"/>
  <dimension ref="A2:FL282"/>
  <sheetViews>
    <sheetView topLeftCell="A3" zoomScaleNormal="100" workbookViewId="0">
      <selection activeCell="P11" sqref="P11"/>
    </sheetView>
  </sheetViews>
  <sheetFormatPr baseColWidth="10" defaultColWidth="11.42578125" defaultRowHeight="15" x14ac:dyDescent="0.25"/>
  <cols>
    <col min="1" max="1" width="5.85546875" style="20" customWidth="1"/>
    <col min="2" max="2" width="16.5703125" style="20" customWidth="1"/>
    <col min="3" max="3" width="16.28515625" style="20" bestFit="1" customWidth="1"/>
    <col min="4" max="4" width="18.85546875" style="20" customWidth="1"/>
    <col min="5" max="5" width="16.28515625" style="20" bestFit="1" customWidth="1"/>
    <col min="6" max="7" width="16.28515625" style="20" customWidth="1"/>
    <col min="8" max="8" width="3.7109375" style="20" customWidth="1"/>
    <col min="9" max="11" width="16.140625" style="20" bestFit="1" customWidth="1"/>
    <col min="12" max="13" width="15" style="20" bestFit="1" customWidth="1"/>
    <col min="14" max="15" width="16.140625" style="20" bestFit="1" customWidth="1"/>
    <col min="16" max="16" width="16.140625" style="20" customWidth="1"/>
    <col min="17" max="17" width="3.7109375" style="20" customWidth="1"/>
    <col min="18" max="18" width="11.42578125" style="20"/>
    <col min="19" max="19" width="16.140625" style="20" customWidth="1"/>
    <col min="20" max="20" width="16.140625" style="20" bestFit="1" customWidth="1"/>
    <col min="21" max="21" width="13.140625" style="20" customWidth="1"/>
    <col min="22" max="22" width="22.5703125" style="20" customWidth="1"/>
    <col min="23" max="23" width="16.140625" style="20" bestFit="1" customWidth="1"/>
    <col min="24" max="24" width="14" style="20" bestFit="1" customWidth="1"/>
    <col min="25" max="25" width="3.7109375" style="20" customWidth="1"/>
    <col min="26" max="26" width="11.42578125" style="20"/>
    <col min="27" max="27" width="37.140625" style="20" customWidth="1"/>
    <col min="28" max="29" width="16.140625" style="20" bestFit="1" customWidth="1"/>
    <col min="30" max="31" width="15" style="20" bestFit="1" customWidth="1"/>
    <col min="32" max="32" width="16.140625" style="20" bestFit="1" customWidth="1"/>
    <col min="33" max="33" width="11.42578125" style="20"/>
    <col min="34" max="34" width="3.7109375" style="20" customWidth="1"/>
    <col min="35" max="35" width="11.42578125" style="20"/>
    <col min="36" max="36" width="19.5703125" style="20" bestFit="1" customWidth="1"/>
    <col min="37" max="37" width="12.7109375" style="20" bestFit="1" customWidth="1"/>
    <col min="38" max="40" width="12.7109375" style="20" customWidth="1"/>
    <col min="41" max="41" width="14.5703125" style="20" customWidth="1"/>
    <col min="42" max="42" width="12.7109375" style="20" customWidth="1"/>
    <col min="43" max="46" width="12.7109375" style="20" bestFit="1" customWidth="1"/>
    <col min="47" max="47" width="15.28515625" style="20" bestFit="1" customWidth="1"/>
    <col min="48" max="48" width="12.7109375" style="20" bestFit="1" customWidth="1"/>
    <col min="49" max="49" width="9.140625" style="20" bestFit="1" customWidth="1"/>
    <col min="50" max="50" width="10" style="20" bestFit="1" customWidth="1"/>
    <col min="51" max="51" width="15.28515625" style="20" bestFit="1" customWidth="1"/>
    <col min="52" max="52" width="12.7109375" style="20" bestFit="1" customWidth="1"/>
    <col min="53" max="53" width="9.140625" style="20" bestFit="1" customWidth="1"/>
    <col min="54" max="54" width="10" style="20" bestFit="1" customWidth="1"/>
    <col min="55" max="55" width="15.28515625" style="20" bestFit="1" customWidth="1"/>
    <col min="56" max="56" width="12.7109375" style="20" bestFit="1" customWidth="1"/>
    <col min="57" max="57" width="9.140625" style="20" bestFit="1" customWidth="1"/>
    <col min="58" max="58" width="10" style="20" bestFit="1" customWidth="1"/>
    <col min="59" max="59" width="15.28515625" style="20" bestFit="1" customWidth="1"/>
    <col min="60" max="60" width="12.7109375" style="20" bestFit="1" customWidth="1"/>
    <col min="61" max="61" width="10" style="20" bestFit="1" customWidth="1"/>
    <col min="62" max="62" width="12.7109375" style="20" bestFit="1" customWidth="1"/>
    <col min="63" max="63" width="15.28515625" style="20" bestFit="1" customWidth="1"/>
    <col min="64" max="64" width="9.140625" style="20" bestFit="1" customWidth="1"/>
    <col min="65" max="65" width="10" style="20" bestFit="1" customWidth="1"/>
    <col min="66" max="66" width="15.28515625" style="20" bestFit="1" customWidth="1"/>
    <col min="67" max="67" width="12.7109375" style="20" bestFit="1" customWidth="1"/>
    <col min="68" max="68" width="9.140625" style="20" bestFit="1" customWidth="1"/>
    <col min="69" max="69" width="10" style="20" bestFit="1" customWidth="1"/>
    <col min="70" max="70" width="9.140625" style="20" bestFit="1" customWidth="1"/>
    <col min="71" max="71" width="10" style="20" bestFit="1" customWidth="1"/>
    <col min="72" max="72" width="15.28515625" style="20" bestFit="1" customWidth="1"/>
    <col min="73" max="73" width="10" style="20" bestFit="1" customWidth="1"/>
    <col min="74" max="74" width="15.28515625" style="20" bestFit="1" customWidth="1"/>
    <col min="75" max="75" width="9.140625" style="20" bestFit="1" customWidth="1"/>
    <col min="76" max="77" width="10" style="20" bestFit="1" customWidth="1"/>
    <col min="78" max="78" width="15.28515625" style="20" bestFit="1" customWidth="1"/>
    <col min="79" max="79" width="12.7109375" style="20" bestFit="1" customWidth="1"/>
    <col min="80" max="80" width="9.140625" style="20" bestFit="1" customWidth="1"/>
    <col min="81" max="81" width="10" style="20" bestFit="1" customWidth="1"/>
    <col min="82" max="82" width="12.7109375" style="20" bestFit="1" customWidth="1"/>
    <col min="83" max="83" width="15.28515625" style="20" bestFit="1" customWidth="1"/>
    <col min="84" max="84" width="12.7109375" style="20" bestFit="1" customWidth="1"/>
    <col min="85" max="85" width="9.140625" style="20" bestFit="1" customWidth="1"/>
    <col min="86" max="86" width="10" style="20" bestFit="1" customWidth="1"/>
    <col min="87" max="87" width="12.7109375" style="20" bestFit="1" customWidth="1"/>
    <col min="88" max="88" width="13.42578125" style="20" bestFit="1" customWidth="1"/>
    <col min="89" max="89" width="9.140625" style="20" bestFit="1" customWidth="1"/>
    <col min="90" max="90" width="10" style="20" bestFit="1" customWidth="1"/>
    <col min="91" max="91" width="9.140625" style="20" bestFit="1" customWidth="1"/>
    <col min="92" max="92" width="10" style="20" bestFit="1" customWidth="1"/>
    <col min="93" max="93" width="15.28515625" style="20" bestFit="1" customWidth="1"/>
    <col min="94" max="94" width="12.7109375" style="20" bestFit="1" customWidth="1"/>
    <col min="95" max="95" width="9.140625" style="20" bestFit="1" customWidth="1"/>
    <col min="96" max="96" width="10" style="20" bestFit="1" customWidth="1"/>
    <col min="97" max="97" width="15.28515625" style="20" bestFit="1" customWidth="1"/>
    <col min="98" max="98" width="9.140625" style="20" bestFit="1" customWidth="1"/>
    <col min="99" max="99" width="10" style="20" bestFit="1" customWidth="1"/>
    <col min="100" max="101" width="15.28515625" style="20" bestFit="1" customWidth="1"/>
    <col min="102" max="102" width="12.7109375" style="20" bestFit="1" customWidth="1"/>
    <col min="103" max="103" width="9.140625" style="20" bestFit="1" customWidth="1"/>
    <col min="104" max="104" width="10" style="20" bestFit="1" customWidth="1"/>
    <col min="105" max="105" width="15.28515625" style="20" bestFit="1" customWidth="1"/>
    <col min="106" max="106" width="9.140625" style="20" bestFit="1" customWidth="1"/>
    <col min="107" max="107" width="10" style="20" bestFit="1" customWidth="1"/>
    <col min="108" max="108" width="15.28515625" style="20" bestFit="1" customWidth="1"/>
    <col min="109" max="109" width="12.7109375" style="20" bestFit="1" customWidth="1"/>
    <col min="110" max="110" width="9.140625" style="20" bestFit="1" customWidth="1"/>
    <col min="111" max="111" width="10" style="20" bestFit="1" customWidth="1"/>
    <col min="112" max="112" width="15.28515625" style="20" bestFit="1" customWidth="1"/>
    <col min="113" max="114" width="10" style="20" bestFit="1" customWidth="1"/>
    <col min="115" max="115" width="15.28515625" style="20" bestFit="1" customWidth="1"/>
    <col min="116" max="116" width="9.140625" style="20" bestFit="1" customWidth="1"/>
    <col min="117" max="117" width="10" style="20" bestFit="1" customWidth="1"/>
    <col min="118" max="120" width="15.28515625" style="20" bestFit="1" customWidth="1"/>
    <col min="121" max="121" width="9.140625" style="20" bestFit="1" customWidth="1"/>
    <col min="122" max="122" width="10" style="20" bestFit="1" customWidth="1"/>
    <col min="123" max="123" width="15.28515625" style="20" bestFit="1" customWidth="1"/>
    <col min="124" max="124" width="12.7109375" style="20" bestFit="1" customWidth="1"/>
    <col min="125" max="126" width="9.140625" style="20" bestFit="1" customWidth="1"/>
    <col min="127" max="127" width="10" style="20" bestFit="1" customWidth="1"/>
    <col min="128" max="129" width="15.28515625" style="20" bestFit="1" customWidth="1"/>
    <col min="130" max="130" width="9.140625" style="20" bestFit="1" customWidth="1"/>
    <col min="131" max="131" width="10" style="20" bestFit="1" customWidth="1"/>
    <col min="132" max="132" width="15.28515625" style="20" bestFit="1" customWidth="1"/>
    <col min="133" max="133" width="12.7109375" style="20" bestFit="1" customWidth="1"/>
    <col min="134" max="134" width="9.140625" style="20" bestFit="1" customWidth="1"/>
    <col min="135" max="136" width="10" style="20" bestFit="1" customWidth="1"/>
    <col min="137" max="137" width="15.28515625" style="20" bestFit="1" customWidth="1"/>
    <col min="138" max="138" width="9.140625" style="20" bestFit="1" customWidth="1"/>
    <col min="139" max="140" width="10" style="20" bestFit="1" customWidth="1"/>
    <col min="141" max="141" width="15.28515625" style="20" bestFit="1" customWidth="1"/>
    <col min="142" max="142" width="9.140625" style="20" bestFit="1" customWidth="1"/>
    <col min="143" max="143" width="10" style="20" bestFit="1" customWidth="1"/>
    <col min="144" max="144" width="15.28515625" style="20" bestFit="1" customWidth="1"/>
    <col min="145" max="145" width="12.7109375" style="20" bestFit="1" customWidth="1"/>
    <col min="146" max="146" width="9.140625" style="20" bestFit="1" customWidth="1"/>
    <col min="147" max="147" width="10" style="20" bestFit="1" customWidth="1"/>
    <col min="148" max="148" width="15.28515625" style="20" bestFit="1" customWidth="1"/>
    <col min="149" max="149" width="9.140625" style="20" bestFit="1" customWidth="1"/>
    <col min="150" max="150" width="15.28515625" style="20" bestFit="1" customWidth="1"/>
    <col min="151" max="151" width="9.140625" style="20" bestFit="1" customWidth="1"/>
    <col min="152" max="152" width="10" style="20" bestFit="1" customWidth="1"/>
    <col min="153" max="155" width="15.28515625" style="20" bestFit="1" customWidth="1"/>
    <col min="156" max="156" width="9.140625" style="20" bestFit="1" customWidth="1"/>
    <col min="157" max="157" width="10" style="20" bestFit="1" customWidth="1"/>
    <col min="158" max="159" width="15.28515625" style="20" bestFit="1" customWidth="1"/>
    <col min="160" max="160" width="12.7109375" style="20" bestFit="1" customWidth="1"/>
    <col min="161" max="161" width="9.140625" style="20" bestFit="1" customWidth="1"/>
    <col min="162" max="162" width="10" style="20" bestFit="1" customWidth="1"/>
    <col min="163" max="163" width="15.28515625" style="20" bestFit="1" customWidth="1"/>
    <col min="164" max="164" width="9.140625" style="20" bestFit="1" customWidth="1"/>
    <col min="165" max="165" width="10" style="20" bestFit="1" customWidth="1"/>
    <col min="166" max="166" width="12.7109375" style="20" bestFit="1" customWidth="1"/>
    <col min="167" max="167" width="11" style="20" bestFit="1" customWidth="1"/>
    <col min="168" max="168" width="12.5703125" style="20" bestFit="1" customWidth="1"/>
    <col min="169" max="16384" width="11.42578125" style="20"/>
  </cols>
  <sheetData>
    <row r="2" spans="1:168" ht="15.75" thickBot="1" x14ac:dyDescent="0.3"/>
    <row r="3" spans="1:168" x14ac:dyDescent="0.25">
      <c r="A3" s="83"/>
      <c r="B3" s="84"/>
      <c r="C3" s="84"/>
      <c r="D3" s="84"/>
      <c r="E3" s="84"/>
      <c r="F3" s="84"/>
      <c r="G3" s="85"/>
      <c r="I3" s="83"/>
      <c r="J3" s="84"/>
      <c r="K3" s="84"/>
      <c r="L3" s="84"/>
      <c r="M3" s="84"/>
      <c r="N3" s="84"/>
      <c r="O3" s="84"/>
      <c r="P3" s="85"/>
      <c r="R3" s="83"/>
      <c r="S3" s="84"/>
      <c r="T3" s="84"/>
      <c r="U3" s="84"/>
      <c r="V3" s="84"/>
      <c r="W3" s="84"/>
      <c r="X3" s="85"/>
      <c r="Z3" s="83"/>
      <c r="AA3" s="84"/>
      <c r="AB3" s="84"/>
      <c r="AC3" s="84"/>
      <c r="AD3" s="84"/>
      <c r="AE3" s="84"/>
      <c r="AF3" s="84"/>
      <c r="AG3" s="85"/>
      <c r="AI3" s="83"/>
      <c r="AJ3" s="84"/>
      <c r="AK3" s="84"/>
      <c r="AL3" s="84"/>
      <c r="AM3" s="84"/>
      <c r="AN3" s="84"/>
      <c r="AO3" s="84"/>
      <c r="AP3" s="84"/>
      <c r="AQ3" s="84"/>
      <c r="AR3" s="85"/>
    </row>
    <row r="4" spans="1:168" ht="19.5" thickBot="1" x14ac:dyDescent="0.35">
      <c r="A4" s="86"/>
      <c r="B4" s="87" t="s">
        <v>565</v>
      </c>
      <c r="G4" s="88"/>
      <c r="I4" s="86"/>
      <c r="J4" s="87" t="s">
        <v>566</v>
      </c>
      <c r="P4" s="88"/>
      <c r="R4" s="86"/>
      <c r="S4" s="87" t="s">
        <v>710</v>
      </c>
      <c r="X4" s="88"/>
      <c r="Z4" s="86"/>
      <c r="AA4" s="87" t="s">
        <v>758</v>
      </c>
      <c r="AG4" s="88"/>
      <c r="AI4" s="86"/>
      <c r="AJ4" s="87" t="s">
        <v>771</v>
      </c>
      <c r="AR4" s="88"/>
    </row>
    <row r="5" spans="1:168" ht="15.75" thickBot="1" x14ac:dyDescent="0.3">
      <c r="A5" s="86"/>
      <c r="B5" s="5" t="s">
        <v>567</v>
      </c>
      <c r="C5" s="5" t="s">
        <v>568</v>
      </c>
      <c r="D5" s="5" t="s">
        <v>569</v>
      </c>
      <c r="E5" s="5" t="s">
        <v>570</v>
      </c>
      <c r="F5" s="44" t="s">
        <v>781</v>
      </c>
      <c r="G5" s="89"/>
      <c r="H5" s="82"/>
      <c r="I5" s="86"/>
      <c r="J5" s="5" t="s">
        <v>571</v>
      </c>
      <c r="K5" s="5" t="s">
        <v>572</v>
      </c>
      <c r="L5" s="5" t="s">
        <v>573</v>
      </c>
      <c r="M5" s="5" t="s">
        <v>574</v>
      </c>
      <c r="N5" s="5" t="s">
        <v>575</v>
      </c>
      <c r="O5" s="5" t="s">
        <v>576</v>
      </c>
      <c r="P5" s="89"/>
      <c r="Q5" s="82"/>
      <c r="R5" s="86"/>
      <c r="S5" s="71" t="s">
        <v>707</v>
      </c>
      <c r="T5" s="74" t="s">
        <v>706</v>
      </c>
      <c r="U5" s="72" t="s">
        <v>708</v>
      </c>
      <c r="V5" s="74" t="s">
        <v>709</v>
      </c>
      <c r="W5" s="72" t="s">
        <v>390</v>
      </c>
      <c r="X5" s="95"/>
      <c r="Z5" s="86"/>
      <c r="AA5" s="5" t="s">
        <v>759</v>
      </c>
      <c r="AB5" s="5" t="s">
        <v>575</v>
      </c>
      <c r="AC5" s="5" t="s">
        <v>572</v>
      </c>
      <c r="AD5" s="5" t="s">
        <v>580</v>
      </c>
      <c r="AE5" s="5" t="s">
        <v>574</v>
      </c>
      <c r="AF5" s="5" t="s">
        <v>581</v>
      </c>
      <c r="AG5" s="88"/>
      <c r="AI5" s="86"/>
      <c r="AJ5" s="112" t="s">
        <v>774</v>
      </c>
      <c r="AK5" s="112" t="s">
        <v>578</v>
      </c>
      <c r="AL5" s="112" t="s">
        <v>577</v>
      </c>
      <c r="AM5" s="112" t="s">
        <v>775</v>
      </c>
      <c r="AN5" s="112" t="s">
        <v>776</v>
      </c>
      <c r="AO5" s="112" t="s">
        <v>777</v>
      </c>
      <c r="AP5" s="112" t="s">
        <v>772</v>
      </c>
      <c r="AR5" s="88"/>
    </row>
    <row r="6" spans="1:168" ht="15.75" thickBot="1" x14ac:dyDescent="0.3">
      <c r="A6" s="86"/>
      <c r="B6" t="s">
        <v>575</v>
      </c>
      <c r="C6" s="90">
        <f>SUMIFS(DIARIO[Saldo],DIARIO[Estatus],"Saldo Inicial",DIARIO[Objeto de Gasto],"*SSRISS*")</f>
        <v>192078268.31999999</v>
      </c>
      <c r="D6" s="91">
        <f>SUMIFS(DIARIO[Saldo], DIARIO[Estatus],"Modificaciones",DIARIO[Objeto de Gasto],"*SSRISS*")</f>
        <v>1902994.715119414</v>
      </c>
      <c r="E6" s="25">
        <f>Tabla5[[#This Row],[APROBADO]]+Tabla5[[#This Row],[MODIFICACIONES]]</f>
        <v>193981263.03511941</v>
      </c>
      <c r="F6" s="101">
        <f>SUM(Tabla5[[#This Row],[DISPONIBLE]])/SUBTOTAL(109,Tabla5[DISPONIBLE])</f>
        <v>0.37938189402042133</v>
      </c>
      <c r="G6" s="92"/>
      <c r="H6" s="26"/>
      <c r="I6" s="86"/>
      <c r="J6" t="s">
        <v>579</v>
      </c>
      <c r="K6" s="90">
        <f>SUMIFS(DIARIO[Saldo],DIARIO[Estatus],"Saldo Inicial",DIARIO[Objeto de Gasto],"*VIH*")</f>
        <v>183420751.31</v>
      </c>
      <c r="L6" s="90">
        <f>SUMIFS(DIARIO[Saldo],DIARIO[Estatus],"Saldo Inicial",DIARIO[Objeto de Gasto],"*Malaria*")</f>
        <v>81855416.569999993</v>
      </c>
      <c r="M6" s="90">
        <f>SUMIFS(DIARIO[Saldo],DIARIO[Estatus],"Saldo Inicial",DIARIO[Objeto de Gasto],"*TB*")</f>
        <v>52589448.799999997</v>
      </c>
      <c r="N6" s="90">
        <f>SUMIFS(DIARIO[Saldo],DIARIO[Estatus],"Saldo Inicial",DIARIO[Objeto de Gasto],"*SSRISS*")</f>
        <v>192078268.31999999</v>
      </c>
      <c r="O6" s="90">
        <f>Tabla6[[#This Row],[VIH]]+Tabla6[[#This Row],[MARARIA]]+Tabla6[[#This Row],[TB]]+Tabla6[[#This Row],[SSRISS]]</f>
        <v>509943885</v>
      </c>
      <c r="P6" s="95"/>
      <c r="Q6" s="41"/>
      <c r="R6" s="86"/>
      <c r="S6" s="73">
        <f>SUM(K7:N7)/SUM(E6:E9)</f>
        <v>0.34411096196876756</v>
      </c>
      <c r="T6" s="75">
        <f>O7</f>
        <v>175946928.61999997</v>
      </c>
      <c r="U6" s="76">
        <f>O8/Tabla5[[#Totals],[DISPONIBLE]]</f>
        <v>0.21034405139204554</v>
      </c>
      <c r="V6" s="77">
        <f>SUM(DIARIO[Pagado])/SUMIFS(DIARIO[Salida],DIARIO[Estatus],"Adjudicado")</f>
        <v>0.78349915239344503</v>
      </c>
      <c r="W6" s="78">
        <f>SUM(DIARIO[Pagado])</f>
        <v>137854269.43999994</v>
      </c>
      <c r="X6" s="88"/>
      <c r="Z6" s="86"/>
      <c r="AA6" s="1" t="s">
        <v>762</v>
      </c>
      <c r="AB6" s="104">
        <f>SUMIFS(DIARIO[Entrada],DIARIO[Objeto de Gasto],"1*",DIARIO[Objeto de Gasto],"*SSRISS*")</f>
        <v>196205688.31999999</v>
      </c>
      <c r="AC6" s="104">
        <f>SUMIFS(DIARIO[Entrada],DIARIO[Objeto de Gasto],"1*",DIARIO[Objeto de Gasto],"*VIH*")</f>
        <v>44094786.310000002</v>
      </c>
      <c r="AD6" s="104">
        <f>SUMIFS(DIARIO[Entrada],DIARIO[Objeto de Gasto],"1*",DIARIO[Objeto de Gasto],"*MALARIA*")</f>
        <v>31918921.57</v>
      </c>
      <c r="AE6" s="104">
        <f>SUMIFS(DIARIO[Entrada],DIARIO[Objeto de Gasto],"1*",DIARIO[Objeto de Gasto],"*TB*")</f>
        <v>25699434.800000001</v>
      </c>
      <c r="AF6" s="105">
        <f>SUM(AB6:AE6)</f>
        <v>297918831</v>
      </c>
      <c r="AG6" s="88"/>
      <c r="AI6" s="86"/>
      <c r="AJ6" s="110" t="s">
        <v>572</v>
      </c>
      <c r="AK6" s="5">
        <f>COUNTIFS(DIARIO[Objeto de Gasto],"*VIH*",DIARIO[Estatus],$AK$5)-COUNTIFS(DIARIO[Objeto de Gasto],"*VIH*",DIARIO[Estatus],$AK$5,DIARIO[Responsable],"")</f>
        <v>10</v>
      </c>
      <c r="AL6" s="5">
        <f>COUNTIFS(DIARIO[Objeto de Gasto],"*VIH*",DIARIO[Estatus],$AL$5)</f>
        <v>15</v>
      </c>
      <c r="AM6" s="5">
        <f>COUNTIFS(DIARIO[Objeto de Gasto],"*VIH*",DIARIO[Estatus],$AM$5)</f>
        <v>0</v>
      </c>
      <c r="AN6" s="5">
        <f>COUNTIFS(DIARIO[Objeto de Gasto],"*VIH*",DIARIO[Estatus],$AN$5)</f>
        <v>1</v>
      </c>
      <c r="AO6" s="5">
        <f>COUNTIFS(DIARIO[Objeto de Gasto],"*VIH*",DIARIO[Estatus],$AO$5)</f>
        <v>4</v>
      </c>
      <c r="AP6" s="5">
        <f>SUM(Tabla11[[#This Row],[ADJUDICADO]:[OBSERVACIONES]])</f>
        <v>30</v>
      </c>
      <c r="AR6" s="88"/>
    </row>
    <row r="7" spans="1:168" x14ac:dyDescent="0.25">
      <c r="A7" s="86"/>
      <c r="B7" t="s">
        <v>572</v>
      </c>
      <c r="C7" s="90">
        <f>SUMIFS(DIARIO[Saldo],DIARIO[Estatus],"Saldo Inicial",DIARIO[Objeto de Gasto],"*VIH*")</f>
        <v>183420751.31</v>
      </c>
      <c r="D7" s="91">
        <f>SUMIFS(DIARIO[Saldo], DIARIO[Estatus],"Modificaciones",DIARIO[Objeto de Gasto],"*VIH*")</f>
        <v>-21516.804943887983</v>
      </c>
      <c r="E7" s="25">
        <f>Tabla5[[#This Row],[APROBADO]]+Tabla5[[#This Row],[MODIFICACIONES]]</f>
        <v>183399234.50505611</v>
      </c>
      <c r="F7" s="114">
        <f>SUM(Tabla5[[#This Row],[DISPONIBLE]])/SUBTOTAL(109,Tabla5[DISPONIBLE])</f>
        <v>0.35868592594856319</v>
      </c>
      <c r="G7" s="92"/>
      <c r="H7" s="26"/>
      <c r="I7" s="86"/>
      <c r="J7" t="s">
        <v>578</v>
      </c>
      <c r="K7" s="90">
        <f>-SUMIFS(DIARIO[Saldo],DIARIO[Estatus],"Adjudicado",DIARIO[Objeto de Gasto],"*VIH*")</f>
        <v>51493814.603175506</v>
      </c>
      <c r="L7" s="90">
        <f>-SUMIFS(DIARIO[Saldo],DIARIO[Estatus],"Adjudicado",DIARIO[Objeto de Gasto],"*Malaria*")</f>
        <v>32517909.523426622</v>
      </c>
      <c r="M7" s="90">
        <f>-SUMIFS(DIARIO[Saldo],DIARIO[Estatus],"Adjudicado",DIARIO[Objeto de Gasto],"*TB*")</f>
        <v>19108235.789793156</v>
      </c>
      <c r="N7" s="90">
        <f>-SUMIFS(DIARIO[Saldo],DIARIO[Estatus],"Adjudicado",DIARIO[Objeto de Gasto],"*SSRISS*")</f>
        <v>72826968.703604698</v>
      </c>
      <c r="O7" s="90">
        <f>Tabla6[[#This Row],[VIH]]+Tabla6[[#This Row],[MARARIA]]+Tabla6[[#This Row],[TB]]+Tabla6[[#This Row],[SSRISS]]</f>
        <v>175946928.61999997</v>
      </c>
      <c r="P7" s="95"/>
      <c r="Q7" s="41"/>
      <c r="R7" s="86"/>
      <c r="X7" s="88"/>
      <c r="Z7" s="86"/>
      <c r="AA7" s="1" t="s">
        <v>761</v>
      </c>
      <c r="AB7" s="104">
        <f>SUMIFS(DIARIO[Entrada],DIARIO[Objeto de Gasto],"2*",DIARIO[Objeto de Gasto],"*SSRISS*")</f>
        <v>1398254</v>
      </c>
      <c r="AC7" s="104">
        <f>SUMIFS(DIARIO[Entrada],DIARIO[Objeto de Gasto],"2*",DIARIO[Objeto de Gasto],"*VIH*")</f>
        <v>6826958</v>
      </c>
      <c r="AD7" s="104">
        <f>SUMIFS(DIARIO[Entrada],DIARIO[Objeto de Gasto],"2*",DIARIO[Objeto de Gasto],"*MALARIA*")</f>
        <v>2707845</v>
      </c>
      <c r="AE7" s="104">
        <f>SUMIFS(DIARIO[Entrada],DIARIO[Objeto de Gasto],"2*",DIARIO[Objeto de Gasto],"*TB*")</f>
        <v>3643620</v>
      </c>
      <c r="AF7" s="105">
        <f t="shared" ref="AF7:AF10" si="0">SUM(AB7:AE7)</f>
        <v>14576677</v>
      </c>
      <c r="AG7" s="88"/>
      <c r="AI7" s="86"/>
      <c r="AJ7" s="110" t="s">
        <v>580</v>
      </c>
      <c r="AK7" s="5">
        <f>COUNTIFS(DIARIO[Objeto de Gasto],"*MALARIA*",DIARIO[Estatus],$AK$5)-COUNTIFS(DIARIO[Objeto de Gasto],"*MALARIA*",DIARIO[Estatus],$AK$5,DIARIO[Responsable],"")</f>
        <v>12</v>
      </c>
      <c r="AL7" s="5">
        <f>COUNTIFS(DIARIO[Objeto de Gasto],"*MALARIA*",DIARIO[Estatus],$AL$5)</f>
        <v>26</v>
      </c>
      <c r="AM7" s="5">
        <f>COUNTIFS(DIARIO[Objeto de Gasto],"*MALARIA*",DIARIO[Estatus],$AM$5)</f>
        <v>2</v>
      </c>
      <c r="AN7" s="5">
        <f>COUNTIFS(DIARIO[Objeto de Gasto],"*MALARIA*",DIARIO[Estatus],$AN$5)</f>
        <v>2</v>
      </c>
      <c r="AO7" s="5">
        <f>COUNTIFS(DIARIO[Objeto de Gasto],"*MALARIA*",DIARIO[Estatus],$AO$5)</f>
        <v>5</v>
      </c>
      <c r="AP7" s="5">
        <f>SUM(Tabla11[[#This Row],[ADJUDICADO]:[OBSERVACIONES]])</f>
        <v>47</v>
      </c>
      <c r="AR7" s="88"/>
    </row>
    <row r="8" spans="1:168" x14ac:dyDescent="0.25">
      <c r="A8" s="86"/>
      <c r="B8" t="s">
        <v>580</v>
      </c>
      <c r="C8" s="90">
        <f>SUMIFS(DIARIO[Saldo],DIARIO[Estatus],"Saldo Inicial",DIARIO[Objeto de Gasto],"*Malaria*")</f>
        <v>81855416.569999993</v>
      </c>
      <c r="D8" s="91">
        <f>SUMIFS(DIARIO[Saldo], DIARIO[Estatus],"Modificaciones",DIARIO[Objeto de Gasto],"*Malaria*")</f>
        <v>-1284578.3210913416</v>
      </c>
      <c r="E8" s="25">
        <f>Tabla5[[#This Row],[APROBADO]]+Tabla5[[#This Row],[MODIFICACIONES]]</f>
        <v>80570838.248908654</v>
      </c>
      <c r="F8" s="114">
        <f>SUM(Tabla5[[#This Row],[DISPONIBLE]])/SUBTOTAL(109,Tabla5[DISPONIBLE])</f>
        <v>0.15757767909857323</v>
      </c>
      <c r="G8" s="92"/>
      <c r="H8" s="26"/>
      <c r="I8" s="86"/>
      <c r="J8" t="s">
        <v>577</v>
      </c>
      <c r="K8" s="90">
        <f>-SUMIFS(DIARIO[Saldo],DIARIO[Estatus],"Proceso",DIARIO[Objeto de Gasto],"*VIH*")</f>
        <v>66957888.215082183</v>
      </c>
      <c r="L8" s="90">
        <f>-SUMIFS(DIARIO[Saldo],DIARIO[Estatus],"Proceso",DIARIO[Objeto de Gasto],"*Malaria*")</f>
        <v>27538071.245835107</v>
      </c>
      <c r="M8" s="90">
        <f>-SUMIFS(DIARIO[Saldo],DIARIO[Estatus],"Proceso",DIARIO[Objeto de Gasto],"*TB*")</f>
        <v>12799784.009082709</v>
      </c>
      <c r="N8" s="90">
        <f>-SUMIFS(DIARIO[Saldo],DIARIO[Estatus],"Proceso",DIARIO[Objeto de Gasto],"*SSRISS*")</f>
        <v>255000</v>
      </c>
      <c r="O8" s="90">
        <f>Tabla6[[#This Row],[VIH]]+Tabla6[[#This Row],[MARARIA]]+Tabla6[[#This Row],[TB]]+Tabla6[[#This Row],[SSRISS]]</f>
        <v>107550743.47</v>
      </c>
      <c r="P8" s="95"/>
      <c r="Q8" s="41"/>
      <c r="R8" s="86"/>
      <c r="X8" s="88"/>
      <c r="Z8" s="86"/>
      <c r="AA8" s="1" t="s">
        <v>763</v>
      </c>
      <c r="AB8" s="104">
        <f>SUMIFS(DIARIO[Entrada],DIARIO[Objeto de Gasto],"3*",DIARIO[Objeto de Gasto],"*SSRISS*")</f>
        <v>732763</v>
      </c>
      <c r="AC8" s="104">
        <f>SUMIFS(DIARIO[Entrada],DIARIO[Objeto de Gasto],"3*",DIARIO[Objeto de Gasto],"*VIH*")</f>
        <v>122167014.61422576</v>
      </c>
      <c r="AD8" s="104">
        <f>SUMIFS(DIARIO[Entrada],DIARIO[Objeto de Gasto],"3*",DIARIO[Objeto de Gasto],"*MALARIA*")</f>
        <v>41715642.974858418</v>
      </c>
      <c r="AE8" s="104">
        <f>SUMIFS(DIARIO[Entrada],DIARIO[Objeto de Gasto],"3*",DIARIO[Objeto de Gasto],"*TB*")</f>
        <v>19408262.410915814</v>
      </c>
      <c r="AF8" s="105">
        <f t="shared" si="0"/>
        <v>184023683</v>
      </c>
      <c r="AG8" s="88"/>
      <c r="AI8" s="86"/>
      <c r="AJ8" s="110" t="s">
        <v>773</v>
      </c>
      <c r="AK8" s="5">
        <f>COUNTIFS(DIARIO[Objeto de Gasto],"*TB*",DIARIO[Estatus],$AK$5)-COUNTIFS(DIARIO[Objeto de Gasto],"*TB*",DIARIO[Estatus],$AK$5,DIARIO[Responsable],"")</f>
        <v>10</v>
      </c>
      <c r="AL8" s="5">
        <f>COUNTIFS(DIARIO[Objeto de Gasto],"*TB*",DIARIO[Estatus],$AL$5)</f>
        <v>14</v>
      </c>
      <c r="AM8" s="5">
        <f>COUNTIFS(DIARIO[Objeto de Gasto],"*TB*",DIARIO[Estatus],$AM$5)</f>
        <v>0</v>
      </c>
      <c r="AN8" s="5">
        <f>COUNTIFS(DIARIO[Objeto de Gasto],"*TB*",DIARIO[Estatus],$AN$5)</f>
        <v>1</v>
      </c>
      <c r="AO8" s="5">
        <f>COUNTIFS(DIARIO[Objeto de Gasto],"*TB*",DIARIO[Estatus],$AO$5)</f>
        <v>0</v>
      </c>
      <c r="AP8" s="5">
        <f>SUM(Tabla11[[#This Row],[ADJUDICADO]:[OBSERVACIONES]])</f>
        <v>25</v>
      </c>
      <c r="AR8" s="88"/>
    </row>
    <row r="9" spans="1:168" x14ac:dyDescent="0.25">
      <c r="A9" s="86"/>
      <c r="B9" t="s">
        <v>574</v>
      </c>
      <c r="C9" s="90">
        <f>SUMIFS(DIARIO[Saldo],DIARIO[Estatus],"Saldo Inicial",DIARIO[Objeto de Gasto],"*TB*")</f>
        <v>52589448.799999997</v>
      </c>
      <c r="D9" s="91">
        <f>SUMIFS(DIARIO[Saldo], DIARIO[Estatus],"Modificaciones",DIARIO[Objeto de Gasto],"*TB*")</f>
        <v>767915.4109158155</v>
      </c>
      <c r="E9" s="25">
        <f>Tabla5[[#This Row],[APROBADO]]+Tabla5[[#This Row],[MODIFICACIONES]]</f>
        <v>53357364.210915811</v>
      </c>
      <c r="F9" s="114">
        <f>SUM(Tabla5[[#This Row],[DISPONIBLE]])/SUBTOTAL(109,Tabla5[DISPONIBLE])</f>
        <v>0.10435450093244221</v>
      </c>
      <c r="G9" s="92"/>
      <c r="H9" s="26"/>
      <c r="I9" s="86"/>
      <c r="J9" s="93" t="s">
        <v>570</v>
      </c>
      <c r="K9" s="101">
        <f>K6-K7-K8</f>
        <v>64969048.491742313</v>
      </c>
      <c r="L9" s="101">
        <f t="shared" ref="L9:N9" si="1">L6-L7-L8</f>
        <v>21799435.800738264</v>
      </c>
      <c r="M9" s="101">
        <f t="shared" si="1"/>
        <v>20681429.001124132</v>
      </c>
      <c r="N9" s="101">
        <f t="shared" si="1"/>
        <v>118996299.61639529</v>
      </c>
      <c r="O9" s="101">
        <f>O6-O7-O8</f>
        <v>226446212.91</v>
      </c>
      <c r="P9" s="102"/>
      <c r="Q9" s="100"/>
      <c r="R9" s="86"/>
      <c r="X9" s="88"/>
      <c r="Z9" s="86"/>
      <c r="AA9" s="1" t="s">
        <v>764</v>
      </c>
      <c r="AB9" s="104">
        <f>SUMIFS(DIARIO[Entrada],DIARIO[Objeto de Gasto],"4*",DIARIO[Objeto de Gasto],"*SSRISS*")</f>
        <v>30000</v>
      </c>
      <c r="AC9" s="104">
        <f>SUMIFS(DIARIO[Entrada],DIARIO[Objeto de Gasto],"4*",DIARIO[Objeto de Gasto],"*VIH*")</f>
        <v>11253572</v>
      </c>
      <c r="AD9" s="104">
        <f>SUMIFS(DIARIO[Entrada],DIARIO[Objeto de Gasto],"4*",DIARIO[Objeto de Gasto],"*MALARIA*")</f>
        <v>7725203</v>
      </c>
      <c r="AE9" s="104">
        <f>SUMIFS(DIARIO[Entrada],DIARIO[Objeto de Gasto],"4*",DIARIO[Objeto de Gasto],"*TB*")</f>
        <v>4606047</v>
      </c>
      <c r="AF9" s="105">
        <f t="shared" si="0"/>
        <v>23614822</v>
      </c>
      <c r="AG9" s="88"/>
      <c r="AI9" s="86"/>
      <c r="AJ9" s="110" t="s">
        <v>575</v>
      </c>
      <c r="AK9" s="5">
        <f>COUNTIFS(DIARIO[Objeto de Gasto],"*SSRISS*",DIARIO[Estatus],$AK$5)-COUNTIFS(DIARIO[Objeto de Gasto],"*SSRISS*",DIARIO[Estatus],$AK$5,DIARIO[Responsable],"")</f>
        <v>3</v>
      </c>
      <c r="AL9" s="5">
        <f>COUNTIFS(DIARIO[Objeto de Gasto],"*SSRISS*",DIARIO[Estatus],$AL$5)</f>
        <v>1</v>
      </c>
      <c r="AM9" s="5">
        <f>COUNTIFS(DIARIO[Objeto de Gasto],"*SSRISS*",DIARIO[Estatus],$AM$5)</f>
        <v>0</v>
      </c>
      <c r="AN9" s="5">
        <f>COUNTIFS(DIARIO[Objeto de Gasto],"*SSRISS*",DIARIO[Estatus],$AN$5)</f>
        <v>0</v>
      </c>
      <c r="AO9" s="5">
        <f>COUNTIFS(DIARIO[Objeto de Gasto],"*SSRISS*",DIARIO[Estatus],$AO$5)</f>
        <v>0</v>
      </c>
      <c r="AP9" s="5">
        <f>SUM(Tabla11[[#This Row],[ADJUDICADO]:[OBSERVACIONES]])</f>
        <v>4</v>
      </c>
      <c r="AR9" s="88"/>
    </row>
    <row r="10" spans="1:168" x14ac:dyDescent="0.25">
      <c r="A10" s="86"/>
      <c r="B10" s="93" t="s">
        <v>581</v>
      </c>
      <c r="C10" s="25">
        <f>SUBTOTAL(109,Tabla5[APROBADO])</f>
        <v>509943885</v>
      </c>
      <c r="D10" s="94">
        <f>SUBTOTAL(109,Tabla5[MODIFICACIONES])</f>
        <v>1364815</v>
      </c>
      <c r="E10" s="25">
        <f>SUBTOTAL(109,Tabla5[DISPONIBLE])</f>
        <v>511308700</v>
      </c>
      <c r="F10" s="115">
        <f>SUM(F6:F9)</f>
        <v>1</v>
      </c>
      <c r="G10" s="92"/>
      <c r="H10" s="26"/>
      <c r="I10" s="86"/>
      <c r="P10" s="88"/>
      <c r="R10" s="86"/>
      <c r="X10" s="88"/>
      <c r="Z10" s="86"/>
      <c r="AA10" s="1" t="s">
        <v>765</v>
      </c>
      <c r="AB10" s="104">
        <f>SUMIFS(DIARIO[Entrada],DIARIO[Objeto de Gasto],"5*",DIARIO[Objeto de Gasto],"*SSRISS*")</f>
        <v>1800</v>
      </c>
      <c r="AC10" s="104">
        <f>SUMIFS(DIARIO[Entrada],DIARIO[Objeto de Gasto],"5*",DIARIO[Objeto de Gasto],"*VIH*")</f>
        <v>0</v>
      </c>
      <c r="AD10" s="104">
        <f>SUMIFS(DIARIO[Entrada],DIARIO[Objeto de Gasto],"5*",DIARIO[Objeto de Gasto],"*MALARIA*")</f>
        <v>0</v>
      </c>
      <c r="AE10" s="104">
        <f>SUMIFS(DIARIO[Entrada],DIARIO[Objeto de Gasto],"5*",DIARIO[Objeto de Gasto],"*TB*")</f>
        <v>0</v>
      </c>
      <c r="AF10" s="105">
        <f t="shared" si="0"/>
        <v>1800</v>
      </c>
      <c r="AG10" s="88"/>
      <c r="AI10" s="86"/>
      <c r="AJ10" s="93" t="s">
        <v>581</v>
      </c>
      <c r="AK10" s="44">
        <f>SUBTOTAL(109,Tabla11[ADJUDICADO])</f>
        <v>35</v>
      </c>
      <c r="AL10" s="44">
        <f>SUBTOTAL(109,Tabla11[PROCESO])</f>
        <v>56</v>
      </c>
      <c r="AM10" s="44">
        <f>SUBTOTAL(109,Tabla11[FRACASADO])</f>
        <v>2</v>
      </c>
      <c r="AN10" s="44">
        <f>SUBTOTAL(109,Tabla11[DESIERTO])</f>
        <v>4</v>
      </c>
      <c r="AO10" s="44">
        <f>SUBTOTAL(109,Tabla11[OBSERVACIONES])</f>
        <v>9</v>
      </c>
      <c r="AP10" s="44">
        <f>SUBTOTAL(109,Tabla11[SUMA])</f>
        <v>106</v>
      </c>
      <c r="AR10" s="88"/>
    </row>
    <row r="11" spans="1:168" x14ac:dyDescent="0.25">
      <c r="A11" s="86"/>
      <c r="G11" s="88"/>
      <c r="I11" s="86"/>
      <c r="P11" s="88"/>
      <c r="R11" s="86"/>
      <c r="X11" s="88"/>
      <c r="Z11" s="86"/>
      <c r="AG11" s="88"/>
      <c r="AI11" s="86"/>
      <c r="AP11"/>
      <c r="AR11" s="1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row>
    <row r="12" spans="1:168" x14ac:dyDescent="0.25">
      <c r="A12" s="86"/>
      <c r="G12" s="88"/>
      <c r="I12" s="86"/>
      <c r="P12" s="88"/>
      <c r="R12" s="86"/>
      <c r="X12" s="88"/>
      <c r="Z12" s="86"/>
      <c r="AG12" s="88"/>
      <c r="AI12" s="86"/>
      <c r="AR12" s="88"/>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row>
    <row r="13" spans="1:168" x14ac:dyDescent="0.25">
      <c r="A13" s="86"/>
      <c r="G13" s="88"/>
      <c r="I13" s="86"/>
      <c r="P13" s="88"/>
      <c r="R13" s="86"/>
      <c r="X13" s="88"/>
      <c r="Z13" s="86"/>
      <c r="AG13" s="88"/>
      <c r="AI13" s="86"/>
      <c r="AR13" s="88"/>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row>
    <row r="14" spans="1:168" x14ac:dyDescent="0.25">
      <c r="A14" s="86"/>
      <c r="G14" s="88"/>
      <c r="I14" s="86"/>
      <c r="P14" s="88"/>
      <c r="R14" s="86"/>
      <c r="X14" s="88"/>
      <c r="Z14" s="86"/>
      <c r="AG14" s="88"/>
      <c r="AI14" s="86"/>
      <c r="AR14" s="88"/>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row>
    <row r="15" spans="1:168" x14ac:dyDescent="0.25">
      <c r="A15" s="86"/>
      <c r="G15" s="88"/>
      <c r="I15" s="86"/>
      <c r="P15" s="88"/>
      <c r="R15" s="86"/>
      <c r="X15" s="88"/>
      <c r="Z15" s="86"/>
      <c r="AG15" s="88"/>
      <c r="AI15" s="86"/>
      <c r="AR15" s="88"/>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row>
    <row r="16" spans="1:168" x14ac:dyDescent="0.25">
      <c r="A16" s="86"/>
      <c r="G16" s="88"/>
      <c r="I16" s="86"/>
      <c r="P16" s="88"/>
      <c r="R16" s="86"/>
      <c r="X16" s="88"/>
      <c r="Z16" s="86"/>
      <c r="AG16" s="88"/>
      <c r="AI16" s="86"/>
      <c r="AR16" s="88"/>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row>
    <row r="17" spans="1:168" x14ac:dyDescent="0.25">
      <c r="A17" s="86"/>
      <c r="G17" s="88"/>
      <c r="I17" s="86"/>
      <c r="P17" s="88"/>
      <c r="R17" s="86"/>
      <c r="X17" s="88"/>
      <c r="Z17" s="86"/>
      <c r="AG17" s="88"/>
      <c r="AI17" s="86"/>
      <c r="AR17" s="88"/>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row>
    <row r="18" spans="1:168" x14ac:dyDescent="0.25">
      <c r="A18" s="86"/>
      <c r="G18" s="88"/>
      <c r="I18" s="86"/>
      <c r="P18" s="88"/>
      <c r="R18" s="86"/>
      <c r="X18" s="88"/>
      <c r="Z18" s="86"/>
      <c r="AG18" s="88"/>
      <c r="AI18" s="86"/>
      <c r="AR18" s="8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row>
    <row r="19" spans="1:168" x14ac:dyDescent="0.25">
      <c r="A19" s="86"/>
      <c r="G19" s="88"/>
      <c r="I19" s="86"/>
      <c r="P19" s="88"/>
      <c r="R19" s="86"/>
      <c r="X19" s="88"/>
      <c r="Z19" s="86"/>
      <c r="AG19" s="88"/>
      <c r="AI19" s="86"/>
      <c r="AR19" s="88"/>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row>
    <row r="20" spans="1:168" x14ac:dyDescent="0.25">
      <c r="A20" s="86"/>
      <c r="G20" s="88"/>
      <c r="I20" s="86"/>
      <c r="P20" s="88"/>
      <c r="R20" s="86"/>
      <c r="X20" s="88"/>
      <c r="Z20" s="86"/>
      <c r="AG20" s="88"/>
      <c r="AI20" s="86"/>
      <c r="AR20" s="88"/>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row>
    <row r="21" spans="1:168" x14ac:dyDescent="0.25">
      <c r="A21" s="86"/>
      <c r="G21" s="88"/>
      <c r="I21" s="86"/>
      <c r="P21" s="88"/>
      <c r="R21" s="86"/>
      <c r="X21" s="88"/>
      <c r="Z21" s="86"/>
      <c r="AG21" s="88"/>
      <c r="AI21" s="86"/>
      <c r="AR21" s="88"/>
    </row>
    <row r="22" spans="1:168" x14ac:dyDescent="0.25">
      <c r="A22" s="86"/>
      <c r="G22" s="88"/>
      <c r="I22" s="86"/>
      <c r="P22" s="88"/>
      <c r="R22" s="86"/>
      <c r="X22" s="88"/>
      <c r="Z22" s="86"/>
      <c r="AG22" s="88"/>
      <c r="AI22" s="86"/>
      <c r="AR22" s="88"/>
    </row>
    <row r="23" spans="1:168" x14ac:dyDescent="0.25">
      <c r="A23" s="86"/>
      <c r="G23" s="88"/>
      <c r="I23" s="86"/>
      <c r="P23" s="88"/>
      <c r="R23" s="86"/>
      <c r="X23" s="88"/>
      <c r="Z23" s="86"/>
      <c r="AG23" s="88"/>
      <c r="AI23" s="86"/>
      <c r="AR23" s="88"/>
    </row>
    <row r="24" spans="1:168" x14ac:dyDescent="0.25">
      <c r="A24" s="86"/>
      <c r="G24" s="88"/>
      <c r="I24" s="86"/>
      <c r="P24" s="88"/>
      <c r="R24" s="86"/>
      <c r="X24" s="88"/>
      <c r="Z24" s="86"/>
      <c r="AG24" s="88"/>
      <c r="AI24" s="86"/>
      <c r="AR24" s="88"/>
    </row>
    <row r="25" spans="1:168" x14ac:dyDescent="0.25">
      <c r="A25" s="86"/>
      <c r="G25" s="88"/>
      <c r="I25" s="86"/>
      <c r="N25" s="26"/>
      <c r="P25" s="88"/>
      <c r="R25" s="86"/>
      <c r="X25" s="88"/>
      <c r="Z25" s="86"/>
      <c r="AG25" s="88"/>
      <c r="AI25" s="86"/>
      <c r="AR25" s="88"/>
    </row>
    <row r="26" spans="1:168" x14ac:dyDescent="0.25">
      <c r="A26" s="86"/>
      <c r="G26" s="88"/>
      <c r="I26" s="86"/>
      <c r="P26" s="88"/>
      <c r="R26" s="86"/>
      <c r="X26" s="88"/>
      <c r="Z26" s="86"/>
      <c r="AG26" s="88"/>
      <c r="AI26" s="86"/>
      <c r="AR26" s="88"/>
    </row>
    <row r="27" spans="1:168" x14ac:dyDescent="0.25">
      <c r="A27" s="86"/>
      <c r="G27" s="88"/>
      <c r="I27" s="86"/>
      <c r="P27" s="88"/>
      <c r="R27" s="86"/>
      <c r="X27" s="88"/>
      <c r="Z27" s="86"/>
      <c r="AG27" s="88"/>
      <c r="AI27" s="86"/>
      <c r="AR27" s="88"/>
    </row>
    <row r="28" spans="1:168" x14ac:dyDescent="0.25">
      <c r="A28" s="86"/>
      <c r="B28"/>
      <c r="C28" s="90"/>
      <c r="D28" s="90"/>
      <c r="E28" s="90"/>
      <c r="F28" s="90"/>
      <c r="G28" s="95"/>
      <c r="H28" s="99"/>
      <c r="I28" s="103"/>
      <c r="J28" s="90"/>
      <c r="P28" s="88"/>
      <c r="R28" s="86"/>
      <c r="X28" s="88"/>
      <c r="Z28" s="86"/>
      <c r="AG28" s="88"/>
      <c r="AI28" s="86"/>
      <c r="AR28" s="88"/>
    </row>
    <row r="29" spans="1:168" x14ac:dyDescent="0.25">
      <c r="A29" s="86"/>
      <c r="G29" s="88"/>
      <c r="I29" s="86"/>
      <c r="P29" s="88"/>
      <c r="R29" s="86"/>
      <c r="X29" s="88"/>
      <c r="Z29" s="86"/>
      <c r="AG29" s="88"/>
      <c r="AI29" s="86"/>
      <c r="AR29" s="88"/>
    </row>
    <row r="30" spans="1:168" x14ac:dyDescent="0.25">
      <c r="A30" s="86"/>
      <c r="G30" s="88"/>
      <c r="I30" s="86"/>
      <c r="P30" s="88"/>
      <c r="R30" s="86"/>
      <c r="X30" s="88"/>
      <c r="Z30" s="86"/>
      <c r="AG30" s="88"/>
      <c r="AI30" s="86"/>
      <c r="AR30" s="88"/>
    </row>
    <row r="31" spans="1:168" x14ac:dyDescent="0.25">
      <c r="A31" s="86"/>
      <c r="G31" s="88"/>
      <c r="I31" s="86"/>
      <c r="P31" s="88"/>
      <c r="R31" s="86"/>
      <c r="X31" s="88"/>
      <c r="Z31" s="86"/>
      <c r="AG31" s="88"/>
      <c r="AI31" s="86"/>
      <c r="AR31" s="88"/>
    </row>
    <row r="32" spans="1:168" x14ac:dyDescent="0.25">
      <c r="A32" s="86"/>
      <c r="G32" s="88"/>
      <c r="I32" s="86"/>
      <c r="P32" s="88"/>
      <c r="R32" s="86"/>
      <c r="X32" s="88"/>
      <c r="Z32" s="86"/>
      <c r="AG32" s="88"/>
      <c r="AI32" s="86"/>
      <c r="AR32" s="88"/>
    </row>
    <row r="33" spans="1:44" x14ac:dyDescent="0.25">
      <c r="A33" s="86"/>
      <c r="G33" s="88"/>
      <c r="I33" s="86"/>
      <c r="P33" s="88"/>
      <c r="R33" s="86"/>
      <c r="X33" s="88"/>
      <c r="Z33" s="86"/>
      <c r="AG33" s="88"/>
      <c r="AI33" s="86"/>
      <c r="AR33" s="88"/>
    </row>
    <row r="34" spans="1:44" x14ac:dyDescent="0.25">
      <c r="A34" s="86"/>
      <c r="G34" s="88"/>
      <c r="I34" s="86"/>
      <c r="P34" s="88"/>
      <c r="R34" s="86"/>
      <c r="X34" s="88"/>
      <c r="Z34" s="86"/>
      <c r="AG34" s="88"/>
      <c r="AI34" s="86"/>
      <c r="AR34" s="88"/>
    </row>
    <row r="35" spans="1:44" ht="15.75" thickBot="1" x14ac:dyDescent="0.3">
      <c r="A35" s="96"/>
      <c r="B35" s="97"/>
      <c r="C35" s="97"/>
      <c r="D35" s="97"/>
      <c r="E35" s="97"/>
      <c r="F35" s="97"/>
      <c r="G35" s="98"/>
      <c r="I35" s="96"/>
      <c r="J35" s="97"/>
      <c r="K35" s="97"/>
      <c r="L35" s="97"/>
      <c r="M35" s="97"/>
      <c r="N35" s="97"/>
      <c r="O35" s="97"/>
      <c r="P35" s="98"/>
      <c r="R35" s="96"/>
      <c r="S35" s="97"/>
      <c r="T35" s="97"/>
      <c r="U35" s="97"/>
      <c r="V35" s="97"/>
      <c r="W35" s="97"/>
      <c r="X35" s="98"/>
      <c r="Z35" s="96"/>
      <c r="AA35" s="97"/>
      <c r="AB35" s="97"/>
      <c r="AC35" s="97"/>
      <c r="AD35" s="97"/>
      <c r="AE35" s="97"/>
      <c r="AF35" s="97"/>
      <c r="AG35" s="98"/>
      <c r="AI35" s="96"/>
      <c r="AJ35" s="97"/>
      <c r="AK35" s="97"/>
      <c r="AL35" s="97"/>
      <c r="AM35" s="97"/>
      <c r="AN35" s="97"/>
      <c r="AO35" s="97"/>
      <c r="AP35" s="97"/>
      <c r="AQ35" s="97"/>
      <c r="AR35" s="98"/>
    </row>
    <row r="36" spans="1:44" x14ac:dyDescent="0.25">
      <c r="B36" s="69"/>
    </row>
    <row r="72" spans="36:37" x14ac:dyDescent="0.25">
      <c r="AJ72"/>
      <c r="AK72"/>
    </row>
    <row r="73" spans="36:37" x14ac:dyDescent="0.25">
      <c r="AJ73"/>
      <c r="AK73"/>
    </row>
    <row r="74" spans="36:37" x14ac:dyDescent="0.25">
      <c r="AJ74"/>
      <c r="AK74"/>
    </row>
    <row r="75" spans="36:37" x14ac:dyDescent="0.25">
      <c r="AJ75"/>
      <c r="AK75"/>
    </row>
    <row r="76" spans="36:37" x14ac:dyDescent="0.25">
      <c r="AJ76"/>
      <c r="AK76"/>
    </row>
    <row r="77" spans="36:37" x14ac:dyDescent="0.25">
      <c r="AJ77"/>
      <c r="AK77"/>
    </row>
    <row r="78" spans="36:37" x14ac:dyDescent="0.25">
      <c r="AJ78"/>
      <c r="AK78"/>
    </row>
    <row r="79" spans="36:37" x14ac:dyDescent="0.25">
      <c r="AJ79"/>
      <c r="AK79"/>
    </row>
    <row r="80" spans="36:37" x14ac:dyDescent="0.25">
      <c r="AJ80"/>
      <c r="AK80"/>
    </row>
    <row r="81" spans="36:37" x14ac:dyDescent="0.25">
      <c r="AJ81"/>
      <c r="AK81"/>
    </row>
    <row r="82" spans="36:37" x14ac:dyDescent="0.25">
      <c r="AJ82"/>
      <c r="AK82"/>
    </row>
    <row r="83" spans="36:37" x14ac:dyDescent="0.25">
      <c r="AJ83"/>
      <c r="AK83"/>
    </row>
    <row r="84" spans="36:37" x14ac:dyDescent="0.25">
      <c r="AJ84"/>
      <c r="AK84"/>
    </row>
    <row r="85" spans="36:37" x14ac:dyDescent="0.25">
      <c r="AJ85"/>
      <c r="AK85"/>
    </row>
    <row r="86" spans="36:37" x14ac:dyDescent="0.25">
      <c r="AJ86"/>
      <c r="AK86"/>
    </row>
    <row r="87" spans="36:37" x14ac:dyDescent="0.25">
      <c r="AJ87"/>
      <c r="AK87"/>
    </row>
    <row r="88" spans="36:37" x14ac:dyDescent="0.25">
      <c r="AJ88"/>
      <c r="AK88"/>
    </row>
    <row r="89" spans="36:37" x14ac:dyDescent="0.25">
      <c r="AJ89"/>
      <c r="AK89"/>
    </row>
    <row r="90" spans="36:37" x14ac:dyDescent="0.25">
      <c r="AJ90"/>
      <c r="AK90"/>
    </row>
    <row r="91" spans="36:37" x14ac:dyDescent="0.25">
      <c r="AJ91"/>
      <c r="AK91"/>
    </row>
    <row r="92" spans="36:37" x14ac:dyDescent="0.25">
      <c r="AJ92"/>
      <c r="AK92"/>
    </row>
    <row r="93" spans="36:37" x14ac:dyDescent="0.25">
      <c r="AJ93"/>
      <c r="AK93"/>
    </row>
    <row r="94" spans="36:37" x14ac:dyDescent="0.25">
      <c r="AJ94"/>
      <c r="AK94"/>
    </row>
    <row r="95" spans="36:37" x14ac:dyDescent="0.25">
      <c r="AJ95"/>
      <c r="AK95"/>
    </row>
    <row r="96" spans="36:37" x14ac:dyDescent="0.25">
      <c r="AJ96"/>
      <c r="AK96"/>
    </row>
    <row r="97" spans="36:37" x14ac:dyDescent="0.25">
      <c r="AJ97"/>
      <c r="AK97"/>
    </row>
    <row r="98" spans="36:37" x14ac:dyDescent="0.25">
      <c r="AJ98"/>
      <c r="AK98"/>
    </row>
    <row r="99" spans="36:37" x14ac:dyDescent="0.25">
      <c r="AJ99"/>
      <c r="AK99"/>
    </row>
    <row r="100" spans="36:37" x14ac:dyDescent="0.25">
      <c r="AJ100"/>
      <c r="AK100"/>
    </row>
    <row r="101" spans="36:37" x14ac:dyDescent="0.25">
      <c r="AJ101"/>
      <c r="AK101"/>
    </row>
    <row r="102" spans="36:37" x14ac:dyDescent="0.25">
      <c r="AJ102"/>
      <c r="AK102"/>
    </row>
    <row r="103" spans="36:37" x14ac:dyDescent="0.25">
      <c r="AJ103"/>
      <c r="AK103"/>
    </row>
    <row r="104" spans="36:37" x14ac:dyDescent="0.25">
      <c r="AJ104"/>
      <c r="AK104"/>
    </row>
    <row r="105" spans="36:37" x14ac:dyDescent="0.25">
      <c r="AJ105"/>
      <c r="AK105"/>
    </row>
    <row r="106" spans="36:37" x14ac:dyDescent="0.25">
      <c r="AJ106"/>
      <c r="AK106"/>
    </row>
    <row r="107" spans="36:37" x14ac:dyDescent="0.25">
      <c r="AJ107"/>
      <c r="AK107"/>
    </row>
    <row r="108" spans="36:37" x14ac:dyDescent="0.25">
      <c r="AJ108"/>
      <c r="AK108"/>
    </row>
    <row r="109" spans="36:37" x14ac:dyDescent="0.25">
      <c r="AJ109"/>
      <c r="AK109"/>
    </row>
    <row r="110" spans="36:37" x14ac:dyDescent="0.25">
      <c r="AJ110"/>
      <c r="AK110"/>
    </row>
    <row r="111" spans="36:37" x14ac:dyDescent="0.25">
      <c r="AJ111"/>
      <c r="AK111"/>
    </row>
    <row r="112" spans="36:37" x14ac:dyDescent="0.25">
      <c r="AJ112"/>
      <c r="AK112"/>
    </row>
    <row r="113" spans="36:37" x14ac:dyDescent="0.25">
      <c r="AJ113"/>
      <c r="AK113"/>
    </row>
    <row r="114" spans="36:37" x14ac:dyDescent="0.25">
      <c r="AJ114"/>
      <c r="AK114"/>
    </row>
    <row r="115" spans="36:37" x14ac:dyDescent="0.25">
      <c r="AJ115"/>
      <c r="AK115"/>
    </row>
    <row r="116" spans="36:37" x14ac:dyDescent="0.25">
      <c r="AJ116"/>
      <c r="AK116"/>
    </row>
    <row r="117" spans="36:37" x14ac:dyDescent="0.25">
      <c r="AJ117"/>
      <c r="AK117"/>
    </row>
    <row r="118" spans="36:37" x14ac:dyDescent="0.25">
      <c r="AJ118"/>
      <c r="AK118"/>
    </row>
    <row r="119" spans="36:37" x14ac:dyDescent="0.25">
      <c r="AJ119"/>
      <c r="AK119"/>
    </row>
    <row r="120" spans="36:37" x14ac:dyDescent="0.25">
      <c r="AJ120"/>
      <c r="AK120"/>
    </row>
    <row r="121" spans="36:37" x14ac:dyDescent="0.25">
      <c r="AJ121"/>
      <c r="AK121"/>
    </row>
    <row r="122" spans="36:37" x14ac:dyDescent="0.25">
      <c r="AJ122"/>
      <c r="AK122"/>
    </row>
    <row r="123" spans="36:37" x14ac:dyDescent="0.25">
      <c r="AJ123"/>
      <c r="AK123"/>
    </row>
    <row r="124" spans="36:37" x14ac:dyDescent="0.25">
      <c r="AJ124"/>
      <c r="AK124"/>
    </row>
    <row r="125" spans="36:37" x14ac:dyDescent="0.25">
      <c r="AJ125"/>
      <c r="AK125"/>
    </row>
    <row r="126" spans="36:37" x14ac:dyDescent="0.25">
      <c r="AJ126"/>
      <c r="AK126"/>
    </row>
    <row r="127" spans="36:37" x14ac:dyDescent="0.25">
      <c r="AJ127"/>
      <c r="AK127"/>
    </row>
    <row r="128" spans="36:37" x14ac:dyDescent="0.25">
      <c r="AJ128"/>
      <c r="AK128"/>
    </row>
    <row r="129" spans="36:37" x14ac:dyDescent="0.25">
      <c r="AJ129"/>
      <c r="AK129"/>
    </row>
    <row r="130" spans="36:37" x14ac:dyDescent="0.25">
      <c r="AJ130"/>
      <c r="AK130"/>
    </row>
    <row r="131" spans="36:37" x14ac:dyDescent="0.25">
      <c r="AJ131"/>
      <c r="AK131"/>
    </row>
    <row r="132" spans="36:37" x14ac:dyDescent="0.25">
      <c r="AJ132"/>
      <c r="AK132"/>
    </row>
    <row r="133" spans="36:37" x14ac:dyDescent="0.25">
      <c r="AJ133"/>
      <c r="AK133"/>
    </row>
    <row r="134" spans="36:37" x14ac:dyDescent="0.25">
      <c r="AJ134"/>
      <c r="AK134"/>
    </row>
    <row r="135" spans="36:37" x14ac:dyDescent="0.25">
      <c r="AJ135"/>
      <c r="AK135"/>
    </row>
    <row r="136" spans="36:37" x14ac:dyDescent="0.25">
      <c r="AJ136"/>
      <c r="AK136"/>
    </row>
    <row r="137" spans="36:37" x14ac:dyDescent="0.25">
      <c r="AJ137"/>
      <c r="AK137"/>
    </row>
    <row r="138" spans="36:37" x14ac:dyDescent="0.25">
      <c r="AJ138"/>
      <c r="AK138"/>
    </row>
    <row r="139" spans="36:37" x14ac:dyDescent="0.25">
      <c r="AJ139"/>
      <c r="AK139"/>
    </row>
    <row r="140" spans="36:37" x14ac:dyDescent="0.25">
      <c r="AJ140"/>
      <c r="AK140"/>
    </row>
    <row r="141" spans="36:37" x14ac:dyDescent="0.25">
      <c r="AJ141"/>
      <c r="AK141"/>
    </row>
    <row r="142" spans="36:37" x14ac:dyDescent="0.25">
      <c r="AJ142"/>
      <c r="AK142"/>
    </row>
    <row r="143" spans="36:37" x14ac:dyDescent="0.25">
      <c r="AJ143"/>
      <c r="AK143"/>
    </row>
    <row r="144" spans="36:37" x14ac:dyDescent="0.25">
      <c r="AJ144"/>
      <c r="AK144"/>
    </row>
    <row r="145" spans="36:37" x14ac:dyDescent="0.25">
      <c r="AJ145"/>
      <c r="AK145"/>
    </row>
    <row r="146" spans="36:37" x14ac:dyDescent="0.25">
      <c r="AJ146"/>
      <c r="AK146"/>
    </row>
    <row r="147" spans="36:37" x14ac:dyDescent="0.25">
      <c r="AJ147"/>
      <c r="AK147"/>
    </row>
    <row r="148" spans="36:37" x14ac:dyDescent="0.25">
      <c r="AJ148"/>
      <c r="AK148"/>
    </row>
    <row r="149" spans="36:37" x14ac:dyDescent="0.25">
      <c r="AJ149"/>
      <c r="AK149"/>
    </row>
    <row r="150" spans="36:37" x14ac:dyDescent="0.25">
      <c r="AJ150"/>
      <c r="AK150"/>
    </row>
    <row r="151" spans="36:37" x14ac:dyDescent="0.25">
      <c r="AJ151"/>
      <c r="AK151"/>
    </row>
    <row r="152" spans="36:37" x14ac:dyDescent="0.25">
      <c r="AJ152"/>
      <c r="AK152"/>
    </row>
    <row r="153" spans="36:37" x14ac:dyDescent="0.25">
      <c r="AJ153"/>
      <c r="AK153"/>
    </row>
    <row r="154" spans="36:37" x14ac:dyDescent="0.25">
      <c r="AJ154"/>
      <c r="AK154"/>
    </row>
    <row r="155" spans="36:37" x14ac:dyDescent="0.25">
      <c r="AJ155"/>
      <c r="AK155"/>
    </row>
    <row r="156" spans="36:37" x14ac:dyDescent="0.25">
      <c r="AJ156"/>
      <c r="AK156"/>
    </row>
    <row r="157" spans="36:37" x14ac:dyDescent="0.25">
      <c r="AJ157"/>
      <c r="AK157"/>
    </row>
    <row r="158" spans="36:37" x14ac:dyDescent="0.25">
      <c r="AJ158"/>
      <c r="AK158"/>
    </row>
    <row r="159" spans="36:37" x14ac:dyDescent="0.25">
      <c r="AJ159"/>
      <c r="AK159"/>
    </row>
    <row r="160" spans="36:37" x14ac:dyDescent="0.25">
      <c r="AJ160"/>
      <c r="AK160"/>
    </row>
    <row r="161" spans="36:37" x14ac:dyDescent="0.25">
      <c r="AJ161"/>
      <c r="AK161"/>
    </row>
    <row r="162" spans="36:37" x14ac:dyDescent="0.25">
      <c r="AJ162"/>
      <c r="AK162"/>
    </row>
    <row r="163" spans="36:37" x14ac:dyDescent="0.25">
      <c r="AJ163"/>
      <c r="AK163"/>
    </row>
    <row r="164" spans="36:37" x14ac:dyDescent="0.25">
      <c r="AJ164"/>
      <c r="AK164"/>
    </row>
    <row r="165" spans="36:37" x14ac:dyDescent="0.25">
      <c r="AJ165"/>
      <c r="AK165"/>
    </row>
    <row r="166" spans="36:37" x14ac:dyDescent="0.25">
      <c r="AJ166"/>
      <c r="AK166"/>
    </row>
    <row r="167" spans="36:37" x14ac:dyDescent="0.25">
      <c r="AJ167"/>
      <c r="AK167"/>
    </row>
    <row r="168" spans="36:37" x14ac:dyDescent="0.25">
      <c r="AJ168"/>
      <c r="AK168"/>
    </row>
    <row r="169" spans="36:37" x14ac:dyDescent="0.25">
      <c r="AJ169"/>
      <c r="AK169"/>
    </row>
    <row r="170" spans="36:37" x14ac:dyDescent="0.25">
      <c r="AJ170"/>
      <c r="AK170"/>
    </row>
    <row r="171" spans="36:37" x14ac:dyDescent="0.25">
      <c r="AJ171"/>
      <c r="AK171"/>
    </row>
    <row r="172" spans="36:37" x14ac:dyDescent="0.25">
      <c r="AJ172"/>
      <c r="AK172"/>
    </row>
    <row r="173" spans="36:37" x14ac:dyDescent="0.25">
      <c r="AJ173"/>
      <c r="AK173"/>
    </row>
    <row r="174" spans="36:37" x14ac:dyDescent="0.25">
      <c r="AJ174"/>
      <c r="AK174"/>
    </row>
    <row r="175" spans="36:37" x14ac:dyDescent="0.25">
      <c r="AJ175"/>
      <c r="AK175"/>
    </row>
    <row r="176" spans="36:37" x14ac:dyDescent="0.25">
      <c r="AJ176"/>
      <c r="AK176"/>
    </row>
    <row r="177" spans="36:37" x14ac:dyDescent="0.25">
      <c r="AJ177"/>
      <c r="AK177"/>
    </row>
    <row r="178" spans="36:37" x14ac:dyDescent="0.25">
      <c r="AJ178"/>
      <c r="AK178"/>
    </row>
    <row r="179" spans="36:37" x14ac:dyDescent="0.25">
      <c r="AJ179"/>
      <c r="AK179"/>
    </row>
    <row r="180" spans="36:37" x14ac:dyDescent="0.25">
      <c r="AJ180"/>
      <c r="AK180"/>
    </row>
    <row r="181" spans="36:37" x14ac:dyDescent="0.25">
      <c r="AJ181"/>
      <c r="AK181"/>
    </row>
    <row r="182" spans="36:37" x14ac:dyDescent="0.25">
      <c r="AJ182"/>
      <c r="AK182"/>
    </row>
    <row r="183" spans="36:37" x14ac:dyDescent="0.25">
      <c r="AJ183"/>
      <c r="AK183"/>
    </row>
    <row r="184" spans="36:37" x14ac:dyDescent="0.25">
      <c r="AJ184"/>
      <c r="AK184"/>
    </row>
    <row r="185" spans="36:37" x14ac:dyDescent="0.25">
      <c r="AJ185"/>
      <c r="AK185"/>
    </row>
    <row r="186" spans="36:37" x14ac:dyDescent="0.25">
      <c r="AJ186"/>
      <c r="AK186"/>
    </row>
    <row r="187" spans="36:37" x14ac:dyDescent="0.25">
      <c r="AJ187"/>
      <c r="AK187"/>
    </row>
    <row r="188" spans="36:37" x14ac:dyDescent="0.25">
      <c r="AJ188"/>
      <c r="AK188"/>
    </row>
    <row r="189" spans="36:37" x14ac:dyDescent="0.25">
      <c r="AJ189"/>
      <c r="AK189"/>
    </row>
    <row r="190" spans="36:37" x14ac:dyDescent="0.25">
      <c r="AJ190"/>
      <c r="AK190"/>
    </row>
    <row r="191" spans="36:37" x14ac:dyDescent="0.25">
      <c r="AJ191"/>
      <c r="AK191"/>
    </row>
    <row r="192" spans="36:37" x14ac:dyDescent="0.25">
      <c r="AJ192"/>
      <c r="AK192"/>
    </row>
    <row r="193" spans="36:37" x14ac:dyDescent="0.25">
      <c r="AJ193"/>
      <c r="AK193"/>
    </row>
    <row r="194" spans="36:37" x14ac:dyDescent="0.25">
      <c r="AJ194"/>
      <c r="AK194"/>
    </row>
    <row r="195" spans="36:37" x14ac:dyDescent="0.25">
      <c r="AJ195"/>
      <c r="AK195"/>
    </row>
    <row r="196" spans="36:37" x14ac:dyDescent="0.25">
      <c r="AJ196"/>
      <c r="AK196"/>
    </row>
    <row r="197" spans="36:37" x14ac:dyDescent="0.25">
      <c r="AJ197"/>
      <c r="AK197"/>
    </row>
    <row r="198" spans="36:37" x14ac:dyDescent="0.25">
      <c r="AJ198"/>
      <c r="AK198"/>
    </row>
    <row r="199" spans="36:37" x14ac:dyDescent="0.25">
      <c r="AJ199"/>
      <c r="AK199"/>
    </row>
    <row r="200" spans="36:37" x14ac:dyDescent="0.25">
      <c r="AJ200"/>
      <c r="AK200"/>
    </row>
    <row r="201" spans="36:37" x14ac:dyDescent="0.25">
      <c r="AJ201"/>
      <c r="AK201"/>
    </row>
    <row r="202" spans="36:37" x14ac:dyDescent="0.25">
      <c r="AJ202"/>
      <c r="AK202"/>
    </row>
    <row r="203" spans="36:37" x14ac:dyDescent="0.25">
      <c r="AJ203"/>
      <c r="AK203"/>
    </row>
    <row r="204" spans="36:37" x14ac:dyDescent="0.25">
      <c r="AJ204"/>
      <c r="AK204"/>
    </row>
    <row r="205" spans="36:37" x14ac:dyDescent="0.25">
      <c r="AJ205"/>
      <c r="AK205"/>
    </row>
    <row r="206" spans="36:37" x14ac:dyDescent="0.25">
      <c r="AJ206"/>
      <c r="AK206"/>
    </row>
    <row r="207" spans="36:37" x14ac:dyDescent="0.25">
      <c r="AJ207"/>
      <c r="AK207"/>
    </row>
    <row r="208" spans="36:37" x14ac:dyDescent="0.25">
      <c r="AJ208"/>
      <c r="AK208"/>
    </row>
    <row r="209" spans="36:37" x14ac:dyDescent="0.25">
      <c r="AJ209"/>
      <c r="AK209"/>
    </row>
    <row r="210" spans="36:37" x14ac:dyDescent="0.25">
      <c r="AJ210"/>
      <c r="AK210"/>
    </row>
    <row r="211" spans="36:37" x14ac:dyDescent="0.25">
      <c r="AJ211"/>
      <c r="AK211"/>
    </row>
    <row r="212" spans="36:37" x14ac:dyDescent="0.25">
      <c r="AJ212"/>
      <c r="AK212"/>
    </row>
    <row r="213" spans="36:37" x14ac:dyDescent="0.25">
      <c r="AJ213"/>
      <c r="AK213"/>
    </row>
    <row r="214" spans="36:37" x14ac:dyDescent="0.25">
      <c r="AJ214"/>
      <c r="AK214"/>
    </row>
    <row r="215" spans="36:37" x14ac:dyDescent="0.25">
      <c r="AJ215"/>
      <c r="AK215"/>
    </row>
    <row r="216" spans="36:37" x14ac:dyDescent="0.25">
      <c r="AJ216"/>
      <c r="AK216"/>
    </row>
    <row r="217" spans="36:37" x14ac:dyDescent="0.25">
      <c r="AJ217"/>
      <c r="AK217"/>
    </row>
    <row r="218" spans="36:37" x14ac:dyDescent="0.25">
      <c r="AJ218"/>
      <c r="AK218"/>
    </row>
    <row r="219" spans="36:37" x14ac:dyDescent="0.25">
      <c r="AJ219"/>
      <c r="AK219"/>
    </row>
    <row r="220" spans="36:37" x14ac:dyDescent="0.25">
      <c r="AJ220"/>
      <c r="AK220"/>
    </row>
    <row r="221" spans="36:37" x14ac:dyDescent="0.25">
      <c r="AJ221"/>
      <c r="AK221"/>
    </row>
    <row r="222" spans="36:37" x14ac:dyDescent="0.25">
      <c r="AJ222"/>
      <c r="AK222"/>
    </row>
    <row r="223" spans="36:37" x14ac:dyDescent="0.25">
      <c r="AJ223"/>
      <c r="AK223"/>
    </row>
    <row r="224" spans="36:37" x14ac:dyDescent="0.25">
      <c r="AJ224"/>
      <c r="AK224"/>
    </row>
    <row r="225" spans="36:37" x14ac:dyDescent="0.25">
      <c r="AJ225"/>
      <c r="AK225"/>
    </row>
    <row r="226" spans="36:37" x14ac:dyDescent="0.25">
      <c r="AJ226"/>
      <c r="AK226"/>
    </row>
    <row r="227" spans="36:37" x14ac:dyDescent="0.25">
      <c r="AJ227"/>
      <c r="AK227"/>
    </row>
    <row r="228" spans="36:37" x14ac:dyDescent="0.25">
      <c r="AJ228"/>
      <c r="AK228"/>
    </row>
    <row r="229" spans="36:37" x14ac:dyDescent="0.25">
      <c r="AJ229"/>
      <c r="AK229"/>
    </row>
    <row r="230" spans="36:37" x14ac:dyDescent="0.25">
      <c r="AJ230"/>
      <c r="AK230"/>
    </row>
    <row r="231" spans="36:37" x14ac:dyDescent="0.25">
      <c r="AJ231"/>
      <c r="AK231"/>
    </row>
    <row r="232" spans="36:37" x14ac:dyDescent="0.25">
      <c r="AJ232"/>
      <c r="AK232"/>
    </row>
    <row r="233" spans="36:37" x14ac:dyDescent="0.25">
      <c r="AJ233"/>
      <c r="AK233"/>
    </row>
    <row r="234" spans="36:37" x14ac:dyDescent="0.25">
      <c r="AJ234"/>
      <c r="AK234"/>
    </row>
    <row r="235" spans="36:37" x14ac:dyDescent="0.25">
      <c r="AJ235"/>
      <c r="AK235"/>
    </row>
    <row r="236" spans="36:37" x14ac:dyDescent="0.25">
      <c r="AJ236"/>
      <c r="AK236"/>
    </row>
    <row r="237" spans="36:37" x14ac:dyDescent="0.25">
      <c r="AJ237"/>
      <c r="AK237"/>
    </row>
    <row r="238" spans="36:37" x14ac:dyDescent="0.25">
      <c r="AJ238"/>
      <c r="AK238"/>
    </row>
    <row r="239" spans="36:37" x14ac:dyDescent="0.25">
      <c r="AJ239"/>
      <c r="AK239"/>
    </row>
    <row r="240" spans="36:37" x14ac:dyDescent="0.25">
      <c r="AJ240"/>
      <c r="AK240"/>
    </row>
    <row r="241" spans="36:37" x14ac:dyDescent="0.25">
      <c r="AJ241"/>
      <c r="AK241"/>
    </row>
    <row r="242" spans="36:37" x14ac:dyDescent="0.25">
      <c r="AJ242"/>
      <c r="AK242"/>
    </row>
    <row r="243" spans="36:37" x14ac:dyDescent="0.25">
      <c r="AJ243"/>
      <c r="AK243"/>
    </row>
    <row r="244" spans="36:37" x14ac:dyDescent="0.25">
      <c r="AJ244"/>
      <c r="AK244"/>
    </row>
    <row r="245" spans="36:37" x14ac:dyDescent="0.25">
      <c r="AJ245"/>
      <c r="AK245"/>
    </row>
    <row r="246" spans="36:37" x14ac:dyDescent="0.25">
      <c r="AJ246"/>
      <c r="AK246"/>
    </row>
    <row r="247" spans="36:37" x14ac:dyDescent="0.25">
      <c r="AJ247"/>
      <c r="AK247"/>
    </row>
    <row r="248" spans="36:37" x14ac:dyDescent="0.25">
      <c r="AJ248"/>
      <c r="AK248"/>
    </row>
    <row r="249" spans="36:37" x14ac:dyDescent="0.25">
      <c r="AJ249"/>
      <c r="AK249"/>
    </row>
    <row r="250" spans="36:37" x14ac:dyDescent="0.25">
      <c r="AJ250"/>
      <c r="AK250"/>
    </row>
    <row r="251" spans="36:37" x14ac:dyDescent="0.25">
      <c r="AJ251"/>
      <c r="AK251"/>
    </row>
    <row r="252" spans="36:37" x14ac:dyDescent="0.25">
      <c r="AJ252"/>
      <c r="AK252"/>
    </row>
    <row r="253" spans="36:37" x14ac:dyDescent="0.25">
      <c r="AJ253"/>
      <c r="AK253"/>
    </row>
    <row r="254" spans="36:37" x14ac:dyDescent="0.25">
      <c r="AJ254"/>
      <c r="AK254"/>
    </row>
    <row r="255" spans="36:37" x14ac:dyDescent="0.25">
      <c r="AJ255"/>
      <c r="AK255"/>
    </row>
    <row r="256" spans="36:37" x14ac:dyDescent="0.25">
      <c r="AJ256"/>
      <c r="AK256"/>
    </row>
    <row r="257" spans="36:37" x14ac:dyDescent="0.25">
      <c r="AJ257"/>
      <c r="AK257"/>
    </row>
    <row r="258" spans="36:37" x14ac:dyDescent="0.25">
      <c r="AJ258"/>
      <c r="AK258"/>
    </row>
    <row r="259" spans="36:37" x14ac:dyDescent="0.25">
      <c r="AJ259"/>
      <c r="AK259"/>
    </row>
    <row r="260" spans="36:37" x14ac:dyDescent="0.25">
      <c r="AJ260"/>
      <c r="AK260"/>
    </row>
    <row r="261" spans="36:37" x14ac:dyDescent="0.25">
      <c r="AJ261"/>
      <c r="AK261"/>
    </row>
    <row r="262" spans="36:37" x14ac:dyDescent="0.25">
      <c r="AJ262"/>
      <c r="AK262"/>
    </row>
    <row r="263" spans="36:37" x14ac:dyDescent="0.25">
      <c r="AJ263"/>
      <c r="AK263"/>
    </row>
    <row r="264" spans="36:37" x14ac:dyDescent="0.25">
      <c r="AJ264"/>
      <c r="AK264"/>
    </row>
    <row r="265" spans="36:37" x14ac:dyDescent="0.25">
      <c r="AJ265"/>
      <c r="AK265"/>
    </row>
    <row r="266" spans="36:37" x14ac:dyDescent="0.25">
      <c r="AJ266"/>
      <c r="AK266"/>
    </row>
    <row r="267" spans="36:37" x14ac:dyDescent="0.25">
      <c r="AJ267"/>
      <c r="AK267"/>
    </row>
    <row r="268" spans="36:37" x14ac:dyDescent="0.25">
      <c r="AJ268"/>
      <c r="AK268"/>
    </row>
    <row r="269" spans="36:37" x14ac:dyDescent="0.25">
      <c r="AJ269"/>
      <c r="AK269"/>
    </row>
    <row r="270" spans="36:37" x14ac:dyDescent="0.25">
      <c r="AJ270"/>
      <c r="AK270"/>
    </row>
    <row r="271" spans="36:37" x14ac:dyDescent="0.25">
      <c r="AJ271"/>
      <c r="AK271"/>
    </row>
    <row r="272" spans="36:37" x14ac:dyDescent="0.25">
      <c r="AJ272"/>
      <c r="AK272"/>
    </row>
    <row r="273" spans="36:37" x14ac:dyDescent="0.25">
      <c r="AJ273"/>
      <c r="AK273"/>
    </row>
    <row r="274" spans="36:37" x14ac:dyDescent="0.25">
      <c r="AJ274"/>
      <c r="AK274"/>
    </row>
    <row r="275" spans="36:37" x14ac:dyDescent="0.25">
      <c r="AJ275"/>
      <c r="AK275"/>
    </row>
    <row r="276" spans="36:37" x14ac:dyDescent="0.25">
      <c r="AJ276"/>
      <c r="AK276"/>
    </row>
    <row r="277" spans="36:37" x14ac:dyDescent="0.25">
      <c r="AJ277"/>
      <c r="AK277"/>
    </row>
    <row r="278" spans="36:37" x14ac:dyDescent="0.25">
      <c r="AJ278"/>
      <c r="AK278"/>
    </row>
    <row r="279" spans="36:37" x14ac:dyDescent="0.25">
      <c r="AJ279"/>
      <c r="AK279"/>
    </row>
    <row r="280" spans="36:37" x14ac:dyDescent="0.25">
      <c r="AJ280"/>
      <c r="AK280"/>
    </row>
    <row r="281" spans="36:37" x14ac:dyDescent="0.25">
      <c r="AJ281"/>
      <c r="AK281"/>
    </row>
    <row r="282" spans="36:37" x14ac:dyDescent="0.25">
      <c r="AJ282"/>
      <c r="AK282"/>
    </row>
  </sheetData>
  <pageMargins left="0.7" right="0.7" top="0.75" bottom="0.75" header="0.3" footer="0.3"/>
  <pageSetup orientation="portrait" r:id="rId1"/>
  <ignoredErrors>
    <ignoredError sqref="K7:N8" calculatedColumn="1"/>
  </ignoredErrors>
  <drawing r:id="rId2"/>
  <tableParts count="4">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17F6-8013-4C04-BC00-B1F3E3214ED0}">
  <sheetPr codeName="Hoja3"/>
  <dimension ref="B1:L256"/>
  <sheetViews>
    <sheetView topLeftCell="C55" zoomScale="110" zoomScaleNormal="100" workbookViewId="0">
      <selection activeCell="B57" sqref="B57"/>
    </sheetView>
  </sheetViews>
  <sheetFormatPr baseColWidth="10" defaultColWidth="11.42578125" defaultRowHeight="15" x14ac:dyDescent="0.25"/>
  <cols>
    <col min="1" max="1" width="1.28515625" style="20" customWidth="1"/>
    <col min="2" max="2" width="71.5703125" style="20" bestFit="1" customWidth="1"/>
    <col min="3" max="3" width="20.5703125" style="20" bestFit="1" customWidth="1"/>
    <col min="4" max="4" width="19.7109375" style="41" bestFit="1" customWidth="1"/>
    <col min="5" max="7" width="20.5703125" style="20" bestFit="1" customWidth="1"/>
    <col min="8" max="8" width="7.85546875" style="20" customWidth="1"/>
    <col min="9" max="9" width="19" style="20" bestFit="1" customWidth="1"/>
    <col min="10" max="10" width="14" style="20" bestFit="1" customWidth="1"/>
    <col min="11" max="11" width="20.5703125" style="20" bestFit="1" customWidth="1"/>
    <col min="12" max="12" width="14" style="20" bestFit="1" customWidth="1"/>
    <col min="13" max="13" width="29.85546875" style="20" customWidth="1"/>
    <col min="14" max="17" width="11.42578125" style="20"/>
    <col min="18" max="18" width="14.28515625" style="20" customWidth="1"/>
    <col min="19" max="19" width="21.140625" style="20" customWidth="1"/>
    <col min="20" max="16384" width="11.42578125" style="20"/>
  </cols>
  <sheetData>
    <row r="1" spans="2:12" ht="6" customHeight="1" x14ac:dyDescent="0.25">
      <c r="B1"/>
      <c r="C1"/>
    </row>
    <row r="2" spans="2:12" ht="16.5" x14ac:dyDescent="0.3">
      <c r="B2" s="150" t="s">
        <v>558</v>
      </c>
      <c r="C2" s="150" t="s">
        <v>559</v>
      </c>
      <c r="D2" s="150"/>
      <c r="E2" s="150"/>
      <c r="F2" s="150"/>
      <c r="G2" s="150"/>
    </row>
    <row r="3" spans="2:12" ht="18.75" thickBot="1" x14ac:dyDescent="0.3">
      <c r="B3" s="149" t="s">
        <v>560</v>
      </c>
      <c r="C3" s="149" t="s">
        <v>31</v>
      </c>
      <c r="D3" s="149" t="s">
        <v>33</v>
      </c>
      <c r="E3" s="149" t="s">
        <v>18</v>
      </c>
      <c r="F3" s="149" t="s">
        <v>14</v>
      </c>
      <c r="G3" s="149" t="s">
        <v>561</v>
      </c>
    </row>
    <row r="4" spans="2:12" ht="17.25" thickBot="1" x14ac:dyDescent="0.35">
      <c r="B4" s="151" t="s">
        <v>762</v>
      </c>
      <c r="C4" s="144"/>
      <c r="D4" s="144"/>
      <c r="E4" s="144"/>
      <c r="F4" s="144"/>
      <c r="G4" s="144"/>
      <c r="I4" s="156" t="s">
        <v>562</v>
      </c>
      <c r="J4" s="157">
        <v>39520</v>
      </c>
      <c r="K4" s="156" t="s">
        <v>563</v>
      </c>
      <c r="L4" s="158">
        <v>2070443.6</v>
      </c>
    </row>
    <row r="5" spans="2:12" ht="16.5" x14ac:dyDescent="0.3">
      <c r="B5" s="153" t="s">
        <v>29</v>
      </c>
      <c r="C5" s="144">
        <v>111754498</v>
      </c>
      <c r="D5" s="144">
        <v>3782189</v>
      </c>
      <c r="E5" s="144">
        <v>-44545640.859999999</v>
      </c>
      <c r="F5" s="144">
        <v>0</v>
      </c>
      <c r="G5" s="144">
        <v>70991046.140000001</v>
      </c>
      <c r="I5" s="159" t="str">
        <f>J4&amp;"-VIH"</f>
        <v>39520-VIH</v>
      </c>
      <c r="J5" s="160">
        <f>SUMIFS(DIARIO[Saldo],DIARIO[Estatus],"Saldo inicial",DIARIO[Objeto de Gasto],I5)</f>
        <v>4029405</v>
      </c>
      <c r="K5" s="161">
        <f>IFERROR(SUM(J5)/SUM($J$5:$J$8),"0%")</f>
        <v>0.34676839008753452</v>
      </c>
      <c r="L5" s="162">
        <f>K5*$L$4</f>
        <v>717964.39393903932</v>
      </c>
    </row>
    <row r="6" spans="2:12" ht="16.5" x14ac:dyDescent="0.3">
      <c r="B6" s="153" t="s">
        <v>37</v>
      </c>
      <c r="C6" s="144">
        <v>10404570</v>
      </c>
      <c r="D6" s="144">
        <v>-6930000</v>
      </c>
      <c r="E6" s="144">
        <v>-294066.33</v>
      </c>
      <c r="F6" s="144">
        <v>0</v>
      </c>
      <c r="G6" s="144">
        <v>3180503.67</v>
      </c>
      <c r="I6" s="163" t="str">
        <f>J4&amp;"-MALARIA"</f>
        <v>39520-MALARIA</v>
      </c>
      <c r="J6" s="164">
        <f>SUMIFS(DIARIO[Saldo],DIARIO[Estatus],"Saldo inicial",DIARIO[Objeto de Gasto],I6)</f>
        <v>4304794</v>
      </c>
      <c r="K6" s="165">
        <f>IFERROR(SUM(J6)/SUM($J$5:$J$8),"0%")</f>
        <v>0.37046821678100811</v>
      </c>
      <c r="L6" s="166">
        <f>K6*$L$4</f>
        <v>767033.5484376509</v>
      </c>
    </row>
    <row r="7" spans="2:12" ht="16.5" x14ac:dyDescent="0.3">
      <c r="B7" s="153" t="s">
        <v>42</v>
      </c>
      <c r="C7" s="144">
        <v>9312952</v>
      </c>
      <c r="D7" s="144">
        <v>315183</v>
      </c>
      <c r="E7" s="144">
        <v>0</v>
      </c>
      <c r="F7" s="144">
        <v>0</v>
      </c>
      <c r="G7" s="144">
        <v>9628135</v>
      </c>
      <c r="I7" s="163" t="str">
        <f>J4&amp;"-TB"</f>
        <v>39520-TB</v>
      </c>
      <c r="J7" s="164">
        <f>SUMIFS(DIARIO[Saldo],DIARIO[Estatus],"Saldo inicial",DIARIO[Objeto de Gasto],I7)</f>
        <v>3285675</v>
      </c>
      <c r="K7" s="165">
        <f>IFERROR(SUM(J7)/SUM($J$5:$J$8),"0%")</f>
        <v>0.28276339313145737</v>
      </c>
      <c r="L7" s="166">
        <f>K7*$L$4</f>
        <v>585445.65762330987</v>
      </c>
    </row>
    <row r="8" spans="2:12" ht="16.5" x14ac:dyDescent="0.3">
      <c r="B8" s="153" t="s">
        <v>47</v>
      </c>
      <c r="C8" s="144">
        <v>9312952</v>
      </c>
      <c r="D8" s="144">
        <v>315183</v>
      </c>
      <c r="E8" s="144">
        <v>-8895921.4499999993</v>
      </c>
      <c r="F8" s="144">
        <v>0</v>
      </c>
      <c r="G8" s="144">
        <v>732213.55000000075</v>
      </c>
      <c r="I8" s="163" t="str">
        <f>J4&amp;"-SSRISS"</f>
        <v>39520-SSRISS</v>
      </c>
      <c r="J8" s="164">
        <f>SUMIFS(DIARIO[Saldo],DIARIO[Estatus],"Saldo inicial",DIARIO[Objeto de Gasto],I8)</f>
        <v>0</v>
      </c>
      <c r="K8" s="165">
        <f>IFERROR(SUM(J8)/SUM($J$5:$J$8),"0%")</f>
        <v>0</v>
      </c>
      <c r="L8" s="166">
        <f>K8*$L$4</f>
        <v>0</v>
      </c>
    </row>
    <row r="9" spans="2:12" ht="17.25" thickBot="1" x14ac:dyDescent="0.35">
      <c r="B9" s="153" t="s">
        <v>52</v>
      </c>
      <c r="C9" s="144">
        <v>9312952</v>
      </c>
      <c r="D9" s="144">
        <v>315183</v>
      </c>
      <c r="E9" s="144">
        <v>-3855900.66</v>
      </c>
      <c r="F9" s="144">
        <v>0</v>
      </c>
      <c r="G9" s="144">
        <v>5772234.3399999999</v>
      </c>
    </row>
    <row r="10" spans="2:12" ht="17.25" thickTop="1" x14ac:dyDescent="0.3">
      <c r="B10" s="153" t="s">
        <v>57</v>
      </c>
      <c r="C10" s="144">
        <v>16204493</v>
      </c>
      <c r="D10" s="144">
        <v>548418</v>
      </c>
      <c r="E10" s="144">
        <v>-6343709.8899999997</v>
      </c>
      <c r="F10" s="144">
        <v>0</v>
      </c>
      <c r="G10" s="144">
        <v>10409201.109999999</v>
      </c>
    </row>
    <row r="11" spans="2:12" ht="16.5" x14ac:dyDescent="0.3">
      <c r="B11" s="153" t="s">
        <v>62</v>
      </c>
      <c r="C11" s="144">
        <v>2526467</v>
      </c>
      <c r="D11" s="144">
        <v>0</v>
      </c>
      <c r="E11" s="144">
        <v>-660822.77</v>
      </c>
      <c r="F11" s="144">
        <v>0</v>
      </c>
      <c r="G11" s="144">
        <v>1865644.23</v>
      </c>
    </row>
    <row r="12" spans="2:12" ht="16.5" x14ac:dyDescent="0.3">
      <c r="B12" s="153" t="s">
        <v>67</v>
      </c>
      <c r="C12" s="144">
        <v>101081376</v>
      </c>
      <c r="D12" s="144">
        <v>0</v>
      </c>
      <c r="E12" s="144">
        <v>-32169246.390000001</v>
      </c>
      <c r="F12" s="144">
        <v>0</v>
      </c>
      <c r="G12" s="144">
        <v>68912129.609999999</v>
      </c>
    </row>
    <row r="13" spans="2:12" ht="16.5" x14ac:dyDescent="0.3">
      <c r="B13" s="153" t="s">
        <v>72</v>
      </c>
      <c r="C13" s="144">
        <v>8423448</v>
      </c>
      <c r="D13" s="144">
        <v>0</v>
      </c>
      <c r="E13" s="144">
        <v>0</v>
      </c>
      <c r="F13" s="144">
        <v>0</v>
      </c>
      <c r="G13" s="144">
        <v>8423448</v>
      </c>
    </row>
    <row r="14" spans="2:12" ht="16.5" x14ac:dyDescent="0.3">
      <c r="B14" s="153" t="s">
        <v>77</v>
      </c>
      <c r="C14" s="144">
        <v>8423448</v>
      </c>
      <c r="D14" s="144">
        <v>0</v>
      </c>
      <c r="E14" s="144">
        <v>-6414022.6899999995</v>
      </c>
      <c r="F14" s="144">
        <v>0</v>
      </c>
      <c r="G14" s="144">
        <v>2009425.3100000005</v>
      </c>
    </row>
    <row r="15" spans="2:12" ht="17.25" thickBot="1" x14ac:dyDescent="0.35">
      <c r="B15" s="153" t="s">
        <v>82</v>
      </c>
      <c r="C15" s="144">
        <v>4609930</v>
      </c>
      <c r="D15" s="144">
        <v>0</v>
      </c>
      <c r="E15" s="144">
        <v>-421962.45</v>
      </c>
      <c r="F15" s="144">
        <v>0</v>
      </c>
      <c r="G15" s="144">
        <v>4187967.55</v>
      </c>
    </row>
    <row r="16" spans="2:12" ht="17.25" thickBot="1" x14ac:dyDescent="0.35">
      <c r="B16" s="153" t="s">
        <v>348</v>
      </c>
      <c r="C16" s="144">
        <v>261508</v>
      </c>
      <c r="D16" s="144">
        <v>1014081</v>
      </c>
      <c r="E16" s="144">
        <v>-293085.44</v>
      </c>
      <c r="F16" s="144">
        <v>0</v>
      </c>
      <c r="G16" s="144">
        <v>982503.56</v>
      </c>
    </row>
    <row r="17" spans="2:8" ht="17.25" thickTop="1" x14ac:dyDescent="0.3">
      <c r="B17" s="154" t="s">
        <v>945</v>
      </c>
      <c r="C17" s="155">
        <v>291628594</v>
      </c>
      <c r="D17" s="155">
        <v>-639763</v>
      </c>
      <c r="E17" s="155">
        <v>-103894378.92999999</v>
      </c>
      <c r="F17" s="155">
        <v>0</v>
      </c>
      <c r="G17" s="155">
        <v>187094452.07000002</v>
      </c>
    </row>
    <row r="18" spans="2:8" ht="16.5" x14ac:dyDescent="0.3">
      <c r="B18" s="151" t="s">
        <v>761</v>
      </c>
      <c r="C18" s="144"/>
      <c r="D18" s="144"/>
      <c r="E18" s="144"/>
      <c r="F18" s="144"/>
      <c r="G18" s="144"/>
    </row>
    <row r="19" spans="2:8" ht="17.25" thickTop="1" x14ac:dyDescent="0.3">
      <c r="B19" s="153" t="s">
        <v>93</v>
      </c>
      <c r="C19" s="144">
        <v>4468001</v>
      </c>
      <c r="D19" s="144">
        <v>0</v>
      </c>
      <c r="E19" s="144">
        <v>0</v>
      </c>
      <c r="F19" s="144">
        <v>-4468001</v>
      </c>
      <c r="G19" s="144">
        <v>0</v>
      </c>
    </row>
    <row r="20" spans="2:8" ht="16.5" x14ac:dyDescent="0.3">
      <c r="B20" s="153" t="s">
        <v>98</v>
      </c>
      <c r="C20" s="144">
        <v>1507780</v>
      </c>
      <c r="D20" s="144">
        <v>-660000</v>
      </c>
      <c r="E20" s="144">
        <v>0</v>
      </c>
      <c r="F20" s="144">
        <v>-349780</v>
      </c>
      <c r="G20" s="144">
        <v>498000</v>
      </c>
    </row>
    <row r="21" spans="2:8" ht="17.25" thickBot="1" x14ac:dyDescent="0.35">
      <c r="B21" s="153" t="s">
        <v>103</v>
      </c>
      <c r="C21" s="144">
        <v>1206000</v>
      </c>
      <c r="D21" s="144">
        <v>0</v>
      </c>
      <c r="E21" s="144">
        <v>0</v>
      </c>
      <c r="F21" s="144">
        <v>0</v>
      </c>
      <c r="G21" s="144">
        <v>1206000</v>
      </c>
    </row>
    <row r="22" spans="2:8" ht="17.25" thickTop="1" x14ac:dyDescent="0.3">
      <c r="B22" s="153" t="s">
        <v>108</v>
      </c>
      <c r="C22" s="144">
        <v>128819</v>
      </c>
      <c r="D22" s="144">
        <v>0</v>
      </c>
      <c r="E22" s="144">
        <v>0</v>
      </c>
      <c r="F22" s="144">
        <v>0</v>
      </c>
      <c r="G22" s="144">
        <v>128819</v>
      </c>
    </row>
    <row r="23" spans="2:8" ht="16.5" x14ac:dyDescent="0.3">
      <c r="B23" s="153" t="s">
        <v>123</v>
      </c>
      <c r="C23" s="144">
        <v>326552</v>
      </c>
      <c r="D23" s="144">
        <v>0</v>
      </c>
      <c r="E23" s="144">
        <v>0</v>
      </c>
      <c r="F23" s="144">
        <v>-100000</v>
      </c>
      <c r="G23" s="144">
        <v>226552</v>
      </c>
    </row>
    <row r="24" spans="2:8" ht="16.5" x14ac:dyDescent="0.3">
      <c r="B24" s="153" t="s">
        <v>138</v>
      </c>
      <c r="C24" s="144">
        <v>92480</v>
      </c>
      <c r="D24" s="144">
        <v>0</v>
      </c>
      <c r="E24" s="144">
        <v>0</v>
      </c>
      <c r="F24" s="144">
        <v>0</v>
      </c>
      <c r="G24" s="144">
        <v>92480</v>
      </c>
    </row>
    <row r="25" spans="2:8" ht="16.5" x14ac:dyDescent="0.3">
      <c r="B25" s="153" t="s">
        <v>143</v>
      </c>
      <c r="C25" s="144">
        <v>1126044</v>
      </c>
      <c r="D25" s="144">
        <v>0</v>
      </c>
      <c r="E25" s="144">
        <v>-57934</v>
      </c>
      <c r="F25" s="144">
        <v>0</v>
      </c>
      <c r="G25" s="144">
        <v>1068110</v>
      </c>
      <c r="H25" s="20" t="s">
        <v>760</v>
      </c>
    </row>
    <row r="26" spans="2:8" ht="16.5" x14ac:dyDescent="0.3">
      <c r="B26" s="153" t="s">
        <v>353</v>
      </c>
      <c r="C26" s="144">
        <v>279464</v>
      </c>
      <c r="D26" s="144">
        <v>0</v>
      </c>
      <c r="E26" s="144">
        <v>0</v>
      </c>
      <c r="F26" s="144">
        <v>0</v>
      </c>
      <c r="G26" s="144">
        <v>279464</v>
      </c>
    </row>
    <row r="27" spans="2:8" ht="16.5" x14ac:dyDescent="0.3">
      <c r="B27" s="153" t="s">
        <v>148</v>
      </c>
      <c r="C27" s="144">
        <v>2817263</v>
      </c>
      <c r="D27" s="144">
        <v>0</v>
      </c>
      <c r="E27" s="144">
        <v>-159343.76999999999</v>
      </c>
      <c r="F27" s="144">
        <v>0</v>
      </c>
      <c r="G27" s="144">
        <v>2657919.23</v>
      </c>
    </row>
    <row r="28" spans="2:8" ht="16.5" x14ac:dyDescent="0.3">
      <c r="B28" s="153" t="s">
        <v>358</v>
      </c>
      <c r="C28" s="144">
        <v>331874</v>
      </c>
      <c r="D28" s="144">
        <v>0</v>
      </c>
      <c r="E28" s="144">
        <v>-37554.769999999997</v>
      </c>
      <c r="F28" s="144">
        <v>0</v>
      </c>
      <c r="G28" s="144">
        <v>294319.23</v>
      </c>
      <c r="H28" s="41"/>
    </row>
    <row r="29" spans="2:8" ht="17.25" thickBot="1" x14ac:dyDescent="0.35">
      <c r="B29" s="153" t="s">
        <v>153</v>
      </c>
      <c r="C29" s="144">
        <v>0</v>
      </c>
      <c r="D29" s="144">
        <v>300000</v>
      </c>
      <c r="E29" s="144">
        <v>-293235.38</v>
      </c>
      <c r="F29" s="144">
        <v>0</v>
      </c>
      <c r="G29" s="144">
        <v>6764.6199999999953</v>
      </c>
      <c r="H29" s="41"/>
    </row>
    <row r="30" spans="2:8" ht="17.25" thickBot="1" x14ac:dyDescent="0.35">
      <c r="B30" s="153" t="s">
        <v>158</v>
      </c>
      <c r="C30" s="144">
        <v>1992400</v>
      </c>
      <c r="D30" s="144">
        <v>0</v>
      </c>
      <c r="E30" s="144">
        <v>-118910</v>
      </c>
      <c r="F30" s="144">
        <v>0</v>
      </c>
      <c r="G30" s="144">
        <v>1873490</v>
      </c>
      <c r="H30" s="41"/>
    </row>
    <row r="31" spans="2:8" ht="17.25" thickTop="1" x14ac:dyDescent="0.3">
      <c r="B31" s="154" t="s">
        <v>946</v>
      </c>
      <c r="C31" s="155">
        <v>14276677</v>
      </c>
      <c r="D31" s="155">
        <v>-360000</v>
      </c>
      <c r="E31" s="155">
        <v>-666977.91999999993</v>
      </c>
      <c r="F31" s="155">
        <v>-4917781</v>
      </c>
      <c r="G31" s="155">
        <v>8331918.080000001</v>
      </c>
      <c r="H31" s="41"/>
    </row>
    <row r="32" spans="2:8" ht="16.5" x14ac:dyDescent="0.3">
      <c r="B32" s="151" t="s">
        <v>763</v>
      </c>
      <c r="C32" s="144"/>
      <c r="D32" s="144"/>
      <c r="E32" s="144"/>
      <c r="F32" s="144"/>
      <c r="G32" s="144"/>
    </row>
    <row r="33" spans="2:8" ht="17.25" thickTop="1" x14ac:dyDescent="0.3">
      <c r="B33" s="153" t="s">
        <v>169</v>
      </c>
      <c r="C33" s="144">
        <v>7499063</v>
      </c>
      <c r="D33" s="144">
        <v>0</v>
      </c>
      <c r="E33" s="144">
        <v>0</v>
      </c>
      <c r="F33" s="144">
        <v>-6465825</v>
      </c>
      <c r="G33" s="144">
        <v>1033238</v>
      </c>
    </row>
    <row r="34" spans="2:8" ht="17.25" thickBot="1" x14ac:dyDescent="0.35">
      <c r="B34" s="153" t="s">
        <v>179</v>
      </c>
      <c r="C34" s="144">
        <v>5939018</v>
      </c>
      <c r="D34" s="144">
        <v>0</v>
      </c>
      <c r="E34" s="144">
        <v>0</v>
      </c>
      <c r="F34" s="144">
        <v>-5939018</v>
      </c>
      <c r="G34" s="144">
        <v>0</v>
      </c>
    </row>
    <row r="35" spans="2:8" ht="17.25" thickTop="1" x14ac:dyDescent="0.3">
      <c r="B35" s="153" t="s">
        <v>184</v>
      </c>
      <c r="C35" s="144">
        <v>151460</v>
      </c>
      <c r="D35" s="144">
        <v>0</v>
      </c>
      <c r="E35" s="144">
        <v>0</v>
      </c>
      <c r="F35" s="144">
        <v>0</v>
      </c>
      <c r="G35" s="144">
        <v>151460</v>
      </c>
    </row>
    <row r="36" spans="2:8" ht="16.5" x14ac:dyDescent="0.3">
      <c r="B36" s="153" t="s">
        <v>189</v>
      </c>
      <c r="C36" s="144">
        <v>458236</v>
      </c>
      <c r="D36" s="144">
        <v>0</v>
      </c>
      <c r="E36" s="144">
        <v>-95847.049999999988</v>
      </c>
      <c r="F36" s="144">
        <v>0</v>
      </c>
      <c r="G36" s="144">
        <v>362388.95</v>
      </c>
    </row>
    <row r="37" spans="2:8" ht="16.5" x14ac:dyDescent="0.3">
      <c r="B37" s="153" t="s">
        <v>194</v>
      </c>
      <c r="C37" s="144">
        <v>4529584</v>
      </c>
      <c r="D37" s="144">
        <v>0</v>
      </c>
      <c r="E37" s="144">
        <v>0</v>
      </c>
      <c r="F37" s="144">
        <v>-3667000</v>
      </c>
      <c r="G37" s="144">
        <v>862584</v>
      </c>
    </row>
    <row r="38" spans="2:8" ht="16.5" x14ac:dyDescent="0.3">
      <c r="B38" s="153" t="s">
        <v>199</v>
      </c>
      <c r="C38" s="144">
        <v>644293</v>
      </c>
      <c r="D38" s="144">
        <v>0</v>
      </c>
      <c r="E38" s="144">
        <v>0</v>
      </c>
      <c r="F38" s="144">
        <v>-644293</v>
      </c>
      <c r="G38" s="144">
        <v>0</v>
      </c>
    </row>
    <row r="39" spans="2:8" ht="17.25" thickBot="1" x14ac:dyDescent="0.35">
      <c r="B39" s="153" t="s">
        <v>219</v>
      </c>
      <c r="C39" s="144">
        <v>8444220</v>
      </c>
      <c r="D39" s="144">
        <v>0</v>
      </c>
      <c r="E39" s="144">
        <v>-2122104.0700000003</v>
      </c>
      <c r="F39" s="144">
        <v>0</v>
      </c>
      <c r="G39" s="144">
        <v>6322115.9299999997</v>
      </c>
    </row>
    <row r="40" spans="2:8" ht="17.25" thickTop="1" x14ac:dyDescent="0.3">
      <c r="B40" s="153" t="s">
        <v>214</v>
      </c>
      <c r="C40" s="144">
        <v>25000000</v>
      </c>
      <c r="D40" s="144">
        <v>0</v>
      </c>
      <c r="E40" s="144">
        <v>0</v>
      </c>
      <c r="F40" s="144">
        <v>0</v>
      </c>
      <c r="G40" s="144">
        <v>25000000</v>
      </c>
    </row>
    <row r="41" spans="2:8" ht="16.5" x14ac:dyDescent="0.3">
      <c r="B41" s="153" t="s">
        <v>209</v>
      </c>
      <c r="C41" s="144">
        <v>23318659</v>
      </c>
      <c r="D41" s="144">
        <v>0</v>
      </c>
      <c r="E41" s="144">
        <v>-9395871.5300000012</v>
      </c>
      <c r="F41" s="144">
        <v>-13922787.469999999</v>
      </c>
      <c r="G41" s="144">
        <v>0</v>
      </c>
    </row>
    <row r="42" spans="2:8" ht="17.25" thickBot="1" x14ac:dyDescent="0.35">
      <c r="B42" s="153" t="s">
        <v>224</v>
      </c>
      <c r="C42" s="144">
        <v>68820366</v>
      </c>
      <c r="D42" s="144">
        <v>0</v>
      </c>
      <c r="E42" s="144">
        <v>-23605072.5</v>
      </c>
      <c r="F42" s="144">
        <v>-45215293.5</v>
      </c>
      <c r="G42" s="144">
        <v>0</v>
      </c>
    </row>
    <row r="43" spans="2:8" ht="17.25" thickTop="1" x14ac:dyDescent="0.3">
      <c r="B43" s="153" t="s">
        <v>229</v>
      </c>
      <c r="C43" s="144">
        <v>12000000</v>
      </c>
      <c r="D43" s="144">
        <v>0</v>
      </c>
      <c r="E43" s="144">
        <v>-11200000</v>
      </c>
      <c r="F43" s="144">
        <v>0</v>
      </c>
      <c r="G43" s="144">
        <v>800000</v>
      </c>
      <c r="H43" s="41"/>
    </row>
    <row r="44" spans="2:8" ht="16.5" x14ac:dyDescent="0.3">
      <c r="B44" s="153" t="s">
        <v>363</v>
      </c>
      <c r="C44" s="144">
        <v>1500000</v>
      </c>
      <c r="D44" s="144">
        <v>-428212</v>
      </c>
      <c r="E44" s="144">
        <v>0</v>
      </c>
      <c r="F44" s="144">
        <v>-1071788</v>
      </c>
      <c r="G44" s="144">
        <v>0</v>
      </c>
    </row>
    <row r="45" spans="2:8" ht="17.25" thickBot="1" x14ac:dyDescent="0.35">
      <c r="B45" s="153" t="s">
        <v>234</v>
      </c>
      <c r="C45" s="144">
        <v>1505613</v>
      </c>
      <c r="D45" s="144">
        <v>-308901</v>
      </c>
      <c r="E45" s="144">
        <v>0</v>
      </c>
      <c r="F45" s="144">
        <v>-1024072</v>
      </c>
      <c r="G45" s="144">
        <v>172640</v>
      </c>
    </row>
    <row r="46" spans="2:8" ht="17.25" thickTop="1" x14ac:dyDescent="0.3">
      <c r="B46" s="153" t="s">
        <v>244</v>
      </c>
      <c r="C46" s="144">
        <v>979620</v>
      </c>
      <c r="D46" s="144">
        <v>-500000</v>
      </c>
      <c r="E46" s="144">
        <v>0</v>
      </c>
      <c r="F46" s="144">
        <v>-38400</v>
      </c>
      <c r="G46" s="144">
        <v>441220</v>
      </c>
    </row>
    <row r="47" spans="2:8" ht="16.5" x14ac:dyDescent="0.3">
      <c r="B47" s="153" t="s">
        <v>950</v>
      </c>
      <c r="C47" s="144">
        <v>105449</v>
      </c>
      <c r="D47" s="144">
        <v>0</v>
      </c>
      <c r="E47" s="144">
        <v>0</v>
      </c>
      <c r="F47" s="144">
        <v>0</v>
      </c>
      <c r="G47" s="144">
        <v>105449</v>
      </c>
    </row>
    <row r="48" spans="2:8" ht="16.5" x14ac:dyDescent="0.3">
      <c r="B48" s="153" t="s">
        <v>254</v>
      </c>
      <c r="C48" s="144">
        <v>100000</v>
      </c>
      <c r="D48" s="144">
        <v>0</v>
      </c>
      <c r="E48" s="144">
        <v>0</v>
      </c>
      <c r="F48" s="144">
        <v>0</v>
      </c>
      <c r="G48" s="144">
        <v>100000</v>
      </c>
    </row>
    <row r="49" spans="2:12" ht="16.5" x14ac:dyDescent="0.3">
      <c r="B49" s="153" t="s">
        <v>259</v>
      </c>
      <c r="C49" s="144">
        <v>547665</v>
      </c>
      <c r="D49" s="144">
        <v>0</v>
      </c>
      <c r="E49" s="144">
        <v>-3999.3</v>
      </c>
      <c r="F49" s="144">
        <v>-470316</v>
      </c>
      <c r="G49" s="144">
        <v>73349.699999999953</v>
      </c>
      <c r="L49" s="109">
        <v>2401200</v>
      </c>
    </row>
    <row r="50" spans="2:12" ht="16.5" x14ac:dyDescent="0.3">
      <c r="B50" s="153" t="s">
        <v>264</v>
      </c>
      <c r="C50" s="144">
        <v>1721300</v>
      </c>
      <c r="D50" s="144">
        <v>0</v>
      </c>
      <c r="E50" s="144">
        <v>-261343.76</v>
      </c>
      <c r="F50" s="144">
        <v>-671032.43999999994</v>
      </c>
      <c r="G50" s="144">
        <v>788923.8</v>
      </c>
      <c r="I50" s="106" t="s">
        <v>424</v>
      </c>
      <c r="J50" s="107">
        <v>-6025770.7636850812</v>
      </c>
      <c r="K50" s="108">
        <f t="shared" ref="K50:K52" si="0">SUM(J50)/SUM($J$50:$J$52)</f>
        <v>0.31966928877012046</v>
      </c>
      <c r="L50" s="26">
        <f>K50*$L$49</f>
        <v>767589.89619481331</v>
      </c>
    </row>
    <row r="51" spans="2:12" ht="16.5" x14ac:dyDescent="0.3">
      <c r="B51" s="153" t="s">
        <v>368</v>
      </c>
      <c r="C51" s="144">
        <v>10000</v>
      </c>
      <c r="D51" s="144">
        <v>2478</v>
      </c>
      <c r="E51" s="144">
        <v>0</v>
      </c>
      <c r="F51" s="144">
        <v>-10000</v>
      </c>
      <c r="G51" s="144">
        <v>2478</v>
      </c>
      <c r="I51" s="106" t="s">
        <v>318</v>
      </c>
      <c r="J51" s="107">
        <v>-4580463.6959707029</v>
      </c>
      <c r="K51" s="108">
        <f t="shared" si="0"/>
        <v>0.24299523319948779</v>
      </c>
      <c r="L51" s="26">
        <f t="shared" ref="L51:L52" si="1">K51*$L$49</f>
        <v>583480.15395861014</v>
      </c>
    </row>
    <row r="52" spans="2:12" ht="17.25" thickBot="1" x14ac:dyDescent="0.35">
      <c r="B52" s="153" t="s">
        <v>269</v>
      </c>
      <c r="C52" s="144">
        <v>11619874</v>
      </c>
      <c r="D52" s="144">
        <v>2362100</v>
      </c>
      <c r="E52" s="144">
        <v>-2346796.08</v>
      </c>
      <c r="F52" s="144">
        <v>-11635177.92</v>
      </c>
      <c r="G52" s="144">
        <v>0</v>
      </c>
      <c r="I52" s="106" t="s">
        <v>317</v>
      </c>
      <c r="J52" s="107">
        <v>-8243780.15034422</v>
      </c>
      <c r="K52" s="108">
        <f t="shared" si="0"/>
        <v>0.43733547803039174</v>
      </c>
      <c r="L52" s="26">
        <f t="shared" si="1"/>
        <v>1050129.9498465767</v>
      </c>
    </row>
    <row r="53" spans="2:12" ht="17.25" thickTop="1" x14ac:dyDescent="0.3">
      <c r="B53" s="153" t="s">
        <v>274</v>
      </c>
      <c r="C53" s="144">
        <v>48000</v>
      </c>
      <c r="D53" s="144">
        <v>0</v>
      </c>
      <c r="E53" s="144">
        <v>0</v>
      </c>
      <c r="F53" s="144">
        <v>-48000</v>
      </c>
      <c r="G53" s="144">
        <v>0</v>
      </c>
    </row>
    <row r="54" spans="2:12" ht="16.5" x14ac:dyDescent="0.3">
      <c r="B54" s="153" t="s">
        <v>279</v>
      </c>
      <c r="C54" s="144">
        <v>5885189</v>
      </c>
      <c r="D54" s="144">
        <v>0</v>
      </c>
      <c r="E54" s="144">
        <v>-240473.85999999975</v>
      </c>
      <c r="F54" s="144">
        <v>-5644715.1400000006</v>
      </c>
      <c r="G54" s="144">
        <v>0</v>
      </c>
    </row>
    <row r="55" spans="2:12" ht="17.25" thickBot="1" x14ac:dyDescent="0.35">
      <c r="B55" s="153" t="s">
        <v>284</v>
      </c>
      <c r="C55" s="144">
        <v>831496</v>
      </c>
      <c r="D55" s="144">
        <v>0</v>
      </c>
      <c r="E55" s="144">
        <v>-45410</v>
      </c>
      <c r="F55" s="144">
        <v>-721086</v>
      </c>
      <c r="G55" s="144">
        <v>65000</v>
      </c>
    </row>
    <row r="56" spans="2:12" ht="17.25" thickTop="1" x14ac:dyDescent="0.3">
      <c r="B56" s="154" t="s">
        <v>943</v>
      </c>
      <c r="C56" s="155">
        <v>181659105</v>
      </c>
      <c r="D56" s="155">
        <v>1127465</v>
      </c>
      <c r="E56" s="155">
        <v>-49316918.149999999</v>
      </c>
      <c r="F56" s="155">
        <v>-97188804.469999999</v>
      </c>
      <c r="G56" s="155">
        <v>36280847.379999995</v>
      </c>
    </row>
    <row r="57" spans="2:12" ht="16.5" x14ac:dyDescent="0.3">
      <c r="B57" s="151" t="s">
        <v>764</v>
      </c>
      <c r="C57" s="144"/>
      <c r="D57" s="144"/>
      <c r="E57" s="144"/>
      <c r="F57" s="144"/>
      <c r="G57" s="144"/>
    </row>
    <row r="58" spans="2:12" ht="17.25" thickBot="1" x14ac:dyDescent="0.35">
      <c r="B58" s="153" t="s">
        <v>295</v>
      </c>
      <c r="C58" s="144">
        <v>300000</v>
      </c>
      <c r="D58" s="144">
        <v>0</v>
      </c>
      <c r="E58" s="144">
        <v>0</v>
      </c>
      <c r="F58" s="144">
        <v>-300000</v>
      </c>
      <c r="G58" s="144">
        <v>0</v>
      </c>
    </row>
    <row r="59" spans="2:12" ht="17.25" thickTop="1" x14ac:dyDescent="0.3">
      <c r="B59" s="153" t="s">
        <v>300</v>
      </c>
      <c r="C59" s="144">
        <v>1096998</v>
      </c>
      <c r="D59" s="144">
        <v>0</v>
      </c>
      <c r="E59" s="144">
        <v>0</v>
      </c>
      <c r="F59" s="144">
        <v>-1096998</v>
      </c>
      <c r="G59" s="144">
        <v>0</v>
      </c>
    </row>
    <row r="60" spans="2:12" ht="16.5" x14ac:dyDescent="0.3">
      <c r="B60" s="153" t="s">
        <v>310</v>
      </c>
      <c r="C60" s="144">
        <v>1500000</v>
      </c>
      <c r="D60" s="144">
        <v>0</v>
      </c>
      <c r="E60" s="144">
        <v>0</v>
      </c>
      <c r="F60" s="144">
        <v>-1500000</v>
      </c>
      <c r="G60" s="144">
        <v>0</v>
      </c>
    </row>
    <row r="61" spans="2:12" ht="17.25" thickTop="1" x14ac:dyDescent="0.3">
      <c r="B61" s="153" t="s">
        <v>338</v>
      </c>
      <c r="C61" s="144">
        <v>800000</v>
      </c>
      <c r="D61" s="144">
        <v>937113</v>
      </c>
      <c r="E61" s="144">
        <v>0</v>
      </c>
      <c r="F61" s="144">
        <v>-1737113</v>
      </c>
      <c r="G61" s="144">
        <v>0</v>
      </c>
    </row>
    <row r="62" spans="2:12" ht="16.5" x14ac:dyDescent="0.3">
      <c r="B62" s="153" t="s">
        <v>315</v>
      </c>
      <c r="C62" s="144">
        <v>14776048</v>
      </c>
      <c r="D62" s="144">
        <v>0</v>
      </c>
      <c r="E62" s="144">
        <v>-18850014.610000003</v>
      </c>
      <c r="F62" s="144">
        <v>0</v>
      </c>
      <c r="G62" s="144">
        <v>-4073966.6100000031</v>
      </c>
    </row>
    <row r="63" spans="2:12" ht="16.5" x14ac:dyDescent="0.3">
      <c r="B63" s="153" t="s">
        <v>716</v>
      </c>
      <c r="C63" s="144">
        <v>0</v>
      </c>
      <c r="D63" s="144">
        <v>300000</v>
      </c>
      <c r="E63" s="144">
        <v>0</v>
      </c>
      <c r="F63" s="144">
        <v>-300000</v>
      </c>
      <c r="G63" s="144">
        <v>0</v>
      </c>
      <c r="J63" s="20" t="s">
        <v>564</v>
      </c>
    </row>
    <row r="64" spans="2:12" ht="16.5" x14ac:dyDescent="0.3">
      <c r="B64" s="153" t="s">
        <v>320</v>
      </c>
      <c r="C64" s="144">
        <v>3394616</v>
      </c>
      <c r="D64" s="144">
        <v>0</v>
      </c>
      <c r="E64" s="144">
        <v>-3218639.01</v>
      </c>
      <c r="F64" s="144">
        <v>0</v>
      </c>
      <c r="G64" s="144">
        <v>175976.99000000022</v>
      </c>
      <c r="J64" s="42">
        <v>9045</v>
      </c>
      <c r="K64" s="26">
        <f>J64*9</f>
        <v>81405</v>
      </c>
      <c r="L64" s="26">
        <f>K64*3</f>
        <v>244215</v>
      </c>
    </row>
    <row r="65" spans="2:10" ht="17.25" thickBot="1" x14ac:dyDescent="0.35">
      <c r="B65" s="153" t="s">
        <v>325</v>
      </c>
      <c r="C65" s="144">
        <v>510047</v>
      </c>
      <c r="D65" s="144">
        <v>0</v>
      </c>
      <c r="E65" s="144">
        <v>0</v>
      </c>
      <c r="F65" s="144">
        <v>-510047</v>
      </c>
      <c r="G65" s="144">
        <v>0</v>
      </c>
      <c r="J65" s="42">
        <v>30</v>
      </c>
    </row>
    <row r="66" spans="2:10" ht="17.25" thickTop="1" x14ac:dyDescent="0.3">
      <c r="B66" s="154" t="s">
        <v>944</v>
      </c>
      <c r="C66" s="155">
        <v>22377709</v>
      </c>
      <c r="D66" s="155">
        <v>1237113</v>
      </c>
      <c r="E66" s="155">
        <v>-22068653.620000005</v>
      </c>
      <c r="F66" s="155">
        <v>-5444158</v>
      </c>
      <c r="G66" s="155">
        <v>-3897989.6200000029</v>
      </c>
      <c r="H66" s="41"/>
      <c r="J66" s="43">
        <f>J64*J65</f>
        <v>271350</v>
      </c>
    </row>
    <row r="67" spans="2:10" ht="16.5" x14ac:dyDescent="0.3">
      <c r="B67" s="151" t="s">
        <v>765</v>
      </c>
      <c r="C67" s="152">
        <v>1800</v>
      </c>
      <c r="D67" s="152">
        <v>0</v>
      </c>
      <c r="E67" s="152">
        <v>0</v>
      </c>
      <c r="F67" s="152">
        <v>0</v>
      </c>
      <c r="G67" s="152">
        <v>1800</v>
      </c>
    </row>
    <row r="68" spans="2:10" ht="18.75" thickBot="1" x14ac:dyDescent="0.3">
      <c r="B68" s="147" t="s">
        <v>561</v>
      </c>
      <c r="C68" s="148">
        <v>509943885</v>
      </c>
      <c r="D68" s="148">
        <v>1364815</v>
      </c>
      <c r="E68" s="148">
        <v>-175946928.62</v>
      </c>
      <c r="F68" s="148">
        <v>-107550743.47</v>
      </c>
      <c r="G68" s="148">
        <v>227811027.91</v>
      </c>
    </row>
    <row r="69" spans="2:10" ht="15.75" thickTop="1" x14ac:dyDescent="0.25">
      <c r="B69"/>
      <c r="C69"/>
      <c r="D69"/>
      <c r="E69"/>
      <c r="F69"/>
      <c r="G69"/>
      <c r="H69" s="41"/>
    </row>
    <row r="70" spans="2:10" x14ac:dyDescent="0.25">
      <c r="B70"/>
      <c r="C70"/>
      <c r="D70"/>
      <c r="E70"/>
      <c r="F70"/>
      <c r="G70"/>
    </row>
    <row r="71" spans="2:10" ht="15.75" thickTop="1" x14ac:dyDescent="0.25">
      <c r="B71"/>
      <c r="C71"/>
      <c r="D71"/>
      <c r="E71"/>
      <c r="F71"/>
      <c r="G71"/>
    </row>
    <row r="72" spans="2:10" x14ac:dyDescent="0.25">
      <c r="B72"/>
      <c r="C72"/>
      <c r="D72"/>
      <c r="E72"/>
      <c r="F72"/>
      <c r="G72"/>
    </row>
    <row r="73" spans="2:10" ht="15.75" thickBot="1" x14ac:dyDescent="0.3">
      <c r="B73"/>
      <c r="C73"/>
      <c r="D73"/>
      <c r="E73"/>
      <c r="F73"/>
      <c r="G73"/>
    </row>
    <row r="74" spans="2:10" ht="15.75" thickTop="1" x14ac:dyDescent="0.25">
      <c r="B74"/>
      <c r="C74"/>
      <c r="D74"/>
      <c r="E74"/>
      <c r="F74"/>
      <c r="G74"/>
    </row>
    <row r="75" spans="2:10" x14ac:dyDescent="0.25">
      <c r="B75"/>
      <c r="C75"/>
      <c r="D75"/>
      <c r="E75"/>
      <c r="F75"/>
      <c r="G75"/>
    </row>
    <row r="76" spans="2:10" x14ac:dyDescent="0.25">
      <c r="B76"/>
      <c r="C76"/>
      <c r="D76"/>
      <c r="E76"/>
      <c r="F76"/>
      <c r="G76"/>
    </row>
    <row r="77" spans="2:10" ht="15.75" thickBot="1" x14ac:dyDescent="0.3">
      <c r="B77"/>
      <c r="C77"/>
      <c r="D77"/>
      <c r="E77"/>
      <c r="F77"/>
      <c r="G77"/>
    </row>
    <row r="78" spans="2:10" ht="15.75" thickTop="1" x14ac:dyDescent="0.25">
      <c r="B78"/>
      <c r="C78"/>
      <c r="D78"/>
      <c r="E78"/>
      <c r="F78"/>
      <c r="G78"/>
    </row>
    <row r="79" spans="2:10" x14ac:dyDescent="0.25">
      <c r="B79"/>
      <c r="C79"/>
      <c r="D79"/>
      <c r="E79"/>
      <c r="F79"/>
      <c r="G79"/>
    </row>
    <row r="80" spans="2:10" x14ac:dyDescent="0.25">
      <c r="B80"/>
      <c r="C80"/>
      <c r="D80"/>
      <c r="E80"/>
      <c r="F80"/>
      <c r="G80"/>
    </row>
    <row r="81" spans="2:7" ht="15.75" thickBot="1" x14ac:dyDescent="0.3">
      <c r="B81"/>
      <c r="C81"/>
      <c r="D81"/>
      <c r="E81"/>
      <c r="F81"/>
      <c r="G81"/>
    </row>
    <row r="82" spans="2:7" ht="15.75" thickTop="1" x14ac:dyDescent="0.25">
      <c r="B82"/>
      <c r="C82"/>
      <c r="D82"/>
      <c r="E82"/>
      <c r="F82"/>
      <c r="G82"/>
    </row>
    <row r="83" spans="2:7" x14ac:dyDescent="0.25">
      <c r="B83"/>
      <c r="C83"/>
      <c r="D83"/>
      <c r="E83"/>
      <c r="F83"/>
      <c r="G83"/>
    </row>
    <row r="84" spans="2:7" x14ac:dyDescent="0.25">
      <c r="B84"/>
      <c r="C84"/>
      <c r="D84"/>
      <c r="E84"/>
      <c r="F84"/>
      <c r="G84"/>
    </row>
    <row r="85" spans="2:7" x14ac:dyDescent="0.25">
      <c r="B85"/>
      <c r="C85"/>
      <c r="D85"/>
      <c r="E85"/>
      <c r="F85"/>
      <c r="G85"/>
    </row>
    <row r="86" spans="2:7" x14ac:dyDescent="0.25">
      <c r="B86"/>
      <c r="C86"/>
      <c r="D86"/>
      <c r="E86"/>
      <c r="F86"/>
      <c r="G86"/>
    </row>
    <row r="87" spans="2:7" x14ac:dyDescent="0.25">
      <c r="B87"/>
      <c r="C87"/>
      <c r="D87"/>
      <c r="E87"/>
      <c r="F87"/>
      <c r="G87"/>
    </row>
    <row r="88" spans="2:7" ht="15.75" thickBot="1" x14ac:dyDescent="0.3">
      <c r="B88"/>
      <c r="C88"/>
      <c r="D88"/>
      <c r="E88"/>
      <c r="F88"/>
      <c r="G88"/>
    </row>
    <row r="89" spans="2:7" ht="15.75" thickTop="1" x14ac:dyDescent="0.25">
      <c r="B89"/>
      <c r="C89"/>
      <c r="D89"/>
      <c r="E89"/>
      <c r="F89"/>
      <c r="G89"/>
    </row>
    <row r="90" spans="2:7" x14ac:dyDescent="0.25">
      <c r="B90"/>
      <c r="C90"/>
      <c r="D90"/>
      <c r="E90"/>
      <c r="F90"/>
      <c r="G90"/>
    </row>
    <row r="91" spans="2:7" x14ac:dyDescent="0.25">
      <c r="B91"/>
      <c r="C91"/>
      <c r="D91"/>
      <c r="E91"/>
      <c r="F91"/>
      <c r="G91"/>
    </row>
    <row r="92" spans="2:7" x14ac:dyDescent="0.25">
      <c r="B92"/>
      <c r="C92"/>
      <c r="D92"/>
      <c r="E92"/>
      <c r="F92"/>
      <c r="G92"/>
    </row>
    <row r="93" spans="2:7" x14ac:dyDescent="0.25">
      <c r="B93"/>
      <c r="C93"/>
      <c r="D93"/>
      <c r="E93"/>
      <c r="F93"/>
      <c r="G93"/>
    </row>
    <row r="94" spans="2:7" ht="15.75" thickTop="1" x14ac:dyDescent="0.25">
      <c r="B94"/>
      <c r="C94"/>
      <c r="D94"/>
      <c r="E94"/>
      <c r="F94"/>
      <c r="G94"/>
    </row>
    <row r="95" spans="2:7" x14ac:dyDescent="0.25">
      <c r="B95"/>
      <c r="C95"/>
      <c r="D95"/>
      <c r="E95"/>
      <c r="F95"/>
      <c r="G95"/>
    </row>
    <row r="96" spans="2:7" x14ac:dyDescent="0.25">
      <c r="B96"/>
      <c r="C96"/>
      <c r="D96"/>
      <c r="E96"/>
      <c r="F96"/>
      <c r="G96"/>
    </row>
    <row r="97" spans="2:7" x14ac:dyDescent="0.25">
      <c r="B97"/>
      <c r="C97"/>
      <c r="D97"/>
      <c r="E97"/>
      <c r="F97"/>
      <c r="G97"/>
    </row>
    <row r="98" spans="2:7" x14ac:dyDescent="0.25">
      <c r="B98"/>
      <c r="C98"/>
      <c r="D98"/>
      <c r="E98"/>
      <c r="F98"/>
      <c r="G98"/>
    </row>
    <row r="99" spans="2:7" x14ac:dyDescent="0.25">
      <c r="B99"/>
      <c r="C99"/>
      <c r="D99"/>
      <c r="E99"/>
      <c r="F99"/>
      <c r="G99"/>
    </row>
    <row r="100" spans="2:7" x14ac:dyDescent="0.25">
      <c r="B100"/>
      <c r="C100"/>
      <c r="D100"/>
      <c r="E100"/>
      <c r="F100"/>
      <c r="G100"/>
    </row>
    <row r="101" spans="2:7" x14ac:dyDescent="0.25">
      <c r="B101"/>
      <c r="C101"/>
      <c r="D101"/>
      <c r="E101"/>
      <c r="F101"/>
      <c r="G101"/>
    </row>
    <row r="102" spans="2:7" x14ac:dyDescent="0.25">
      <c r="B102"/>
      <c r="C102"/>
      <c r="D102"/>
      <c r="E102"/>
      <c r="F102"/>
      <c r="G102"/>
    </row>
    <row r="103" spans="2:7" x14ac:dyDescent="0.25">
      <c r="B103"/>
      <c r="C103"/>
      <c r="D103"/>
      <c r="E103"/>
      <c r="F103"/>
      <c r="G103"/>
    </row>
    <row r="104" spans="2:7" ht="15.75" thickBot="1" x14ac:dyDescent="0.3">
      <c r="B104"/>
      <c r="C104"/>
      <c r="D104"/>
      <c r="E104"/>
      <c r="F104"/>
      <c r="G104"/>
    </row>
    <row r="105" spans="2:7" ht="15.75" thickTop="1" x14ac:dyDescent="0.25">
      <c r="B105"/>
      <c r="C105"/>
      <c r="D105"/>
      <c r="E105"/>
      <c r="F105"/>
      <c r="G105"/>
    </row>
    <row r="106" spans="2:7" x14ac:dyDescent="0.25">
      <c r="B106"/>
      <c r="C106"/>
      <c r="D106"/>
      <c r="E106"/>
      <c r="F106"/>
      <c r="G106"/>
    </row>
    <row r="107" spans="2:7" x14ac:dyDescent="0.25">
      <c r="B107"/>
      <c r="C107"/>
      <c r="D107"/>
      <c r="E107"/>
      <c r="F107"/>
      <c r="G107"/>
    </row>
    <row r="108" spans="2:7" x14ac:dyDescent="0.25">
      <c r="B108"/>
      <c r="C108"/>
      <c r="D108"/>
      <c r="E108"/>
      <c r="F108"/>
      <c r="G108"/>
    </row>
    <row r="109" spans="2:7" ht="15.75" thickBot="1" x14ac:dyDescent="0.3">
      <c r="B109"/>
      <c r="C109"/>
      <c r="D109"/>
      <c r="E109"/>
      <c r="F109"/>
      <c r="G109"/>
    </row>
    <row r="110" spans="2:7" ht="15.75" thickTop="1" x14ac:dyDescent="0.25">
      <c r="B110"/>
      <c r="C110"/>
      <c r="D110"/>
      <c r="E110"/>
      <c r="F110"/>
      <c r="G110"/>
    </row>
    <row r="111" spans="2:7" x14ac:dyDescent="0.25">
      <c r="B111"/>
      <c r="C111"/>
      <c r="D111"/>
      <c r="E111"/>
      <c r="F111"/>
      <c r="G111"/>
    </row>
    <row r="112" spans="2:7" x14ac:dyDescent="0.25">
      <c r="B112"/>
      <c r="C112"/>
      <c r="D112"/>
      <c r="E112"/>
      <c r="F112"/>
      <c r="G112"/>
    </row>
    <row r="113" spans="2:7" x14ac:dyDescent="0.25">
      <c r="B113"/>
      <c r="C113"/>
      <c r="D113"/>
      <c r="E113"/>
      <c r="F113"/>
      <c r="G113"/>
    </row>
    <row r="114" spans="2:7" x14ac:dyDescent="0.25">
      <c r="B114"/>
      <c r="C114"/>
      <c r="D114"/>
      <c r="E114"/>
      <c r="F114"/>
      <c r="G114"/>
    </row>
    <row r="115" spans="2:7" x14ac:dyDescent="0.25">
      <c r="B115"/>
      <c r="C115"/>
      <c r="D115"/>
      <c r="E115"/>
      <c r="F115"/>
      <c r="G115"/>
    </row>
    <row r="116" spans="2:7" x14ac:dyDescent="0.25">
      <c r="B116"/>
      <c r="C116"/>
      <c r="D116"/>
      <c r="E116"/>
      <c r="F116"/>
      <c r="G116"/>
    </row>
    <row r="117" spans="2:7" x14ac:dyDescent="0.25">
      <c r="B117"/>
      <c r="C117"/>
      <c r="D117"/>
      <c r="E117"/>
      <c r="F117"/>
      <c r="G117"/>
    </row>
    <row r="118" spans="2:7" x14ac:dyDescent="0.25">
      <c r="B118"/>
      <c r="C118"/>
      <c r="D118"/>
      <c r="E118"/>
      <c r="F118"/>
      <c r="G118"/>
    </row>
    <row r="119" spans="2:7" x14ac:dyDescent="0.25">
      <c r="B119"/>
      <c r="C119"/>
      <c r="D119"/>
      <c r="E119"/>
      <c r="F119"/>
      <c r="G119"/>
    </row>
    <row r="120" spans="2:7" x14ac:dyDescent="0.25">
      <c r="B120"/>
      <c r="C120"/>
      <c r="D120"/>
      <c r="E120"/>
      <c r="F120"/>
      <c r="G120"/>
    </row>
    <row r="121" spans="2:7" x14ac:dyDescent="0.25">
      <c r="B121"/>
      <c r="C121"/>
      <c r="D121"/>
      <c r="E121"/>
      <c r="F121"/>
      <c r="G121"/>
    </row>
    <row r="122" spans="2:7" x14ac:dyDescent="0.25">
      <c r="B122"/>
      <c r="C122"/>
      <c r="D122"/>
      <c r="E122"/>
      <c r="F122"/>
      <c r="G122"/>
    </row>
    <row r="123" spans="2:7" x14ac:dyDescent="0.25">
      <c r="B123"/>
      <c r="C123"/>
      <c r="D123"/>
      <c r="E123"/>
      <c r="F123"/>
      <c r="G123"/>
    </row>
    <row r="124" spans="2:7" x14ac:dyDescent="0.25">
      <c r="B124"/>
      <c r="C124"/>
      <c r="D124"/>
      <c r="E124"/>
      <c r="F124"/>
      <c r="G124"/>
    </row>
    <row r="125" spans="2:7" x14ac:dyDescent="0.25">
      <c r="B125"/>
      <c r="C125"/>
      <c r="D125"/>
      <c r="E125"/>
      <c r="F125"/>
      <c r="G125"/>
    </row>
    <row r="126" spans="2:7" x14ac:dyDescent="0.25">
      <c r="B126"/>
      <c r="C126"/>
      <c r="D126"/>
      <c r="E126"/>
      <c r="F126"/>
      <c r="G126"/>
    </row>
    <row r="127" spans="2:7" x14ac:dyDescent="0.25">
      <c r="B127"/>
      <c r="C127"/>
      <c r="D127"/>
      <c r="E127"/>
      <c r="F127"/>
      <c r="G127"/>
    </row>
    <row r="128" spans="2:7" x14ac:dyDescent="0.25">
      <c r="B128"/>
      <c r="C128"/>
      <c r="D128"/>
      <c r="E128"/>
      <c r="F128"/>
      <c r="G128"/>
    </row>
    <row r="129" spans="2:7" x14ac:dyDescent="0.25">
      <c r="B129"/>
      <c r="C129"/>
      <c r="D129"/>
      <c r="E129"/>
      <c r="F129"/>
      <c r="G129"/>
    </row>
    <row r="130" spans="2:7" x14ac:dyDescent="0.25">
      <c r="B130"/>
      <c r="C130"/>
      <c r="D130"/>
      <c r="E130"/>
      <c r="F130"/>
      <c r="G130"/>
    </row>
    <row r="131" spans="2:7" x14ac:dyDescent="0.25">
      <c r="B131"/>
      <c r="C131"/>
      <c r="D131"/>
      <c r="E131"/>
      <c r="F131"/>
      <c r="G131"/>
    </row>
    <row r="132" spans="2:7" x14ac:dyDescent="0.25">
      <c r="B132"/>
      <c r="C132"/>
      <c r="D132"/>
      <c r="E132"/>
      <c r="F132"/>
      <c r="G132"/>
    </row>
    <row r="133" spans="2:7" x14ac:dyDescent="0.25">
      <c r="B133"/>
      <c r="C133"/>
      <c r="D133"/>
      <c r="E133"/>
      <c r="F133"/>
      <c r="G133"/>
    </row>
    <row r="134" spans="2:7" x14ac:dyDescent="0.25">
      <c r="B134"/>
      <c r="C134"/>
      <c r="D134"/>
      <c r="E134"/>
      <c r="F134"/>
      <c r="G134"/>
    </row>
    <row r="135" spans="2:7" x14ac:dyDescent="0.25">
      <c r="B135"/>
      <c r="C135"/>
      <c r="D135"/>
      <c r="E135"/>
      <c r="F135"/>
      <c r="G135"/>
    </row>
    <row r="136" spans="2:7" x14ac:dyDescent="0.25">
      <c r="B136"/>
      <c r="C136"/>
      <c r="D136"/>
      <c r="E136"/>
      <c r="F136"/>
      <c r="G136"/>
    </row>
    <row r="137" spans="2:7" x14ac:dyDescent="0.25">
      <c r="B137"/>
      <c r="C137"/>
      <c r="D137"/>
      <c r="E137"/>
      <c r="F137"/>
      <c r="G137"/>
    </row>
    <row r="138" spans="2:7" x14ac:dyDescent="0.25">
      <c r="B138"/>
      <c r="C138"/>
      <c r="D138"/>
      <c r="E138"/>
      <c r="F138"/>
      <c r="G138"/>
    </row>
    <row r="139" spans="2:7"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spans="2:7" x14ac:dyDescent="0.25">
      <c r="B145"/>
      <c r="C145"/>
      <c r="D145"/>
      <c r="E145"/>
      <c r="F145"/>
      <c r="G145"/>
    </row>
    <row r="146" spans="2:7" x14ac:dyDescent="0.25">
      <c r="B146"/>
      <c r="C146"/>
      <c r="D146"/>
      <c r="E146"/>
      <c r="F146"/>
      <c r="G146"/>
    </row>
    <row r="147" spans="2:7" x14ac:dyDescent="0.25">
      <c r="B147"/>
      <c r="C147"/>
      <c r="D147"/>
      <c r="E147"/>
      <c r="F147"/>
      <c r="G147"/>
    </row>
    <row r="148" spans="2:7" x14ac:dyDescent="0.25">
      <c r="B148"/>
      <c r="C148"/>
      <c r="D148"/>
      <c r="E148"/>
      <c r="F148"/>
      <c r="G148"/>
    </row>
    <row r="149" spans="2:7" x14ac:dyDescent="0.25">
      <c r="B149"/>
      <c r="C149"/>
      <c r="D149"/>
      <c r="E149"/>
      <c r="F149"/>
      <c r="G149"/>
    </row>
    <row r="150" spans="2:7" x14ac:dyDescent="0.25">
      <c r="B150"/>
      <c r="C150"/>
      <c r="D150"/>
      <c r="E150"/>
      <c r="F150"/>
      <c r="G150"/>
    </row>
    <row r="151" spans="2:7" x14ac:dyDescent="0.25">
      <c r="B151"/>
      <c r="C151"/>
      <c r="D151"/>
      <c r="E151"/>
      <c r="F151"/>
      <c r="G151"/>
    </row>
    <row r="152" spans="2:7" x14ac:dyDescent="0.25">
      <c r="B152"/>
      <c r="C152"/>
      <c r="D152"/>
      <c r="E152"/>
      <c r="F152"/>
      <c r="G152"/>
    </row>
    <row r="153" spans="2:7" x14ac:dyDescent="0.25">
      <c r="B153"/>
      <c r="C153"/>
      <c r="D153"/>
      <c r="E153"/>
      <c r="F153"/>
      <c r="G153"/>
    </row>
    <row r="154" spans="2:7" x14ac:dyDescent="0.25">
      <c r="B154"/>
      <c r="C154"/>
      <c r="D154"/>
      <c r="E154"/>
      <c r="F154"/>
      <c r="G154"/>
    </row>
    <row r="155" spans="2:7" x14ac:dyDescent="0.25">
      <c r="B155"/>
      <c r="C155"/>
      <c r="D155"/>
      <c r="E155"/>
      <c r="F155"/>
      <c r="G155"/>
    </row>
    <row r="156" spans="2:7" x14ac:dyDescent="0.25">
      <c r="B156"/>
      <c r="C156"/>
      <c r="D156"/>
      <c r="E156"/>
      <c r="F156"/>
      <c r="G156"/>
    </row>
    <row r="157" spans="2:7" x14ac:dyDescent="0.25">
      <c r="B157"/>
      <c r="C157"/>
      <c r="D157"/>
      <c r="E157"/>
      <c r="F157"/>
      <c r="G157"/>
    </row>
    <row r="158" spans="2:7" x14ac:dyDescent="0.25">
      <c r="B158"/>
      <c r="C158"/>
      <c r="D158"/>
      <c r="E158"/>
      <c r="F158"/>
      <c r="G158"/>
    </row>
    <row r="159" spans="2:7" x14ac:dyDescent="0.25">
      <c r="B159"/>
      <c r="C159"/>
      <c r="D159"/>
      <c r="E159"/>
      <c r="F159"/>
      <c r="G159"/>
    </row>
    <row r="160" spans="2:7" x14ac:dyDescent="0.25">
      <c r="B160"/>
      <c r="C160"/>
      <c r="D160"/>
      <c r="E160"/>
      <c r="F160"/>
      <c r="G160"/>
    </row>
    <row r="161" spans="2:7" x14ac:dyDescent="0.25">
      <c r="B161"/>
      <c r="C161"/>
      <c r="D161"/>
      <c r="E161"/>
      <c r="F161"/>
      <c r="G161"/>
    </row>
    <row r="162" spans="2:7" x14ac:dyDescent="0.25">
      <c r="B162"/>
      <c r="C162"/>
      <c r="D162"/>
      <c r="E162"/>
      <c r="F162"/>
      <c r="G162"/>
    </row>
    <row r="163" spans="2:7" x14ac:dyDescent="0.25">
      <c r="B163"/>
      <c r="C163"/>
      <c r="D163"/>
      <c r="E163"/>
      <c r="F163"/>
      <c r="G163"/>
    </row>
    <row r="164" spans="2:7" x14ac:dyDescent="0.25">
      <c r="B164"/>
      <c r="C164"/>
      <c r="D164"/>
      <c r="E164"/>
      <c r="F164"/>
      <c r="G164"/>
    </row>
    <row r="165" spans="2:7" x14ac:dyDescent="0.25">
      <c r="B165"/>
      <c r="C165"/>
      <c r="D165"/>
      <c r="E165"/>
      <c r="F165"/>
      <c r="G165"/>
    </row>
    <row r="166" spans="2:7" x14ac:dyDescent="0.25">
      <c r="B166"/>
      <c r="C166"/>
      <c r="D166"/>
      <c r="E166"/>
      <c r="F166"/>
      <c r="G166"/>
    </row>
    <row r="167" spans="2:7" x14ac:dyDescent="0.25">
      <c r="B167"/>
      <c r="C167"/>
      <c r="D167"/>
      <c r="E167"/>
      <c r="F167"/>
      <c r="G167"/>
    </row>
    <row r="168" spans="2:7" x14ac:dyDescent="0.25">
      <c r="B168"/>
      <c r="C168"/>
      <c r="D168"/>
      <c r="E168"/>
      <c r="F168"/>
      <c r="G168"/>
    </row>
    <row r="169" spans="2:7" x14ac:dyDescent="0.25">
      <c r="B169"/>
      <c r="C169"/>
      <c r="D169"/>
      <c r="E169"/>
      <c r="F169"/>
      <c r="G169"/>
    </row>
    <row r="170" spans="2:7" x14ac:dyDescent="0.25">
      <c r="B170"/>
      <c r="C170"/>
      <c r="D170"/>
      <c r="E170"/>
      <c r="F170"/>
      <c r="G170"/>
    </row>
    <row r="171" spans="2:7" x14ac:dyDescent="0.25">
      <c r="B171"/>
      <c r="C171"/>
      <c r="D171"/>
      <c r="E171"/>
      <c r="F171"/>
      <c r="G171"/>
    </row>
    <row r="172" spans="2:7" x14ac:dyDescent="0.25">
      <c r="B172"/>
      <c r="C172"/>
      <c r="D172"/>
      <c r="E172"/>
      <c r="F172"/>
      <c r="G172"/>
    </row>
    <row r="173" spans="2:7" x14ac:dyDescent="0.25">
      <c r="B173"/>
      <c r="C173"/>
      <c r="D173"/>
      <c r="E173"/>
      <c r="F173"/>
      <c r="G173"/>
    </row>
    <row r="174" spans="2:7" x14ac:dyDescent="0.25">
      <c r="B174"/>
      <c r="C174"/>
      <c r="D174"/>
      <c r="E174"/>
      <c r="F174"/>
      <c r="G174"/>
    </row>
    <row r="175" spans="2:7" x14ac:dyDescent="0.25">
      <c r="B175"/>
      <c r="C175"/>
      <c r="D175"/>
      <c r="E175"/>
      <c r="F175"/>
      <c r="G175"/>
    </row>
    <row r="176" spans="2:7" x14ac:dyDescent="0.25">
      <c r="B176"/>
      <c r="C176"/>
      <c r="D176"/>
      <c r="E176"/>
      <c r="F176"/>
      <c r="G176"/>
    </row>
    <row r="177" spans="2:7" x14ac:dyDescent="0.25">
      <c r="B177"/>
      <c r="C177"/>
      <c r="D177"/>
      <c r="E177"/>
      <c r="F177"/>
      <c r="G177"/>
    </row>
    <row r="178" spans="2:7" x14ac:dyDescent="0.25">
      <c r="B178"/>
      <c r="C178"/>
      <c r="D178"/>
      <c r="E178"/>
      <c r="F178"/>
      <c r="G178"/>
    </row>
    <row r="179" spans="2:7" x14ac:dyDescent="0.25">
      <c r="B179"/>
      <c r="C179"/>
      <c r="D179"/>
      <c r="E179"/>
      <c r="F179"/>
      <c r="G179"/>
    </row>
    <row r="180" spans="2:7" x14ac:dyDescent="0.25">
      <c r="B180"/>
      <c r="C180"/>
      <c r="D180"/>
      <c r="E180"/>
      <c r="F180"/>
      <c r="G180"/>
    </row>
    <row r="181" spans="2:7" x14ac:dyDescent="0.25">
      <c r="B181"/>
      <c r="C181"/>
      <c r="D181"/>
      <c r="E181"/>
      <c r="F181"/>
      <c r="G181"/>
    </row>
    <row r="182" spans="2:7" x14ac:dyDescent="0.25">
      <c r="B182"/>
      <c r="C182"/>
      <c r="D182"/>
      <c r="E182"/>
      <c r="F182"/>
      <c r="G182"/>
    </row>
    <row r="183" spans="2:7" x14ac:dyDescent="0.25">
      <c r="B183"/>
      <c r="C183"/>
      <c r="D183"/>
      <c r="E183"/>
      <c r="F183"/>
      <c r="G183"/>
    </row>
    <row r="184" spans="2:7" x14ac:dyDescent="0.25">
      <c r="B184"/>
      <c r="C184"/>
      <c r="D184"/>
      <c r="E184"/>
      <c r="F184"/>
      <c r="G184"/>
    </row>
    <row r="185" spans="2:7" x14ac:dyDescent="0.25">
      <c r="B185"/>
      <c r="C185"/>
      <c r="D185"/>
      <c r="E185"/>
      <c r="F185"/>
      <c r="G185"/>
    </row>
    <row r="186" spans="2:7" x14ac:dyDescent="0.25">
      <c r="B186"/>
      <c r="C186"/>
      <c r="D186"/>
      <c r="E186"/>
      <c r="F186"/>
      <c r="G186"/>
    </row>
    <row r="187" spans="2:7" x14ac:dyDescent="0.25">
      <c r="B187"/>
      <c r="C187"/>
      <c r="D187"/>
      <c r="E187"/>
      <c r="F187"/>
      <c r="G187"/>
    </row>
    <row r="188" spans="2:7" x14ac:dyDescent="0.25">
      <c r="B188"/>
      <c r="C188"/>
      <c r="D188"/>
      <c r="E188"/>
      <c r="F188"/>
      <c r="G188"/>
    </row>
    <row r="189" spans="2:7" x14ac:dyDescent="0.25">
      <c r="B189"/>
      <c r="C189"/>
      <c r="D189"/>
      <c r="E189"/>
      <c r="F189"/>
      <c r="G189"/>
    </row>
    <row r="190" spans="2:7" x14ac:dyDescent="0.25">
      <c r="B190"/>
      <c r="C190"/>
      <c r="D190"/>
      <c r="E190"/>
      <c r="F190"/>
      <c r="G190"/>
    </row>
    <row r="191" spans="2:7" x14ac:dyDescent="0.25">
      <c r="B191"/>
      <c r="C191"/>
      <c r="D191"/>
      <c r="E191"/>
      <c r="F191"/>
      <c r="G191"/>
    </row>
    <row r="192" spans="2:7" x14ac:dyDescent="0.25">
      <c r="B192"/>
      <c r="C192"/>
      <c r="D192"/>
      <c r="E192"/>
      <c r="F192"/>
      <c r="G192"/>
    </row>
    <row r="193" spans="2:7" x14ac:dyDescent="0.25">
      <c r="B193"/>
      <c r="C193"/>
      <c r="D193"/>
      <c r="E193"/>
      <c r="F193"/>
      <c r="G193"/>
    </row>
    <row r="194" spans="2:7" x14ac:dyDescent="0.25">
      <c r="B194"/>
      <c r="C194"/>
      <c r="D194"/>
      <c r="E194"/>
      <c r="F194"/>
      <c r="G194"/>
    </row>
    <row r="195" spans="2:7" x14ac:dyDescent="0.25">
      <c r="B195"/>
      <c r="C195"/>
      <c r="D195"/>
      <c r="E195"/>
      <c r="F195"/>
      <c r="G195"/>
    </row>
    <row r="196" spans="2:7" x14ac:dyDescent="0.25">
      <c r="B196"/>
      <c r="C196"/>
      <c r="D196"/>
      <c r="E196"/>
      <c r="F196"/>
      <c r="G196"/>
    </row>
    <row r="197" spans="2:7" x14ac:dyDescent="0.25">
      <c r="B197"/>
      <c r="C197"/>
      <c r="D197"/>
      <c r="E197"/>
      <c r="F197"/>
      <c r="G197"/>
    </row>
    <row r="198" spans="2:7" x14ac:dyDescent="0.25">
      <c r="B198"/>
      <c r="C198"/>
      <c r="D198"/>
      <c r="E198"/>
      <c r="F198"/>
      <c r="G198"/>
    </row>
    <row r="199" spans="2:7" x14ac:dyDescent="0.25">
      <c r="B199"/>
      <c r="C199"/>
      <c r="D199"/>
      <c r="E199"/>
      <c r="F199"/>
      <c r="G199"/>
    </row>
    <row r="200" spans="2:7" x14ac:dyDescent="0.25">
      <c r="B200"/>
      <c r="C200"/>
      <c r="D200"/>
      <c r="E200"/>
      <c r="F200"/>
      <c r="G200"/>
    </row>
    <row r="201" spans="2:7" x14ac:dyDescent="0.25">
      <c r="B201"/>
      <c r="C201"/>
      <c r="D201"/>
      <c r="E201"/>
      <c r="F201"/>
      <c r="G201"/>
    </row>
    <row r="202" spans="2:7" x14ac:dyDescent="0.25">
      <c r="B202"/>
      <c r="C202"/>
      <c r="D202"/>
      <c r="E202"/>
      <c r="F202"/>
      <c r="G202"/>
    </row>
    <row r="203" spans="2:7" x14ac:dyDescent="0.25">
      <c r="B203"/>
      <c r="C203"/>
      <c r="D203"/>
      <c r="E203"/>
      <c r="F203"/>
      <c r="G203"/>
    </row>
    <row r="204" spans="2:7" x14ac:dyDescent="0.25">
      <c r="B204"/>
      <c r="C204"/>
      <c r="D204"/>
      <c r="E204"/>
      <c r="F204"/>
      <c r="G204"/>
    </row>
    <row r="205" spans="2:7" x14ac:dyDescent="0.25">
      <c r="B205"/>
      <c r="C205"/>
      <c r="D205"/>
      <c r="E205"/>
      <c r="F205"/>
      <c r="G205"/>
    </row>
    <row r="206" spans="2:7" x14ac:dyDescent="0.25">
      <c r="B206"/>
      <c r="C206"/>
      <c r="D206"/>
      <c r="E206"/>
      <c r="F206"/>
      <c r="G206"/>
    </row>
    <row r="207" spans="2:7" ht="15.75" thickBot="1" x14ac:dyDescent="0.3">
      <c r="B207"/>
      <c r="C207"/>
      <c r="D207"/>
      <c r="E207"/>
      <c r="F207"/>
      <c r="G207"/>
    </row>
    <row r="208" spans="2:7" ht="15.75" thickTop="1" x14ac:dyDescent="0.25">
      <c r="B208"/>
      <c r="C208"/>
      <c r="D208"/>
      <c r="E208"/>
      <c r="F208"/>
      <c r="G208"/>
    </row>
    <row r="209" spans="2:7" x14ac:dyDescent="0.25">
      <c r="B209"/>
      <c r="C209"/>
      <c r="D209"/>
      <c r="E209"/>
      <c r="F209"/>
      <c r="G209"/>
    </row>
    <row r="210" spans="2:7" x14ac:dyDescent="0.25">
      <c r="B210"/>
      <c r="C210"/>
      <c r="D210"/>
      <c r="E210"/>
      <c r="F210"/>
      <c r="G210"/>
    </row>
    <row r="211" spans="2:7" x14ac:dyDescent="0.25">
      <c r="B211"/>
      <c r="C211"/>
      <c r="D211"/>
      <c r="E211"/>
      <c r="F211"/>
      <c r="G211"/>
    </row>
    <row r="212" spans="2:7" ht="15.75" thickBot="1" x14ac:dyDescent="0.3">
      <c r="B212"/>
      <c r="C212"/>
      <c r="D212"/>
      <c r="E212"/>
      <c r="F212"/>
      <c r="G212"/>
    </row>
    <row r="213" spans="2:7" ht="15.75" thickTop="1" x14ac:dyDescent="0.25">
      <c r="B213"/>
      <c r="C213"/>
      <c r="D213"/>
      <c r="E213"/>
      <c r="F213"/>
      <c r="G213"/>
    </row>
    <row r="214" spans="2:7" x14ac:dyDescent="0.25">
      <c r="B214"/>
      <c r="C214"/>
      <c r="D214"/>
      <c r="E214"/>
      <c r="F214"/>
      <c r="G214"/>
    </row>
    <row r="215" spans="2:7" x14ac:dyDescent="0.25">
      <c r="B215"/>
      <c r="C215"/>
      <c r="D215"/>
      <c r="E215"/>
      <c r="F215"/>
      <c r="G215"/>
    </row>
    <row r="216" spans="2:7" x14ac:dyDescent="0.25">
      <c r="B216"/>
      <c r="C216"/>
      <c r="D216"/>
      <c r="E216"/>
      <c r="F216"/>
      <c r="G216"/>
    </row>
    <row r="217" spans="2:7" x14ac:dyDescent="0.25">
      <c r="B217"/>
      <c r="C217"/>
      <c r="D217"/>
      <c r="E217"/>
      <c r="F217"/>
      <c r="G217"/>
    </row>
    <row r="218" spans="2:7" x14ac:dyDescent="0.25">
      <c r="B218"/>
      <c r="C218"/>
      <c r="D218"/>
      <c r="E218"/>
      <c r="F218"/>
      <c r="G218"/>
    </row>
    <row r="219" spans="2:7" x14ac:dyDescent="0.25">
      <c r="B219"/>
      <c r="C219"/>
      <c r="D219"/>
      <c r="E219"/>
      <c r="F219"/>
      <c r="G219"/>
    </row>
    <row r="220" spans="2:7" x14ac:dyDescent="0.25">
      <c r="B220"/>
      <c r="C220"/>
      <c r="D220"/>
      <c r="E220"/>
      <c r="F220"/>
      <c r="G220"/>
    </row>
    <row r="221" spans="2:7" x14ac:dyDescent="0.25">
      <c r="B221"/>
      <c r="C221"/>
      <c r="D221"/>
      <c r="E221"/>
      <c r="F221"/>
      <c r="G221"/>
    </row>
    <row r="222" spans="2:7" x14ac:dyDescent="0.25">
      <c r="B222"/>
      <c r="C222"/>
      <c r="D222"/>
      <c r="E222"/>
      <c r="F222"/>
      <c r="G222"/>
    </row>
    <row r="223" spans="2:7" x14ac:dyDescent="0.25">
      <c r="B223"/>
      <c r="C223"/>
      <c r="D223"/>
      <c r="E223"/>
      <c r="F223"/>
      <c r="G223"/>
    </row>
    <row r="224" spans="2:7" x14ac:dyDescent="0.25">
      <c r="B224"/>
      <c r="C224"/>
      <c r="D224"/>
      <c r="E224"/>
      <c r="F224"/>
      <c r="G224"/>
    </row>
    <row r="225" spans="2:7" x14ac:dyDescent="0.25">
      <c r="B225"/>
      <c r="C225"/>
      <c r="D225"/>
      <c r="E225"/>
      <c r="F225"/>
      <c r="G225"/>
    </row>
    <row r="226" spans="2:7" x14ac:dyDescent="0.25">
      <c r="B226"/>
      <c r="C226"/>
      <c r="D226"/>
      <c r="E226"/>
      <c r="F226"/>
      <c r="G226"/>
    </row>
    <row r="227" spans="2:7" x14ac:dyDescent="0.25">
      <c r="B227"/>
      <c r="C227"/>
      <c r="D227"/>
      <c r="E227"/>
      <c r="F227"/>
      <c r="G227"/>
    </row>
    <row r="228" spans="2:7" x14ac:dyDescent="0.25">
      <c r="B228"/>
      <c r="C228"/>
      <c r="D228"/>
      <c r="E228"/>
      <c r="F228"/>
      <c r="G228"/>
    </row>
    <row r="229" spans="2:7" x14ac:dyDescent="0.25">
      <c r="B229"/>
      <c r="C229"/>
      <c r="D229"/>
      <c r="E229"/>
      <c r="F229"/>
      <c r="G229"/>
    </row>
    <row r="230" spans="2:7" x14ac:dyDescent="0.25">
      <c r="B230"/>
      <c r="C230"/>
      <c r="D230"/>
      <c r="E230"/>
      <c r="F230"/>
      <c r="G230"/>
    </row>
    <row r="231" spans="2:7" x14ac:dyDescent="0.25">
      <c r="B231"/>
      <c r="C231"/>
      <c r="D231"/>
      <c r="E231"/>
      <c r="F231"/>
      <c r="G231"/>
    </row>
    <row r="232" spans="2:7" x14ac:dyDescent="0.25">
      <c r="B232"/>
      <c r="C232"/>
      <c r="D232"/>
      <c r="E232"/>
      <c r="F232"/>
      <c r="G232"/>
    </row>
    <row r="233" spans="2:7" x14ac:dyDescent="0.25">
      <c r="B233"/>
      <c r="C233"/>
      <c r="D233"/>
      <c r="E233"/>
      <c r="F233"/>
      <c r="G233"/>
    </row>
    <row r="234" spans="2:7" x14ac:dyDescent="0.25">
      <c r="B234"/>
      <c r="C234"/>
      <c r="D234"/>
      <c r="E234"/>
      <c r="F234"/>
      <c r="G234"/>
    </row>
    <row r="235" spans="2:7" x14ac:dyDescent="0.25">
      <c r="B235"/>
      <c r="C235"/>
      <c r="D235"/>
      <c r="E235"/>
      <c r="F235"/>
      <c r="G235"/>
    </row>
    <row r="236" spans="2:7" x14ac:dyDescent="0.25">
      <c r="B236"/>
      <c r="C236"/>
      <c r="D236"/>
      <c r="E236"/>
      <c r="F236"/>
      <c r="G236"/>
    </row>
    <row r="237" spans="2:7" x14ac:dyDescent="0.25">
      <c r="B237"/>
      <c r="C237"/>
      <c r="D237"/>
      <c r="E237"/>
      <c r="F237"/>
      <c r="G237"/>
    </row>
    <row r="238" spans="2:7" x14ac:dyDescent="0.25">
      <c r="B238"/>
      <c r="C238"/>
      <c r="D238"/>
      <c r="E238"/>
      <c r="F238"/>
      <c r="G238"/>
    </row>
    <row r="239" spans="2:7" x14ac:dyDescent="0.25">
      <c r="B239"/>
      <c r="C239"/>
      <c r="D239"/>
      <c r="E239"/>
      <c r="F239"/>
      <c r="G239"/>
    </row>
    <row r="240" spans="2:7" x14ac:dyDescent="0.25">
      <c r="B240"/>
      <c r="C240"/>
      <c r="D240"/>
      <c r="E240"/>
      <c r="F240"/>
      <c r="G240"/>
    </row>
    <row r="241" spans="2:7" ht="15.75" thickBot="1" x14ac:dyDescent="0.3">
      <c r="B241"/>
      <c r="C241"/>
      <c r="D241"/>
      <c r="E241"/>
      <c r="F241"/>
      <c r="G241"/>
    </row>
    <row r="242" spans="2:7" ht="15.75" thickTop="1" x14ac:dyDescent="0.25">
      <c r="B242"/>
      <c r="C242"/>
      <c r="D242"/>
      <c r="E242"/>
      <c r="F242"/>
      <c r="G242"/>
    </row>
    <row r="243" spans="2:7" x14ac:dyDescent="0.25">
      <c r="B243"/>
      <c r="C243"/>
      <c r="D243"/>
      <c r="E243"/>
      <c r="F243"/>
      <c r="G243"/>
    </row>
    <row r="244" spans="2:7" x14ac:dyDescent="0.25">
      <c r="B244"/>
      <c r="C244"/>
      <c r="D244"/>
      <c r="E244"/>
      <c r="F244"/>
      <c r="G244"/>
    </row>
    <row r="245" spans="2:7" x14ac:dyDescent="0.25">
      <c r="B245"/>
      <c r="C245"/>
      <c r="D245"/>
      <c r="E245"/>
      <c r="F245"/>
      <c r="G245"/>
    </row>
    <row r="246" spans="2:7" ht="15.75" thickBot="1" x14ac:dyDescent="0.3">
      <c r="B246"/>
      <c r="C246"/>
      <c r="D246"/>
      <c r="E246"/>
      <c r="F246"/>
      <c r="G246"/>
    </row>
    <row r="247" spans="2:7" ht="15.75" thickTop="1" x14ac:dyDescent="0.25">
      <c r="B247"/>
      <c r="C247"/>
      <c r="D247"/>
      <c r="E247"/>
      <c r="F247"/>
      <c r="G247"/>
    </row>
    <row r="248" spans="2:7" x14ac:dyDescent="0.25">
      <c r="B248"/>
      <c r="C248"/>
      <c r="D248"/>
      <c r="E248"/>
      <c r="F248"/>
      <c r="G248"/>
    </row>
    <row r="249" spans="2:7" ht="15.75" thickBot="1" x14ac:dyDescent="0.3">
      <c r="B249"/>
      <c r="C249"/>
      <c r="D249"/>
      <c r="E249"/>
      <c r="F249"/>
      <c r="G249"/>
    </row>
    <row r="250" spans="2:7" ht="15.75" thickTop="1" x14ac:dyDescent="0.25">
      <c r="B250"/>
      <c r="C250"/>
      <c r="D250"/>
      <c r="E250"/>
      <c r="F250"/>
      <c r="G250"/>
    </row>
    <row r="251" spans="2:7" x14ac:dyDescent="0.25">
      <c r="B251"/>
      <c r="C251"/>
      <c r="D251"/>
      <c r="E251"/>
      <c r="F251"/>
      <c r="G251"/>
    </row>
    <row r="252" spans="2:7" x14ac:dyDescent="0.25">
      <c r="B252"/>
      <c r="C252"/>
      <c r="D252"/>
      <c r="E252"/>
      <c r="F252"/>
      <c r="G252"/>
    </row>
    <row r="253" spans="2:7" x14ac:dyDescent="0.25">
      <c r="B253"/>
      <c r="C253"/>
      <c r="D253"/>
      <c r="E253"/>
      <c r="F253"/>
      <c r="G253"/>
    </row>
    <row r="254" spans="2:7" ht="15.75" thickBot="1" x14ac:dyDescent="0.3">
      <c r="B254"/>
      <c r="C254"/>
      <c r="D254"/>
      <c r="E254"/>
      <c r="F254"/>
      <c r="G254"/>
    </row>
    <row r="255" spans="2:7" ht="15.75" thickTop="1" x14ac:dyDescent="0.25">
      <c r="B255"/>
      <c r="C255"/>
      <c r="D255"/>
      <c r="E255"/>
      <c r="F255"/>
      <c r="G255"/>
    </row>
    <row r="256" spans="2:7" x14ac:dyDescent="0.25">
      <c r="B256"/>
      <c r="C256"/>
      <c r="D256"/>
      <c r="E256"/>
      <c r="F256"/>
      <c r="G256"/>
    </row>
  </sheetData>
  <conditionalFormatting pivot="1" sqref="G4:G68">
    <cfRule type="cellIs" dxfId="340" priority="1" operator="lessThan">
      <formula>0</formula>
    </cfRule>
  </conditionalFormatting>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3287-BCCE-4E9D-86FB-EC579E0F009E}">
  <sheetPr codeName="Hoja7"/>
  <dimension ref="A1:K18"/>
  <sheetViews>
    <sheetView topLeftCell="C1" workbookViewId="0">
      <selection activeCell="H2" sqref="H2:H4"/>
    </sheetView>
  </sheetViews>
  <sheetFormatPr baseColWidth="10" defaultRowHeight="15" x14ac:dyDescent="0.25"/>
  <cols>
    <col min="1" max="1" width="7.7109375" bestFit="1" customWidth="1"/>
    <col min="2" max="2" width="16.85546875" bestFit="1" customWidth="1"/>
    <col min="3" max="3" width="17.5703125" customWidth="1"/>
    <col min="4" max="4" width="44.42578125" bestFit="1" customWidth="1"/>
    <col min="5" max="5" width="19.5703125" customWidth="1"/>
    <col min="6" max="6" width="34.28515625" customWidth="1"/>
    <col min="7" max="7" width="19.28515625" customWidth="1"/>
    <col min="8" max="8" width="20.5703125" customWidth="1"/>
    <col min="9" max="9" width="21.42578125" customWidth="1"/>
    <col min="10" max="10" width="18.28515625" style="23" customWidth="1"/>
    <col min="11" max="11" width="16.140625" customWidth="1"/>
  </cols>
  <sheetData>
    <row r="1" spans="1:11" x14ac:dyDescent="0.25">
      <c r="A1" s="64" t="s">
        <v>584</v>
      </c>
      <c r="B1" s="64" t="s">
        <v>585</v>
      </c>
      <c r="C1" s="64" t="s">
        <v>374</v>
      </c>
      <c r="D1" s="64" t="s">
        <v>586</v>
      </c>
      <c r="E1" s="64" t="s">
        <v>587</v>
      </c>
      <c r="F1" s="65" t="s">
        <v>588</v>
      </c>
      <c r="G1" s="66" t="s">
        <v>589</v>
      </c>
      <c r="H1" s="64" t="s">
        <v>590</v>
      </c>
      <c r="I1" s="66" t="s">
        <v>591</v>
      </c>
      <c r="J1" s="67" t="s">
        <v>592</v>
      </c>
      <c r="K1" s="64" t="s">
        <v>10</v>
      </c>
    </row>
    <row r="2" spans="1:11" x14ac:dyDescent="0.25">
      <c r="B2" t="s">
        <v>433</v>
      </c>
      <c r="C2" s="5">
        <v>35252</v>
      </c>
      <c r="D2" t="s">
        <v>593</v>
      </c>
      <c r="F2" t="s">
        <v>598</v>
      </c>
      <c r="H2" s="24">
        <f>66125+17250+2300000</f>
        <v>2383375</v>
      </c>
      <c r="I2" s="25">
        <v>0</v>
      </c>
      <c r="J2" s="23">
        <v>102</v>
      </c>
      <c r="K2" t="s">
        <v>610</v>
      </c>
    </row>
    <row r="3" spans="1:11" x14ac:dyDescent="0.25">
      <c r="B3" t="s">
        <v>433</v>
      </c>
      <c r="C3" s="5">
        <v>35252</v>
      </c>
      <c r="D3" t="s">
        <v>593</v>
      </c>
      <c r="F3" t="s">
        <v>599</v>
      </c>
      <c r="H3" s="24">
        <f>2616480+876185+165600+10120+5520+358800+12075000</f>
        <v>16107705</v>
      </c>
      <c r="I3" s="25">
        <v>0</v>
      </c>
      <c r="J3" s="23">
        <v>102</v>
      </c>
      <c r="K3" t="s">
        <v>610</v>
      </c>
    </row>
    <row r="4" spans="1:11" x14ac:dyDescent="0.25">
      <c r="B4" t="s">
        <v>433</v>
      </c>
      <c r="C4" s="5">
        <v>35252</v>
      </c>
      <c r="D4" t="s">
        <v>593</v>
      </c>
      <c r="F4" t="s">
        <v>600</v>
      </c>
      <c r="H4" s="24">
        <f>2597905.2+2460080+56007.3</f>
        <v>5113992.5</v>
      </c>
      <c r="I4" s="25">
        <f t="shared" ref="I4:I5" si="0">H4</f>
        <v>5113992.5</v>
      </c>
      <c r="J4" s="23">
        <v>102</v>
      </c>
    </row>
    <row r="5" spans="1:11" x14ac:dyDescent="0.25">
      <c r="B5" t="s">
        <v>438</v>
      </c>
      <c r="C5" s="5">
        <v>39520</v>
      </c>
      <c r="D5" t="s">
        <v>594</v>
      </c>
      <c r="F5" t="s">
        <v>601</v>
      </c>
      <c r="H5" s="24">
        <v>457107.5</v>
      </c>
      <c r="I5" s="25">
        <f t="shared" si="0"/>
        <v>457107.5</v>
      </c>
      <c r="J5" s="23">
        <v>102</v>
      </c>
    </row>
    <row r="6" spans="1:11" x14ac:dyDescent="0.25">
      <c r="B6" t="s">
        <v>438</v>
      </c>
      <c r="C6" s="5">
        <v>39520</v>
      </c>
      <c r="D6" t="s">
        <v>594</v>
      </c>
      <c r="F6" t="s">
        <v>602</v>
      </c>
      <c r="H6" s="24">
        <v>75040</v>
      </c>
      <c r="I6" s="68">
        <v>0</v>
      </c>
      <c r="J6" s="23">
        <v>102</v>
      </c>
      <c r="K6" t="s">
        <v>610</v>
      </c>
    </row>
    <row r="7" spans="1:11" x14ac:dyDescent="0.25">
      <c r="B7" t="s">
        <v>438</v>
      </c>
      <c r="C7" s="5">
        <v>39520</v>
      </c>
      <c r="D7" t="s">
        <v>594</v>
      </c>
      <c r="F7" t="s">
        <v>599</v>
      </c>
      <c r="H7" s="24">
        <v>1692588.35</v>
      </c>
      <c r="I7" s="25">
        <f>H7</f>
        <v>1692588.35</v>
      </c>
      <c r="J7" s="23">
        <v>102</v>
      </c>
    </row>
    <row r="8" spans="1:11" x14ac:dyDescent="0.25">
      <c r="B8" t="s">
        <v>442</v>
      </c>
      <c r="C8" s="5">
        <v>42420</v>
      </c>
      <c r="D8" t="s">
        <v>595</v>
      </c>
      <c r="F8" t="s">
        <v>599</v>
      </c>
      <c r="H8" s="24">
        <v>28520</v>
      </c>
      <c r="I8" s="25">
        <f t="shared" ref="I8:I17" si="1">H8</f>
        <v>28520</v>
      </c>
      <c r="J8" s="23">
        <v>102</v>
      </c>
    </row>
    <row r="9" spans="1:11" x14ac:dyDescent="0.25">
      <c r="B9" t="s">
        <v>442</v>
      </c>
      <c r="C9" s="5">
        <v>42420</v>
      </c>
      <c r="D9" t="s">
        <v>595</v>
      </c>
      <c r="F9" t="s">
        <v>603</v>
      </c>
      <c r="H9" s="24">
        <v>2283900</v>
      </c>
      <c r="I9" s="25">
        <f t="shared" si="1"/>
        <v>2283900</v>
      </c>
      <c r="J9" s="23">
        <v>102</v>
      </c>
    </row>
    <row r="10" spans="1:11" x14ac:dyDescent="0.25">
      <c r="B10" t="s">
        <v>442</v>
      </c>
      <c r="C10" s="5">
        <v>42420</v>
      </c>
      <c r="D10" t="s">
        <v>595</v>
      </c>
      <c r="F10" t="s">
        <v>604</v>
      </c>
      <c r="H10" s="24">
        <v>4130959.43</v>
      </c>
      <c r="I10" s="25">
        <f t="shared" si="1"/>
        <v>4130959.43</v>
      </c>
      <c r="J10" s="23">
        <v>102</v>
      </c>
    </row>
    <row r="11" spans="1:11" x14ac:dyDescent="0.25">
      <c r="B11" t="s">
        <v>442</v>
      </c>
      <c r="C11" s="5">
        <v>42420</v>
      </c>
      <c r="D11" t="s">
        <v>595</v>
      </c>
      <c r="F11" t="s">
        <v>605</v>
      </c>
      <c r="H11" s="24">
        <v>117300</v>
      </c>
      <c r="I11" s="25">
        <f t="shared" si="1"/>
        <v>117300</v>
      </c>
      <c r="J11" s="23">
        <v>102</v>
      </c>
    </row>
    <row r="12" spans="1:11" x14ac:dyDescent="0.25">
      <c r="B12" t="s">
        <v>442</v>
      </c>
      <c r="C12" s="5">
        <v>42420</v>
      </c>
      <c r="D12" t="s">
        <v>595</v>
      </c>
      <c r="F12" t="s">
        <v>606</v>
      </c>
      <c r="H12" s="24">
        <v>12289335.24</v>
      </c>
      <c r="I12" s="25">
        <f t="shared" si="1"/>
        <v>12289335.24</v>
      </c>
      <c r="J12" s="23">
        <v>102</v>
      </c>
    </row>
    <row r="13" spans="1:11" x14ac:dyDescent="0.25">
      <c r="B13" t="s">
        <v>448</v>
      </c>
      <c r="C13" s="5">
        <v>35251</v>
      </c>
      <c r="D13" t="s">
        <v>596</v>
      </c>
      <c r="F13" t="s">
        <v>599</v>
      </c>
      <c r="H13" s="24">
        <v>389530</v>
      </c>
      <c r="I13" s="25">
        <f t="shared" si="1"/>
        <v>389530</v>
      </c>
      <c r="J13" s="23">
        <v>102</v>
      </c>
    </row>
    <row r="14" spans="1:11" x14ac:dyDescent="0.25">
      <c r="B14" t="s">
        <v>453</v>
      </c>
      <c r="C14" s="5">
        <v>39540</v>
      </c>
      <c r="D14" t="s">
        <v>597</v>
      </c>
      <c r="F14" t="s">
        <v>607</v>
      </c>
      <c r="H14" s="24">
        <v>89700</v>
      </c>
      <c r="I14" s="25">
        <f t="shared" si="1"/>
        <v>89700</v>
      </c>
      <c r="J14" s="23">
        <v>102</v>
      </c>
    </row>
    <row r="15" spans="1:11" x14ac:dyDescent="0.25">
      <c r="B15" t="s">
        <v>453</v>
      </c>
      <c r="C15" s="5">
        <v>39540</v>
      </c>
      <c r="D15" t="s">
        <v>597</v>
      </c>
      <c r="F15" t="s">
        <v>608</v>
      </c>
      <c r="H15" s="24">
        <v>61099.5</v>
      </c>
      <c r="I15" s="25">
        <f t="shared" si="1"/>
        <v>61099.5</v>
      </c>
      <c r="J15" s="23">
        <v>102</v>
      </c>
    </row>
    <row r="16" spans="1:11" x14ac:dyDescent="0.25">
      <c r="B16" t="s">
        <v>453</v>
      </c>
      <c r="C16" s="5">
        <v>39540</v>
      </c>
      <c r="D16" t="s">
        <v>597</v>
      </c>
      <c r="F16" t="s">
        <v>609</v>
      </c>
      <c r="H16" s="24">
        <v>17900</v>
      </c>
      <c r="I16" s="25">
        <f t="shared" si="1"/>
        <v>17900</v>
      </c>
      <c r="J16" s="23">
        <v>102</v>
      </c>
    </row>
    <row r="17" spans="2:10" x14ac:dyDescent="0.25">
      <c r="B17" t="s">
        <v>453</v>
      </c>
      <c r="C17" s="5">
        <v>39540</v>
      </c>
      <c r="D17" t="s">
        <v>597</v>
      </c>
      <c r="F17" t="s">
        <v>601</v>
      </c>
      <c r="H17" s="24">
        <v>109250</v>
      </c>
      <c r="I17" s="25">
        <f t="shared" si="1"/>
        <v>109250</v>
      </c>
      <c r="J17" s="23">
        <v>102</v>
      </c>
    </row>
    <row r="18" spans="2:10" x14ac:dyDescent="0.25">
      <c r="C18" s="23">
        <v>42110</v>
      </c>
      <c r="D18" t="s">
        <v>611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vt:i4>
      </vt:variant>
    </vt:vector>
  </HeadingPairs>
  <TitlesOfParts>
    <vt:vector size="9" baseType="lpstr">
      <vt:lpstr>CATALOGO y LISTAS</vt:lpstr>
      <vt:lpstr>BUSCADOR</vt:lpstr>
      <vt:lpstr>Cedula para utiles.</vt:lpstr>
      <vt:lpstr>PAGADO</vt:lpstr>
      <vt:lpstr>BASE DE DATOS</vt:lpstr>
      <vt:lpstr>ANALISIS</vt:lpstr>
      <vt:lpstr>REPORTE</vt:lpstr>
      <vt:lpstr>compromisos</vt:lpstr>
      <vt:lpstr>PAGADO!Área_de_impresión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NIMROD JOSE VELASQUEZ ANDINO</dc:creator>
  <cp:keywords/>
  <dc:description/>
  <cp:lastModifiedBy>NIMROD</cp:lastModifiedBy>
  <cp:revision/>
  <cp:lastPrinted>2024-06-18T17:48:56Z</cp:lastPrinted>
  <dcterms:created xsi:type="dcterms:W3CDTF">2023-11-01T20:37:46Z</dcterms:created>
  <dcterms:modified xsi:type="dcterms:W3CDTF">2024-06-20T17:25:49Z</dcterms:modified>
  <cp:category/>
  <cp:contentStatus/>
</cp:coreProperties>
</file>